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516f9975e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868f541f6dc4bd5"/>
    <x:sheet xmlns:r="http://schemas.openxmlformats.org/officeDocument/2006/relationships" name="Source_Inventory" sheetId="2" r:id="Rd335346c68d64e3c"/>
    <x:sheet xmlns:r="http://schemas.openxmlformats.org/officeDocument/2006/relationships" name="PepAuDB_v0.1" sheetId="3" r:id="R165badd667e24935"/>
    <x:sheet xmlns:r="http://schemas.openxmlformats.org/officeDocument/2006/relationships" name="PTT_Benchmarks" sheetId="4" r:id="Re8caf3ed697b484d"/>
    <x:sheet xmlns:r="http://schemas.openxmlformats.org/officeDocument/2006/relationships" name="Missing_Literature" sheetId="5" r:id="R1060ac8c981c48ac"/>
    <x:sheet xmlns:r="http://schemas.openxmlformats.org/officeDocument/2006/relationships" name="Data_Dictionary" sheetId="6" r:id="Ra23bfd83ff7a4aac"/>
    <x:sheet xmlns:r="http://schemas.openxmlformats.org/officeDocument/2006/relationships" name="Model_Readiness" sheetId="7" r:id="Rbc380784ed434acc"/>
    <x:sheet xmlns:r="http://schemas.openxmlformats.org/officeDocument/2006/relationships" name="Dashboard" sheetId="8" r:id="R24765aa8385b462e"/>
    <x:sheet xmlns:r="http://schemas.openxmlformats.org/officeDocument/2006/relationships" name="PepAuDB_v0.2" sheetId="9" r:id="R827fbd900d134d6f"/>
    <x:sheet xmlns:r="http://schemas.openxmlformats.org/officeDocument/2006/relationships" name="Web_Primary_Papers" sheetId="10" r:id="Rcf6e9abbc6ba46d0"/>
    <x:sheet xmlns:r="http://schemas.openxmlformats.org/officeDocument/2006/relationships" name="Sequence_Library" sheetId="11" r:id="R72f0011c1afb4e7e"/>
    <x:sheet xmlns:r="http://schemas.openxmlformats.org/officeDocument/2006/relationships" name="QC_Log_v0.2" sheetId="12" r:id="Rfa8e52b7234e437e"/>
    <x:sheet xmlns:r="http://schemas.openxmlformats.org/officeDocument/2006/relationships" name="Model_Gates" sheetId="13" r:id="R7dbb86bed4534cd0"/>
    <x:sheet xmlns:r="http://schemas.openxmlformats.org/officeDocument/2006/relationships" name="Dashboard_v0.2" sheetId="14" r:id="R4d043b5cc3034e47"/>
    <x:sheet xmlns:r="http://schemas.openxmlformats.org/officeDocument/2006/relationships" name="PepAuDB_v0.3" sheetId="15" r:id="R2956fac68a6a49eb"/>
    <x:sheet xmlns:r="http://schemas.openxmlformats.org/officeDocument/2006/relationships" name="Benchmark_Manifest_v0.3" sheetId="16" r:id="R7c1e5ff087524f74"/>
    <x:sheet xmlns:r="http://schemas.openxmlformats.org/officeDocument/2006/relationships" name="Changelog_v0.3" sheetId="17" r:id="Rfef86334159f4cec"/>
    <x:sheet xmlns:r="http://schemas.openxmlformats.org/officeDocument/2006/relationships" name="Dashboard_v0.3" sheetId="18" r:id="R49482c5bd97a4aa2"/>
    <x:sheet xmlns:r="http://schemas.openxmlformats.org/officeDocument/2006/relationships" name="PepAuDB_v0.4" sheetId="19" r:id="R99102dcd0b094c65"/>
    <x:sheet xmlns:r="http://schemas.openxmlformats.org/officeDocument/2006/relationships" name="Sequence_Library_v0.4" sheetId="20" r:id="R8fdf99494f33434d"/>
    <x:sheet xmlns:r="http://schemas.openxmlformats.org/officeDocument/2006/relationships" name="Formation_Controls_v0.4" sheetId="21" r:id="R55597c9e6b86492f"/>
    <x:sheet xmlns:r="http://schemas.openxmlformats.org/officeDocument/2006/relationships" name="Therapy_Context_v0.4" sheetId="22" r:id="R5f63535ae3a6404f"/>
    <x:sheet xmlns:r="http://schemas.openxmlformats.org/officeDocument/2006/relationships" name="Source_Expansion_v0.4" sheetId="23" r:id="R4aa523ed195247d3"/>
    <x:sheet xmlns:r="http://schemas.openxmlformats.org/officeDocument/2006/relationships" name="QC_Log_v0.4" sheetId="24" r:id="Rc83b5307f82c421a"/>
    <x:sheet xmlns:r="http://schemas.openxmlformats.org/officeDocument/2006/relationships" name="Model_Gates_v0.4" sheetId="25" r:id="R3cd0af3570484f6b"/>
    <x:sheet xmlns:r="http://schemas.openxmlformats.org/officeDocument/2006/relationships" name="Dashboard_v0.4" sheetId="26" r:id="R41b9553b29f947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&quot;%&quot;"/>
    <x:numFmt numFmtId="201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1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8e902ddf64615" /><Relationship Type="http://schemas.openxmlformats.org/officeDocument/2006/relationships/theme" Target="/xl/theme/theme1.xml" Id="R6d515fe0a67d4c54" /><Relationship Type="http://schemas.microsoft.com/office/2022/11/relationships/FeaturePropertyBag" Target="/xl/featurePropertyBag/featurePropertyBag.xml" Id="R5f9a6e9266354c71" /><Relationship Type="http://schemas.openxmlformats.org/officeDocument/2006/relationships/sharedStrings" Target="/xl/sharedStrings.xml" Id="R45073c417c294a31" /><Relationship Type="http://schemas.openxmlformats.org/officeDocument/2006/relationships/worksheet" Target="/xl/worksheets/sheet1.xml" Id="R0868f541f6dc4bd5" /><Relationship Type="http://schemas.openxmlformats.org/officeDocument/2006/relationships/worksheet" Target="/xl/worksheets/sheet2.xml" Id="Rd335346c68d64e3c" /><Relationship Type="http://schemas.openxmlformats.org/officeDocument/2006/relationships/worksheet" Target="/xl/worksheets/sheet3.xml" Id="R165badd667e24935" /><Relationship Type="http://schemas.openxmlformats.org/officeDocument/2006/relationships/worksheet" Target="/xl/worksheets/sheet4.xml" Id="Re8caf3ed697b484d" /><Relationship Type="http://schemas.openxmlformats.org/officeDocument/2006/relationships/worksheet" Target="/xl/worksheets/sheet5.xml" Id="R1060ac8c981c48ac" /><Relationship Type="http://schemas.openxmlformats.org/officeDocument/2006/relationships/worksheet" Target="/xl/worksheets/sheet6.xml" Id="Ra23bfd83ff7a4aac" /><Relationship Type="http://schemas.openxmlformats.org/officeDocument/2006/relationships/worksheet" Target="/xl/worksheets/sheet7.xml" Id="Rbc380784ed434acc" /><Relationship Type="http://schemas.openxmlformats.org/officeDocument/2006/relationships/worksheet" Target="/xl/worksheets/sheet8.xml" Id="R24765aa8385b462e" /><Relationship Type="http://schemas.openxmlformats.org/officeDocument/2006/relationships/worksheet" Target="/xl/worksheets/sheet9.xml" Id="R827fbd900d134d6f" /><Relationship Type="http://schemas.openxmlformats.org/officeDocument/2006/relationships/worksheet" Target="/xl/worksheets/sheet10.xml" Id="Rcf6e9abbc6ba46d0" /><Relationship Type="http://schemas.openxmlformats.org/officeDocument/2006/relationships/worksheet" Target="/xl/worksheets/sheet11.xml" Id="R72f0011c1afb4e7e" /><Relationship Type="http://schemas.openxmlformats.org/officeDocument/2006/relationships/worksheet" Target="/xl/worksheets/sheet12.xml" Id="Rfa8e52b7234e437e" /><Relationship Type="http://schemas.openxmlformats.org/officeDocument/2006/relationships/worksheet" Target="/xl/worksheets/sheet13.xml" Id="R7dbb86bed4534cd0" /><Relationship Type="http://schemas.openxmlformats.org/officeDocument/2006/relationships/worksheet" Target="/xl/worksheets/sheet14.xml" Id="R4d043b5cc3034e47" /><Relationship Type="http://schemas.openxmlformats.org/officeDocument/2006/relationships/worksheet" Target="/xl/worksheets/sheet15.xml" Id="R2956fac68a6a49eb" /><Relationship Type="http://schemas.openxmlformats.org/officeDocument/2006/relationships/worksheet" Target="/xl/worksheets/sheet16.xml" Id="R7c1e5ff087524f74" /><Relationship Type="http://schemas.openxmlformats.org/officeDocument/2006/relationships/worksheet" Target="/xl/worksheets/sheet17.xml" Id="Rfef86334159f4cec" /><Relationship Type="http://schemas.openxmlformats.org/officeDocument/2006/relationships/worksheet" Target="/xl/worksheets/sheet18.xml" Id="R49482c5bd97a4aa2" /><Relationship Type="http://schemas.openxmlformats.org/officeDocument/2006/relationships/worksheet" Target="/xl/worksheets/sheet19.xml" Id="R99102dcd0b094c65" /><Relationship Type="http://schemas.openxmlformats.org/officeDocument/2006/relationships/worksheet" Target="/xl/worksheets/sheet20.xml" Id="R8fdf99494f33434d" /><Relationship Type="http://schemas.openxmlformats.org/officeDocument/2006/relationships/worksheet" Target="/xl/worksheets/sheet21.xml" Id="R55597c9e6b86492f" /><Relationship Type="http://schemas.openxmlformats.org/officeDocument/2006/relationships/worksheet" Target="/xl/worksheets/sheet22.xml" Id="R5f63535ae3a6404f" /><Relationship Type="http://schemas.openxmlformats.org/officeDocument/2006/relationships/worksheet" Target="/xl/worksheets/sheet23.xml" Id="R4aa523ed195247d3" /><Relationship Type="http://schemas.openxmlformats.org/officeDocument/2006/relationships/worksheet" Target="/xl/worksheets/sheet24.xml" Id="Rc83b5307f82c421a" /><Relationship Type="http://schemas.openxmlformats.org/officeDocument/2006/relationships/worksheet" Target="/xl/worksheets/sheet25.xml" Id="R3cd0af3570484f6b" /><Relationship Type="http://schemas.openxmlformats.org/officeDocument/2006/relationships/worksheet" Target="/xl/worksheets/sheet26.xml" Id="R41b9553b29f947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6a0703951f4a1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6fa2b7527d647a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6a1031a80564f2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Starter Records by Evidence Class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Record 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v0.2 Records by Training Eligibility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'Dashboard_v0.2'!$D$14:$D$18</c:f>
              <c:strCache>
                <c:ptCount val="0"/>
              </c:strCache>
            </c:strRef>
          </c:cat>
          <c:val>
            <c:numRef>
              <c:f>'Dashboard_v0.2'!$E$14:$E$18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v0.4 Evidence Buckets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'Dashboard_v0.4'!$D$15:$D$19</c:f>
              <c:strCache>
                <c:ptCount val="0"/>
              </c:strCache>
            </c:strRef>
          </c:cat>
          <c:val>
            <c:numRef>
              <c:f>'Dashboard_v0.4'!$E$15:$E$19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6a0703951f4a1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fa2b7527d647a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a1031a80564f2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InventoryTable" displayName="SourceInventoryTable" ref="A3:J17" headerRowCount="1" totalsRowCount="0" totalsRowShown="0">
  <x:tableColumns count="10">
    <x:tableColumn id="1" name="ID"/>
    <x:tableColumn id="2" name="Source file"/>
    <x:tableColumn id="3" name="Short title"/>
    <x:tableColumn id="4" name="Year"/>
    <x:tableColumn id="5" name="DOI / URL"/>
    <x:tableColumn id="6" name="Primary category"/>
    <x:tableColumn id="7" name="Evidence class"/>
    <x:tableColumn id="8" name="Direct model training?"/>
    <x:tableColumn id="9" name="Main value"/>
    <x:tableColumn id="10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pAuDBTable" displayName="PepAuDBTable" ref="A3:AI25" headerRowCount="1" totalsRowCount="0" totalsRowShown="0">
  <x:tableColumns count="35">
    <x:tableColumn id="1" name="Record_ID"/>
    <x:tableColumn id="2" name="Source_ID"/>
    <x:tableColumn id="3" name="Evidence_Class"/>
    <x:tableColumn id="4" name="Data_Status"/>
    <x:tableColumn id="5" name="Material_Regime"/>
    <x:tableColumn id="6" name="Peptide_or_Ligand"/>
    <x:tableColumn id="7" name="Sequence"/>
    <x:tableColumn id="8" name="Stereochemistry"/>
    <x:tableColumn id="9" name="Terminal_or_Chemical_Modification"/>
    <x:tableColumn id="10" name="Au_Nuclearity"/>
    <x:tableColumn id="11" name="Ligand_Count"/>
    <x:tableColumn id="12" name="Core_Size_nm"/>
    <x:tableColumn id="13" name="Hydrodynamic_Size_nm"/>
    <x:tableColumn id="14" name="Morphology"/>
    <x:tableColumn id="15" name="Au_Precursor"/>
    <x:tableColumn id="16" name="Peptide_or_Ligand_Condition"/>
    <x:tableColumn id="17" name="Reducing_Agent"/>
    <x:tableColumn id="18" name="pH"/>
    <x:tableColumn id="19" name="Temperature_C"/>
    <x:tableColumn id="20" name="Time_h"/>
    <x:tableColumn id="21" name="Mixing_or_Process"/>
    <x:tableColumn id="22" name="Emission_Peak_nm"/>
    <x:tableColumn id="23" name="Emission_Range_nm"/>
    <x:tableColumn id="24" name="PLQY_pct"/>
    <x:tableColumn id="25" name="Absorption_or_LSPR_nm"/>
    <x:tableColumn id="26" name="Zeta_mV"/>
    <x:tableColumn id="27" name="Laser_nm"/>
    <x:tableColumn id="28" name="Laser_Power_W_cm2"/>
    <x:tableColumn id="29" name="PTT_Temperature_C"/>
    <x:tableColumn id="30" name="PTT_Time_min"/>
    <x:tableColumn id="31" name="Application"/>
    <x:tableColumn id="32" name="Key_Observation"/>
    <x:tableColumn id="33" name="Source_Locator"/>
    <x:tableColumn id="34" name="DOI_URL"/>
    <x:tableColumn id="35" name="Key_Field_Completeness_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TTBenchmarkTable" displayName="PTTBenchmarkTable" ref="A3:N8" headerRowCount="1" totalsRowCount="0" totalsRowShown="0">
  <x:tableColumns count="14">
    <x:tableColumn id="1" name="Benchmark_ID"/>
    <x:tableColumn id="2" name="Source_ID"/>
    <x:tableColumn id="3" name="Material"/>
    <x:tableColumn id="4" name="Ligand / peptide"/>
    <x:tableColumn id="5" name="Regime"/>
    <x:tableColumn id="6" name="Laser_nm"/>
    <x:tableColumn id="7" name="Power_W_cm2"/>
    <x:tableColumn id="8" name="Concentration"/>
    <x:tableColumn id="9" name="Exposure_min"/>
    <x:tableColumn id="10" name="Temperature_result"/>
    <x:tableColumn id="11" name="Biological_context"/>
    <x:tableColumn id="12" name="Outcome"/>
    <x:tableColumn id="13" name="Use_in_model"/>
    <x:tableColumn id="14" name="DOI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ssingLiteratureTable" displayName="MissingLiteratureTable" ref="A3:I15" headerRowCount="1" totalsRowCount="0" totalsRowShown="0">
  <x:tableColumns count="9">
    <x:tableColumn id="1" name="Priority"/>
    <x:tableColumn id="2" name="Paper"/>
    <x:tableColumn id="3" name="Year"/>
    <x:tableColumn id="4" name="Journal"/>
    <x:tableColumn id="5" name="DOI / URL"/>
    <x:tableColumn id="6" name="Why needed"/>
    <x:tableColumn id="7" name="Expected data"/>
    <x:tableColumn id="8" name="Found via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3:D23" headerRowCount="1" totalsRowCount="0" totalsRowShown="0">
  <x:tableColumns count="4">
    <x:tableColumn id="1" name="Field"/>
    <x:tableColumn id="2" name="Type / unit"/>
    <x:tableColumn id="3" name="Meaning"/>
    <x:tableColumn id="4" name="Model u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delReadinessTable" displayName="ModelReadinessTable" ref="A3:G11" headerRowCount="1" totalsRowCount="0" totalsRowShown="0">
  <x:tableColumns count="7">
    <x:tableColumn id="1" name="Target"/>
    <x:tableColumn id="2" name="Current direct evidence"/>
    <x:tableColumn id="3" name="Current readiness"/>
    <x:tableColumn id="4" name="Main gap"/>
    <x:tableColumn id="5" name="Recommended first model"/>
    <x:tableColumn id="6" name="Validation requirement"/>
    <x:tableColumn id="7" name="Streamlit displa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pAuDBv02Table" displayName="PepAuDBv02Table" ref="A3:AN36" headerRowCount="1" totalsRowCount="0" totalsRowShown="0">
  <x:tableColumns count="40">
    <x:tableColumn id="1" name="Record_ID"/>
    <x:tableColumn id="2" name="Source_ID"/>
    <x:tableColumn id="3" name="Evidence_Class"/>
    <x:tableColumn id="4" name="Data_Status"/>
    <x:tableColumn id="5" name="Material_Regime"/>
    <x:tableColumn id="6" name="Peptide_or_Ligand"/>
    <x:tableColumn id="7" name="Sequence"/>
    <x:tableColumn id="8" name="Stereochemistry"/>
    <x:tableColumn id="9" name="Terminal_or_Chemical_Modification"/>
    <x:tableColumn id="10" name="Au_Nuclearity"/>
    <x:tableColumn id="11" name="Ligand_Count"/>
    <x:tableColumn id="12" name="Core_Size_nm"/>
    <x:tableColumn id="13" name="Hydrodynamic_Size_nm"/>
    <x:tableColumn id="14" name="Morphology"/>
    <x:tableColumn id="15" name="Au_Precursor"/>
    <x:tableColumn id="16" name="Peptide_or_Ligand_Condition"/>
    <x:tableColumn id="17" name="Reducing_Agent"/>
    <x:tableColumn id="18" name="pH"/>
    <x:tableColumn id="19" name="Temperature_C"/>
    <x:tableColumn id="20" name="Time_h"/>
    <x:tableColumn id="21" name="Mixing_or_Process"/>
    <x:tableColumn id="22" name="Emission_Peak_nm"/>
    <x:tableColumn id="23" name="Emission_Range_nm"/>
    <x:tableColumn id="24" name="PLQY_pct"/>
    <x:tableColumn id="25" name="Absorption_or_LSPR_nm"/>
    <x:tableColumn id="26" name="Zeta_mV"/>
    <x:tableColumn id="27" name="Laser_nm"/>
    <x:tableColumn id="28" name="Laser_Power_W_cm2"/>
    <x:tableColumn id="29" name="PTT_Temperature_C"/>
    <x:tableColumn id="30" name="PTT_Time_min"/>
    <x:tableColumn id="31" name="Application"/>
    <x:tableColumn id="32" name="Key_Observation"/>
    <x:tableColumn id="33" name="Source_Locator"/>
    <x:tableColumn id="34" name="DOI_URL"/>
    <x:tableColumn id="35" name="Key_Field_Completeness_pct"/>
    <x:tableColumn id="36" name="Training_Eligibility"/>
    <x:tableColumn id="37" name="Sequence_Status"/>
    <x:tableColumn id="38" name="QC_Flag"/>
    <x:tableColumn id="39" name="Research_Date"/>
    <x:tableColumn id="40" name="Source_Typ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ebPrimaryPapersTable" displayName="WebPrimaryPapersTable" ref="A3:L19" headerRowCount="1" totalsRowCount="0" totalsRowShown="0">
  <x:tableColumns count="12">
    <x:tableColumn id="1" name="Source_Key"/>
    <x:tableColumn id="2" name="Year"/>
    <x:tableColumn id="3" name="Paper"/>
    <x:tableColumn id="4" name="Journal"/>
    <x:tableColumn id="5" name="DOI_URL"/>
    <x:tableColumn id="6" name="Evidence_Role"/>
    <x:tableColumn id="7" name="Exact_Peptide_Data"/>
    <x:tableColumn id="8" name="Atomic_Nuclearity"/>
    <x:tableColumn id="9" name="Synthesis_Data_Status"/>
    <x:tableColumn id="10" name="Current_Use"/>
    <x:tableColumn id="11" name="Priority"/>
    <x:tableColumn id="12" name="Acquisition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quenceLibraryTable" displayName="SequenceLibraryTable" ref="A3:J38" headerRowCount="1" totalsRowCount="0" totalsRowShown="0">
  <x:tableColumns count="10">
    <x:tableColumn id="1" name="Seq_ID"/>
    <x:tableColumn id="2" name="Sequence"/>
    <x:tableColumn id="3" name="Source_Key"/>
    <x:tableColumn id="4" name="Source_Evidence"/>
    <x:tableColumn id="5" name="Role_or_Motif"/>
    <x:tableColumn id="6" name="Ex_nm"/>
    <x:tableColumn id="7" name="Em_nm"/>
    <x:tableColumn id="8" name="PLQY_pct"/>
    <x:tableColumn id="9" name="Training_Status"/>
    <x:tableColumn id="10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QCLogTable" displayName="QCLogTable" ref="A3:H15" headerRowCount="1" totalsRowCount="0" totalsRowShown="0">
  <x:tableColumns count="8">
    <x:tableColumn id="1" name="QC_ID"/>
    <x:tableColumn id="2" name="Affected_Record_or_Source"/>
    <x:tableColumn id="3" name="Severity"/>
    <x:tableColumn id="4" name="Issue"/>
    <x:tableColumn id="5" name="Why_it_matters"/>
    <x:tableColumn id="6" name="Required_Action"/>
    <x:tableColumn id="7" name="Training_Status"/>
    <x:tableColumn id="8" name="Resolution_Priority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odelGatesTable" displayName="ModelGatesTable" ref="A3:I10" headerRowCount="1" totalsRowCount="0" totalsRowShown="0">
  <x:tableColumns count="9">
    <x:tableColumn id="1" name="Gate"/>
    <x:tableColumn id="2" name="Target_Module"/>
    <x:tableColumn id="3" name="Operational_Minimum"/>
    <x:tableColumn id="4" name="Current_Status"/>
    <x:tableColumn id="5" name="Pass?"/>
    <x:tableColumn id="6" name="Reason"/>
    <x:tableColumn id="7" name="When_Passed_Do"/>
    <x:tableColumn id="8" name="Validation_Requirement"/>
    <x:tableColumn id="9" name="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epAuDBv03Table" displayName="PepAuDBv03Table" ref="A3:AN39" headerRowCount="1" totalsRowCount="0" totalsRowShown="0">
  <x:tableColumns count="40">
    <x:tableColumn id="1" name="Record_ID"/>
    <x:tableColumn id="2" name="Source_ID"/>
    <x:tableColumn id="3" name="Evidence_Class"/>
    <x:tableColumn id="4" name="Data_Status"/>
    <x:tableColumn id="5" name="Material_Regime"/>
    <x:tableColumn id="6" name="Peptide_or_Ligand"/>
    <x:tableColumn id="7" name="Sequence"/>
    <x:tableColumn id="8" name="Stereochemistry"/>
    <x:tableColumn id="9" name="Terminal_or_Chemical_Modification"/>
    <x:tableColumn id="10" name="Au_Nuclearity"/>
    <x:tableColumn id="11" name="Ligand_Count"/>
    <x:tableColumn id="12" name="Core_Size_nm"/>
    <x:tableColumn id="13" name="Hydrodynamic_Size_nm"/>
    <x:tableColumn id="14" name="Morphology"/>
    <x:tableColumn id="15" name="Au_Precursor"/>
    <x:tableColumn id="16" name="Peptide_or_Ligand_Condition"/>
    <x:tableColumn id="17" name="Reducing_Agent"/>
    <x:tableColumn id="18" name="pH"/>
    <x:tableColumn id="19" name="Temperature_C"/>
    <x:tableColumn id="20" name="Time_h"/>
    <x:tableColumn id="21" name="Mixing_or_Process"/>
    <x:tableColumn id="22" name="Emission_Peak_nm"/>
    <x:tableColumn id="23" name="Emission_Range_nm"/>
    <x:tableColumn id="24" name="PLQY_pct"/>
    <x:tableColumn id="25" name="Absorption_or_LSPR_nm"/>
    <x:tableColumn id="26" name="Zeta_mV"/>
    <x:tableColumn id="27" name="Laser_nm"/>
    <x:tableColumn id="28" name="Laser_Power_W_cm2"/>
    <x:tableColumn id="29" name="PTT_Temperature_C"/>
    <x:tableColumn id="30" name="PTT_Time_min"/>
    <x:tableColumn id="31" name="Application"/>
    <x:tableColumn id="32" name="Key_Observation"/>
    <x:tableColumn id="33" name="Source_Locator"/>
    <x:tableColumn id="34" name="DOI_URL"/>
    <x:tableColumn id="35" name="Key_Field_Completeness_pct"/>
    <x:tableColumn id="36" name="Training_Eligibility"/>
    <x:tableColumn id="37" name="Sequence_Status"/>
    <x:tableColumn id="38" name="QC_Flag"/>
    <x:tableColumn id="39" name="Research_Date"/>
    <x:tableColumn id="40" name="Source_Typ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enchmarkManifestTable" displayName="BenchmarkManifestTable" ref="A3:K9" headerRowCount="1" totalsRowCount="0" totalsRowShown="0">
  <x:tableColumns count="11">
    <x:tableColumn id="1" name="Target"/>
    <x:tableColumn id="2" name="Eligible_Record_Rule"/>
    <x:tableColumn id="3" name="Target_Column"/>
    <x:tableColumn id="4" name="Group_Column"/>
    <x:tableColumn id="5" name="Sequence_Leakage_Control"/>
    <x:tableColumn id="6" name="Min_Operational_Gate"/>
    <x:tableColumn id="7" name="Candidate_Models"/>
    <x:tableColumn id="8" name="Primary_Metrics"/>
    <x:tableColumn id="9" name="Calibration_or_Uncertainty"/>
    <x:tableColumn id="10" name="Current_Action"/>
    <x:tableColumn id="11" name="Production_Claim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hangelogV03Table" displayName="ChangelogV03Table" ref="A3:F7" headerRowCount="1" totalsRowCount="0" totalsRowShown="0">
  <x:tableColumns count="6">
    <x:tableColumn id="1" name="Change_ID"/>
    <x:tableColumn id="2" name="What_Changed"/>
    <x:tableColumn id="3" name="Scientific_Reason"/>
    <x:tableColumn id="4" name="Source"/>
    <x:tableColumn id="5" name="Impact_on_Model"/>
    <x:tableColumn id="6" name="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epAuDBv04Table" displayName="PepAuDBv04Table" ref="A3:AQ46" headerRowCount="1" totalsRowCount="0" totalsRowShown="0">
  <x:tableColumns count="43">
    <x:tableColumn id="1" name="Record_ID"/>
    <x:tableColumn id="2" name="Source_ID"/>
    <x:tableColumn id="3" name="Evidence_Class"/>
    <x:tableColumn id="4" name="Data_Status"/>
    <x:tableColumn id="5" name="Material_Regime"/>
    <x:tableColumn id="6" name="Peptide_or_Ligand"/>
    <x:tableColumn id="7" name="Sequence"/>
    <x:tableColumn id="8" name="Stereochemistry"/>
    <x:tableColumn id="9" name="Terminal_or_Chemical_Modification"/>
    <x:tableColumn id="10" name="Au_Nuclearity"/>
    <x:tableColumn id="11" name="Ligand_Count"/>
    <x:tableColumn id="12" name="Core_Size_nm"/>
    <x:tableColumn id="13" name="Hydrodynamic_Size_nm"/>
    <x:tableColumn id="14" name="Morphology"/>
    <x:tableColumn id="15" name="Au_Precursor"/>
    <x:tableColumn id="16" name="Peptide_or_Ligand_Condition"/>
    <x:tableColumn id="17" name="Reducing_Agent"/>
    <x:tableColumn id="18" name="pH"/>
    <x:tableColumn id="19" name="Temperature_C"/>
    <x:tableColumn id="20" name="Time_h"/>
    <x:tableColumn id="21" name="Mixing_or_Process"/>
    <x:tableColumn id="22" name="Emission_Peak_nm"/>
    <x:tableColumn id="23" name="Emission_Range_nm"/>
    <x:tableColumn id="24" name="PLQY_pct"/>
    <x:tableColumn id="25" name="Absorption_or_LSPR_nm"/>
    <x:tableColumn id="26" name="Zeta_mV"/>
    <x:tableColumn id="27" name="Laser_nm"/>
    <x:tableColumn id="28" name="Laser_Power_W_cm2"/>
    <x:tableColumn id="29" name="PTT_Temperature_C"/>
    <x:tableColumn id="30" name="PTT_Time_min"/>
    <x:tableColumn id="31" name="Application"/>
    <x:tableColumn id="32" name="Key_Observation"/>
    <x:tableColumn id="33" name="Source_Locator"/>
    <x:tableColumn id="34" name="DOI_URL"/>
    <x:tableColumn id="35" name="Key_Field_Completeness_pct"/>
    <x:tableColumn id="36" name="Training_Eligibility"/>
    <x:tableColumn id="37" name="Sequence_Status"/>
    <x:tableColumn id="38" name="QC_Flag"/>
    <x:tableColumn id="39" name="Research_Date"/>
    <x:tableColumn id="40" name="Source_Type"/>
    <x:tableColumn id="41" name="Formation_Label"/>
    <x:tableColumn id="42" name="Ligand_Architecture"/>
    <x:tableColumn id="43" name="Evidence_Leve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equenceLibraryV04Table" displayName="SequenceLibraryV04Table" ref="A3:J42" headerRowCount="1" totalsRowCount="0" totalsRowShown="0">
  <x:tableColumns count="10">
    <x:tableColumn id="1" name="Seq_ID"/>
    <x:tableColumn id="2" name="Sequence"/>
    <x:tableColumn id="3" name="Source_Key"/>
    <x:tableColumn id="4" name="Source_Evidence"/>
    <x:tableColumn id="5" name="Role_or_Motif"/>
    <x:tableColumn id="6" name="Ex_nm"/>
    <x:tableColumn id="7" name="Em_nm"/>
    <x:tableColumn id="8" name="PLQY_pct"/>
    <x:tableColumn id="9" name="Training_Status"/>
    <x:tableColumn id="10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FormationControlsV04Table" displayName="FormationControlsV04Table" ref="A3:K6" headerRowCount="1" totalsRowCount="0" totalsRowShown="0">
  <x:tableColumns count="11">
    <x:tableColumn id="1" name="Control_ID"/>
    <x:tableColumn id="2" name="Source_ID"/>
    <x:tableColumn id="3" name="Ligands_Present"/>
    <x:tableColumn id="4" name="Ligands_Deleted"/>
    <x:tableColumn id="5" name="Au_Precursor"/>
    <x:tableColumn id="6" name="Temperature"/>
    <x:tableColumn id="7" name="Time_h"/>
    <x:tableColumn id="8" name="Formation_Label"/>
    <x:tableColumn id="9" name="Outcome"/>
    <x:tableColumn id="10" name="Scientific_Use"/>
    <x:tableColumn id="11" name="Source_UR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herapyContextV04Table" displayName="TherapyContextV04Table" ref="A3:L9" headerRowCount="1" totalsRowCount="0" totalsRowShown="0">
  <x:tableColumns count="12">
    <x:tableColumn id="1" name="Therapy_ID"/>
    <x:tableColumn id="2" name="Record_ID"/>
    <x:tableColumn id="3" name="System"/>
    <x:tableColumn id="4" name="Peptide"/>
    <x:tableColumn id="5" name="Mechanism_Class"/>
    <x:tableColumn id="6" name="Laser_nm"/>
    <x:tableColumn id="7" name="Power_W_cm2"/>
    <x:tableColumn id="8" name="Duration_min"/>
    <x:tableColumn id="9" name="Thermal_or_ROS_Endpoint"/>
    <x:tableColumn id="10" name="Can_Train_PTT"/>
    <x:tableColumn id="11" name="Can_Train_PDT"/>
    <x:tableColumn id="12" name="Evidence_Not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ourceExpansionV04Table" displayName="SourceExpansionV04Table" ref="A3:J8" headerRowCount="1" totalsRowCount="0" totalsRowShown="0">
  <x:tableColumns count="10">
    <x:tableColumn id="1" name="Source_ID"/>
    <x:tableColumn id="2" name="Year"/>
    <x:tableColumn id="3" name="Source_Type"/>
    <x:tableColumn id="4" name="Title_or_Source"/>
    <x:tableColumn id="5" name="Exact_Sequence"/>
    <x:tableColumn id="6" name="Key_New_Data"/>
    <x:tableColumn id="7" name="Training_Role"/>
    <x:tableColumn id="8" name="Peer_Reviewed"/>
    <x:tableColumn id="9" name="URL"/>
    <x:tableColumn id="10" name="QC_Not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QCLogV04Table" displayName="QCLogV04Table" ref="A3:H20" headerRowCount="1" totalsRowCount="0" totalsRowShown="0">
  <x:tableColumns count="8">
    <x:tableColumn id="1" name="QC_ID"/>
    <x:tableColumn id="2" name="Affected_Record_or_Source"/>
    <x:tableColumn id="3" name="Severity"/>
    <x:tableColumn id="4" name="Issue"/>
    <x:tableColumn id="5" name="Why_it_matters"/>
    <x:tableColumn id="6" name="Required_Action"/>
    <x:tableColumn id="7" name="Training_Status"/>
    <x:tableColumn id="8" name="Resolution_Priority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ModelGatesV04Table" displayName="ModelGatesV04Table" ref="A3:J11" headerRowCount="1" totalsRowCount="0" totalsRowShown="0">
  <x:tableColumns count="10">
    <x:tableColumn id="1" name="Gate"/>
    <x:tableColumn id="2" name="Module"/>
    <x:tableColumn id="3" name="Current_Evidence"/>
    <x:tableColumn id="4" name="Required_Operational_Gate"/>
    <x:tableColumn id="5" name="Status"/>
    <x:tableColumn id="6" name="What_Improved_v0.4"/>
    <x:tableColumn id="7" name="Remaining_Blocker"/>
    <x:tableColumn id="8" name="Validation_Rule"/>
    <x:tableColumn id="9" name="Patent_Policy"/>
    <x:tableColumn id="10" name="Production_Clai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43a87536c04d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6e38f2eb0345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58bf51d19a40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5e283c0fd34e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01f724ddd443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226fa2cd0d42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9d0d183befee43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124dbc5ec6b43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be3da03f9614d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c84b0ef2c14b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267e676850e47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fc86de5c32e472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2.xml" Id="R651a085a980b43a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40a1dcfd9bef409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a5b14055fba5418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d3127ee6248e4ee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5e9a57e2e4f6445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6.xml" Id="Re5b49c44540e48e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dec5ffa163f044c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9bd28762bfcf4a8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96f92a78c4ae47cb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21188f59a3ff45a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d902e8fa1297432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3.xml" Id="R0a5868b2b0914a2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8" customHeight="1">
      <x:c r="A1" s="5" t="str">
        <x:v>NanoMax PepAu-Forge — PepAuDB v0.1</x:v>
      </x:c>
      <x:c r="B1" s="5"/>
      <x:c r="C1" s="5"/>
      <x:c r="D1" s="5"/>
      <x:c r="E1" s="5"/>
      <x:c r="F1" s="5"/>
      <x:c r="G1" s="5"/>
      <x:c r="H1" s="5"/>
    </x:row>
    <x:row r="2" ht="18" customHeight="1"/>
    <x:row r="3" ht="32" customHeight="1">
      <x:c r="A3" s="14" t="str">
        <x:v>Field</x:v>
      </x:c>
      <x:c r="B3" s="14" t="str">
        <x:v>Value</x:v>
      </x:c>
    </x:row>
    <x:row r="4" ht="18" customHeight="1">
      <x:c r="A4" s="20" t="str">
        <x:v>Purpose</x:v>
      </x:c>
      <x:c r="B4" s="20" t="str">
        <x:v>Literature-grounded starter database for peptide-programmed gold nanomaterial inverse design, with emphasis on atomic-precision AuNCs and photothermal/theranostic applications.</x:v>
      </x:c>
    </x:row>
    <x:row r="5" ht="18" customHeight="1">
      <x:c r="A5" s="20" t="str">
        <x:v>Version</x:v>
      </x:c>
      <x:c r="B5" s="20" t="str">
        <x:v>v0.1 — starter extraction from the 14 uploaded papers</x:v>
      </x:c>
    </x:row>
    <x:row r="6" ht="18" customHeight="1">
      <x:c r="A6" s="20" t="str">
        <x:v>Core rule</x:v>
      </x:c>
      <x:c r="B6" s="20" t="str">
        <x:v>Do not mix atomically precise AuNCs, ultrasmall non-precise AuNCs, larger AuNPs, bipyramids, superstructures, and 2D AuQDs as if they were one material regime.</x:v>
      </x:c>
    </x:row>
    <x:row r="7" ht="18" customHeight="1">
      <x:c r="A7" s="20" t="str">
        <x:v>Evidence rule</x:v>
      </x:c>
      <x:c r="B7" s="20" t="str">
        <x:v>Only DIRECT rows should be treated as experimentally observed records. REVIEW-DERIVED rows are literature leads until the primary paper is obtained and extracted.</x:v>
      </x:c>
    </x:row>
    <x:row r="8" ht="18" customHeight="1">
      <x:c r="A8" s="20" t="str">
        <x:v>PTT rule</x:v>
      </x:c>
      <x:c r="B8" s="20" t="str">
        <x:v>Photothermal targets are tracked separately from fluorescence targets because fluorescence and heat-generation objectives can trade off.</x:v>
      </x:c>
    </x:row>
    <x:row r="9" ht="18" customHeight="1">
      <x:c r="A9" s="20" t="str">
        <x:v>Current limitation</x:v>
      </x:c>
      <x:c r="B9" s="20" t="str">
        <x:v>The present direct atomic-precision peptide-ligand dataset is too small for a final high-accuracy inverse model. It is sufficient to begin a real, traceable database and define the data-acquisition plan.</x:v>
      </x:c>
    </x:row>
    <x:row r="10" ht="18" customHeight="1">
      <x:c r="A10" s="20" t="str">
        <x:v>Next milestone</x:v>
      </x:c>
      <x:c r="B10" s="20" t="str">
        <x:v>Obtain high-priority missing primary papers, expand to experiment-level rows, then run leakage-safe benchmarking before building the production Streamlit model.</x:v>
      </x:c>
    </x:row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40" hidden="0" customWidth="1"/>
    <x:col min="4" max="4" width="10" hidden="0" customWidth="1"/>
    <x:col min="5" max="5" width="42" hidden="0" customWidth="1"/>
    <x:col min="6" max="6" width="28" hidden="0" customWidth="1"/>
    <x:col min="7" max="7" width="30" hidden="0" customWidth="1"/>
    <x:col min="8" max="8" width="20" hidden="0" customWidth="1"/>
    <x:col min="9" max="9" width="60" hidden="0" customWidth="1"/>
    <x:col min="10" max="10" width="14" hidden="0" customWidth="1"/>
  </x:cols>
  <x:sheetData>
    <x:row r="1" ht="28" customHeight="1">
      <x:c r="A1" s="5" t="str">
        <x:v>Uploaded Literature Inventory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8" customHeight="1"/>
    <x:row r="3" ht="32" customHeight="1">
      <x:c r="A3" s="14" t="str">
        <x:v>ID</x:v>
      </x:c>
      <x:c r="B3" s="14" t="str">
        <x:v>Source file</x:v>
      </x:c>
      <x:c r="C3" s="14" t="str">
        <x:v>Short title</x:v>
      </x:c>
      <x:c r="D3" s="14" t="str">
        <x:v>Year</x:v>
      </x:c>
      <x:c r="E3" s="14" t="str">
        <x:v>DOI / URL</x:v>
      </x:c>
      <x:c r="F3" s="14" t="str">
        <x:v>Primary category</x:v>
      </x:c>
      <x:c r="G3" s="14" t="str">
        <x:v>Evidence class</x:v>
      </x:c>
      <x:c r="H3" s="14" t="str">
        <x:v>Direct model training?</x:v>
      </x:c>
      <x:c r="I3" s="14" t="str">
        <x:v>Main value</x:v>
      </x:c>
      <x:c r="J3" s="14" t="str">
        <x:v>Priority</x:v>
      </x:c>
    </x:row>
    <x:row r="4" ht="18" customHeight="1">
      <x:c r="A4" s="20" t="str">
        <x:v>S01</x:v>
      </x:c>
      <x:c r="B4" s="20" t="str">
        <x:v>acsomega.6b00140.pdf</x:v>
      </x:c>
      <x:c r="C4" s="20" t="str">
        <x:v>pH-dependent synthesis by cysteine-containing peptides</x:v>
      </x:c>
      <x:c r="D4" s="20" t="n">
        <x:v>2016</x:v>
      </x:c>
      <x:c r="E4" s="20" t="str">
        <x:v>https://doi.org/10.1021/acsomega.6b00140</x:v>
      </x:c>
      <x:c r="F4" s="20" t="str">
        <x:v>Peptide→Au growth mechanism</x:v>
      </x:c>
      <x:c r="G4" s="20" t="str">
        <x:v>B1 PEPTIDE_AUNP_MECHANISM</x:v>
      </x:c>
      <x:c r="H4" s="20" t="str">
        <x:v>Mechanistic only</x:v>
      </x:c>
      <x:c r="I4" s="20" t="str">
        <x:v>Controlled peptide/pH experiment; sequence and pH alter size, shape and stability</x:v>
      </x:c>
      <x:c r="J4" s="20" t="str">
        <x:v>High</x:v>
      </x:c>
    </x:row>
    <x:row r="5" ht="18" customHeight="1">
      <x:c r="A5" s="20" t="str">
        <x:v>S02</x:v>
      </x:c>
      <x:c r="B5" s="20" t="str">
        <x:v>d2sc03443c.pdf</x:v>
      </x:c>
      <x:c r="C5" s="20" t="str">
        <x:v>Peptide-directed chiral gold nano-bipyramids</x:v>
      </x:c>
      <x:c r="D5" s="20" t="n">
        <x:v>2022</x:v>
      </x:c>
      <x:c r="E5" s="20" t="str">
        <x:v>https://doi.org/10.1039/d2sc03443c</x:v>
      </x:c>
      <x:c r="F5" s="20" t="str">
        <x:v>Peptide chirality + PTT</x:v>
      </x:c>
      <x:c r="G5" s="20" t="str">
        <x:v>B1 PEPTIDE_AUNP_MECHANISM</x:v>
      </x:c>
      <x:c r="H5" s="20" t="str">
        <x:v>Mechanistic only</x:v>
      </x:c>
      <x:c r="I5" s="20" t="str">
        <x:v>D/L Cys-Phe controls chiral morphology and biological/PTT behavior</x:v>
      </x:c>
      <x:c r="J5" s="20" t="str">
        <x:v>Medium</x:v>
      </x:c>
    </x:row>
    <x:row r="6" ht="18" customHeight="1">
      <x:c r="A6" s="20" t="str">
        <x:v>S03</x:v>
      </x:c>
      <x:c r="B6" s="20" t="str">
        <x:v>ja6b07322.pdf</x:v>
      </x:c>
      <x:c r="C6" s="20" t="str">
        <x:v>Single-helical Au nanoparticle superstructures</x:v>
      </x:c>
      <x:c r="D6" s="20" t="n">
        <x:v>2016</x:v>
      </x:c>
      <x:c r="E6" s="20" t="str">
        <x:v>https://doi.org/10.1021/jacs.6b07322</x:v>
      </x:c>
      <x:c r="F6" s="20" t="str">
        <x:v>Peptide modification→assembly</x:v>
      </x:c>
      <x:c r="G6" s="20" t="str">
        <x:v>B1 PEPTIDE_AUNP_MECHANISM</x:v>
      </x:c>
      <x:c r="H6" s="20" t="str">
        <x:v>Mechanistic only</x:v>
      </x:c>
      <x:c r="I6" s="20" t="str">
        <x:v>Methionine oxidation changes assembly architecture under otherwise similar conditions</x:v>
      </x:c>
      <x:c r="J6" s="20" t="str">
        <x:v>High</x:v>
      </x:c>
    </x:row>
    <x:row r="7" ht="18" customHeight="1">
      <x:c r="A7" s="20" t="str">
        <x:v>S04</x:v>
      </x:c>
      <x:c r="B7" s="20" t="str">
        <x:v>nl4013776.pdf</x:v>
      </x:c>
      <x:c r="C7" s="20" t="str">
        <x:v>Tailorable plasmonic circular dichroism of helical superstructures</x:v>
      </x:c>
      <x:c r="D7" s="20" t="n">
        <x:v>2013</x:v>
      </x:c>
      <x:c r="E7" s="20" t="str">
        <x:v>https://doi.org/10.1021/nl4013776</x:v>
      </x:c>
      <x:c r="F7" s="20" t="str">
        <x:v>Peptide chirality→assembly optics</x:v>
      </x:c>
      <x:c r="G7" s="20" t="str">
        <x:v>B1 PEPTIDE_AUNP_MECHANISM</x:v>
      </x:c>
      <x:c r="H7" s="20" t="str">
        <x:v>Mechanistic only</x:v>
      </x:c>
      <x:c r="I7" s="20" t="str">
        <x:v>L/D peptide conjugates control helix handedness and nanoparticle geometry</x:v>
      </x:c>
      <x:c r="J7" s="20" t="str">
        <x:v>Medium</x:v>
      </x:c>
    </x:row>
    <x:row r="8" ht="18" customHeight="1">
      <x:c r="A8" s="20" t="str">
        <x:v>S05</x:v>
      </x:c>
      <x:c r="B8" s="20" t="str">
        <x:v>nn8b09559.pdf</x:v>
      </x:c>
      <x:c r="C8" s="20" t="str">
        <x:v>Two-dimensional gold quantum dots with tunable bandgaps</x:v>
      </x:c>
      <x:c r="D8" s="20" t="n">
        <x:v>2019</x:v>
      </x:c>
      <x:c r="E8" s="20" t="str">
        <x:v>https://doi.org/10.1021/acsnano.8b09559</x:v>
      </x:c>
      <x:c r="F8" s="20" t="str">
        <x:v>Atomic Au physics prior</x:v>
      </x:c>
      <x:c r="G8" s="20" t="str">
        <x:v>D1 METHOD_REFERENCE</x:v>
      </x:c>
      <x:c r="H8" s="20" t="str">
        <x:v>No</x:v>
      </x:c>
      <x:c r="I8" s="20" t="str">
        <x:v>Au atom count/geometry linked to bandgap; not peptide-templated aqueous AuNC</x:v>
      </x:c>
      <x:c r="J8" s="20" t="str">
        <x:v>Medium</x:v>
      </x:c>
    </x:row>
    <x:row r="9" ht="18" customHeight="1">
      <x:c r="A9" s="20" t="str">
        <x:v>S06</x:v>
      </x:c>
      <x:c r="B9" s="20" t="str">
        <x:v>PIIS2589004222012949.pdf</x:v>
      </x:c>
      <x:c r="C9" s="20" t="str">
        <x:v>Advances of gold nanoclusters for bioimaging</x:v>
      </x:c>
      <x:c r="D9" s="20" t="n">
        <x:v>2022</x:v>
      </x:c>
      <x:c r="E9" s="20" t="str">
        <x:v>https://doi.org/10.1016/j.isci.2022.105022</x:v>
      </x:c>
      <x:c r="F9" s="20" t="str">
        <x:v>Review / literature map</x:v>
      </x:c>
      <x:c r="G9" s="20" t="str">
        <x:v>D1 METHOD_REFERENCE</x:v>
      </x:c>
      <x:c r="H9" s="20" t="str">
        <x:v>No</x:v>
      </x:c>
      <x:c r="I9" s="20" t="str">
        <x:v>Identifies peptide/AuNC primary literature, optical properties and biomedical applications</x:v>
      </x:c>
      <x:c r="J9" s="20" t="str">
        <x:v>High</x:v>
      </x:c>
    </x:row>
    <x:row r="10" ht="18" customHeight="1">
      <x:c r="A10" s="20" t="str">
        <x:v>S07</x:v>
      </x:c>
      <x:c r="B10" s="20" t="str">
        <x:v>s41467-024-49172-6.pdf</x:v>
      </x:c>
      <x:c r="C10" s="20" t="str">
        <x:v>ML-guided full-color high-PLQY carbon quantum dots</x:v>
      </x:c>
      <x:c r="D10" s="20" t="n">
        <x:v>2024</x:v>
      </x:c>
      <x:c r="E10" s="20" t="str">
        <x:v>https://doi.org/10.1038/s41467-024-49172-6</x:v>
      </x:c>
      <x:c r="F10" s="20" t="str">
        <x:v>ML-guided synthesis</x:v>
      </x:c>
      <x:c r="G10" s="20" t="str">
        <x:v>D1 METHOD_REFERENCE</x:v>
      </x:c>
      <x:c r="H10" s="20" t="str">
        <x:v>No</x:v>
      </x:c>
      <x:c r="I10" s="20" t="str">
        <x:v>Closed-loop, multi-objective materials optimization blueprint</x:v>
      </x:c>
      <x:c r="J10" s="20" t="str">
        <x:v>Very High</x:v>
      </x:c>
    </x:row>
    <x:row r="11" ht="18" customHeight="1">
      <x:c r="A11" s="20" t="str">
        <x:v>S08</x:v>
      </x:c>
      <x:c r="B11" s="20" t="str">
        <x:v>s41592-023-02159-5.pdf</x:v>
      </x:c>
      <x:c r="C11" s="20" t="str">
        <x:v>ALBATROSS sequence→ensemble prediction</x:v>
      </x:c>
      <x:c r="D11" s="20" t="n">
        <x:v>2024</x:v>
      </x:c>
      <x:c r="E11" s="20" t="str">
        <x:v>https://doi.org/10.1038/s41592-023-02159-5</x:v>
      </x:c>
      <x:c r="F11" s="20" t="str">
        <x:v>Peptide/protein conformation model</x:v>
      </x:c>
      <x:c r="G11" s="20" t="str">
        <x:v>D1 METHOD_REFERENCE</x:v>
      </x:c>
      <x:c r="H11" s="20" t="str">
        <x:v>Feature model only</x:v>
      </x:c>
      <x:c r="I11" s="20" t="str">
        <x:v>Sequence-derived Rg/Re/asphericity/scaling descriptors; not metal-specific</x:v>
      </x:c>
      <x:c r="J11" s="20" t="str">
        <x:v>High</x:v>
      </x:c>
    </x:row>
    <x:row r="12" ht="18" customHeight="1">
      <x:c r="A12" s="20" t="str">
        <x:v>S09</x:v>
      </x:c>
      <x:c r="B12" s="20" t="str">
        <x:v>s41592-023-02160-y.pdf</x:v>
      </x:c>
      <x:c r="C12" s="20" t="str">
        <x:v>ALBATROSS research briefing</x:v>
      </x:c>
      <x:c r="D12" s="20" t="n">
        <x:v>2024</x:v>
      </x:c>
      <x:c r="E12" s="20" t="str">
        <x:v>https://doi.org/10.1038/s41592-023-02160-y</x:v>
      </x:c>
      <x:c r="F12" s="20" t="str">
        <x:v>Method briefing</x:v>
      </x:c>
      <x:c r="G12" s="20" t="str">
        <x:v>D1 METHOD_REFERENCE</x:v>
      </x:c>
      <x:c r="H12" s="20" t="str">
        <x:v>No</x:v>
      </x:c>
      <x:c r="I12" s="20" t="str">
        <x:v>Concise methodological background; no new AuNC training data</x:v>
      </x:c>
      <x:c r="J12" s="20" t="str">
        <x:v>Low</x:v>
      </x:c>
    </x:row>
    <x:row r="13" ht="18" customHeight="1">
      <x:c r="A13" s="20" t="str">
        <x:v>S10</x:v>
      </x:c>
      <x:c r="B13" s="20" t="str">
        <x:v>Advanced Materials - 2019 - Liu - Atomic‐Precision Gold Clusters for NIR‐II Imaging.pdf</x:v>
      </x:c>
      <x:c r="C13" s="20" t="str">
        <x:v>Atomic-precision Au25(SG)18 for NIR-II imaging</x:v>
      </x:c>
      <x:c r="D13" s="20" t="n">
        <x:v>2019</x:v>
      </x:c>
      <x:c r="E13" s="20" t="str">
        <x:v>https://doi.org/10.1002/adma.201901015</x:v>
      </x:c>
      <x:c r="F13" s="20" t="str">
        <x:v>Atomic-precision peptide-ligand AuNC</x:v>
      </x:c>
      <x:c r="G13" s="20" t="str">
        <x:v>A1 DIRECT_PEPTIDE_ATOMIC_AUNC</x:v>
      </x:c>
      <x:c r="H13" s="20" t="str">
        <x:v>Yes</x:v>
      </x:c>
      <x:c r="I13" s="20" t="str">
        <x:v>Au25(SG)18 nuclearity, structure, NIR-II emission, clearance; synthesis details require SI</x:v>
      </x:c>
      <x:c r="J13" s="20" t="str">
        <x:v>Very High</x:v>
      </x:c>
    </x:row>
    <x:row r="14" ht="18" customHeight="1">
      <x:c r="A14" s="20" t="str">
        <x:v>S11</x:v>
      </x:c>
      <x:c r="B14" s="20" t="str">
        <x:v>baghdasaryan-et-al-2024-intratumor-injected-gold-molecular-clusters-for-nir-ii-imaging-and-cancer-therapy.pdf</x:v>
      </x:c>
      <x:c r="C14" s="20" t="str">
        <x:v>Au25/AuPC intratumor NIR-II imaging and PTT</x:v>
      </x:c>
      <x:c r="D14" s="20" t="n">
        <x:v>2024</x:v>
      </x:c>
      <x:c r="E14" s="20" t="str">
        <x:v>https://doi.org/10.1073/pnas.2318265121</x:v>
      </x:c>
      <x:c r="F14" s="20" t="str">
        <x:v>AuNC PTT benchmark</x:v>
      </x:c>
      <x:c r="G14" s="20" t="str">
        <x:v>C1 AUNC_PTT_BENCHMARK</x:v>
      </x:c>
      <x:c r="H14" s="20" t="str">
        <x:v>PTT benchmark</x:v>
      </x:c>
      <x:c r="I14" s="20" t="str">
        <x:v>Quantitative 808-nm heating and in-vivo tumor PTT performance</x:v>
      </x:c>
      <x:c r="J14" s="20" t="str">
        <x:v>Very High</x:v>
      </x:c>
    </x:row>
    <x:row r="15" ht="18" customHeight="1">
      <x:c r="A15" s="20" t="str">
        <x:v>S12</x:v>
      </x:c>
      <x:c r="B15" s="20" t="str">
        <x:v>cr4c00835.pdf</x:v>
      </x:c>
      <x:c r="C15" s="20" t="str">
        <x:v>Molecular gold nanoclusters for advanced NIR-II bioimaging and therapy</x:v>
      </x:c>
      <x:c r="D15" s="20" t="n">
        <x:v>2025</x:v>
      </x:c>
      <x:c r="E15" s="20" t="str">
        <x:v>https://doi.org/10.1021/acs.chemrev.4c00835</x:v>
      </x:c>
      <x:c r="F15" s="20" t="str">
        <x:v>Review / mechanism / literature map</x:v>
      </x:c>
      <x:c r="G15" s="20" t="str">
        <x:v>D1 METHOD_REFERENCE</x:v>
      </x:c>
      <x:c r="H15" s="20" t="str">
        <x:v>No</x:v>
      </x:c>
      <x:c r="I15" s="20" t="str">
        <x:v>Atomic synthesis, PTT mechanism, ligand effects and priority primary references</x:v>
      </x:c>
      <x:c r="J15" s="20" t="str">
        <x:v>Very High</x:v>
      </x:c>
    </x:row>
    <x:row r="16" ht="18" customHeight="1">
      <x:c r="A16" s="20" t="str">
        <x:v>S13</x:v>
      </x:c>
      <x:c r="B16" s="20" t="str">
        <x:v>s41467-022-33341-6.pdf</x:v>
      </x:c>
      <x:c r="C16" s="20" t="str">
        <x:v>Phosphorylcholine-conjugated Au25 for LN NIR-II imaging</x:v>
      </x:c>
      <x:c r="D16" s="20" t="n">
        <x:v>2022</x:v>
      </x:c>
      <x:c r="E16" s="20" t="str">
        <x:v>https://doi.org/10.1038/s41467-022-33341-6</x:v>
      </x:c>
      <x:c r="F16" s="20" t="str">
        <x:v>Biomedical AuNC benchmark</x:v>
      </x:c>
      <x:c r="G16" s="20" t="str">
        <x:v>C2 AUNC_BIOMEDICAL_BENCHMARK</x:v>
      </x:c>
      <x:c r="H16" s="20" t="str">
        <x:v>Benchmark only</x:v>
      </x:c>
      <x:c r="I16" s="20" t="str">
        <x:v>Surface chemistry→stealth behavior, LN imaging and renal clearance</x:v>
      </x:c>
      <x:c r="J16" s="20" t="str">
        <x:v>High</x:v>
      </x:c>
    </x:row>
    <x:row r="17" ht="18" customHeight="1">
      <x:c r="A17" s="20" t="str">
        <x:v>S14</x:v>
      </x:c>
      <x:c r="B17" s="20" t="str">
        <x:v>sciadv.adh7828.pdf</x:v>
      </x:c>
      <x:c r="C17" s="20" t="str">
        <x:v>Bioactive NIR-II Au22 / Au21Cu1 clusters</x:v>
      </x:c>
      <x:c r="D17" s="20" t="n">
        <x:v>2023</x:v>
      </x:c>
      <x:c r="E17" s="20" t="str">
        <x:v>https://doi.org/10.1126/sciadv.adh7828</x:v>
      </x:c>
      <x:c r="F17" s="20" t="str">
        <x:v>Atomic-precision peptide-ligand AuNC</x:v>
      </x:c>
      <x:c r="G17" s="20" t="str">
        <x:v>A1 DIRECT_PEPTIDE_ATOMIC_AUNC</x:v>
      </x:c>
      <x:c r="H17" s="20" t="str">
        <x:v>Yes</x:v>
      </x:c>
      <x:c r="I17" s="20" t="str">
        <x:v>Exact Au22(SG)18 synthesis + atomic doping + optical/biological outcomes</x:v>
      </x:c>
      <x:c r="J17" s="20" t="str">
        <x:v>Very High</x:v>
      </x:c>
    </x:row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fc43a87536c04d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28" hidden="0" customWidth="1"/>
    <x:col min="4" max="4" width="16" hidden="0" customWidth="1"/>
    <x:col min="5" max="5" width="24" hidden="0" customWidth="1"/>
    <x:col min="6" max="6" width="28" hidden="0" customWidth="1"/>
    <x:col min="7" max="7" width="18" hidden="0" customWidth="1"/>
    <x:col min="8" max="8" width="14" hidden="0" customWidth="1"/>
    <x:col min="9" max="9" width="30" hidden="0" customWidth="1"/>
    <x:col min="10" max="10" width="13" hidden="0" customWidth="1"/>
    <x:col min="11" max="11" width="12" hidden="0" customWidth="1"/>
    <x:col min="12" max="12" width="13" hidden="0" customWidth="1"/>
    <x:col min="13" max="13" width="16" hidden="0" customWidth="1"/>
    <x:col min="14" max="14" width="34" hidden="0" customWidth="1"/>
    <x:col min="15" max="15" width="20" hidden="0" customWidth="1"/>
    <x:col min="16" max="16" width="40" hidden="0" customWidth="1"/>
    <x:col min="17" max="17" width="22" hidden="0" customWidth="1"/>
    <x:col min="18" max="18" width="9" hidden="0" customWidth="1"/>
    <x:col min="19" max="19" width="13" hidden="0" customWidth="1"/>
    <x:col min="20" max="20" width="10" hidden="0" customWidth="1"/>
    <x:col min="21" max="21" width="32" hidden="0" customWidth="1"/>
    <x:col min="22" max="22" width="16" hidden="0" customWidth="1"/>
    <x:col min="23" max="23" width="18" hidden="0" customWidth="1"/>
    <x:col min="24" max="24" width="12" hidden="0" customWidth="1"/>
    <x:col min="25" max="25" width="18" hidden="0" customWidth="1"/>
    <x:col min="26" max="26" width="12" hidden="0" customWidth="1"/>
    <x:col min="27" max="27" width="10" hidden="0" customWidth="1"/>
    <x:col min="28" max="28" width="16" hidden="0" customWidth="1"/>
    <x:col min="29" max="29" width="18" hidden="0" customWidth="1"/>
    <x:col min="30" max="30" width="14" hidden="0" customWidth="1"/>
    <x:col min="31" max="31" width="24" hidden="0" customWidth="1"/>
    <x:col min="32" max="32" width="72" hidden="0" customWidth="1"/>
    <x:col min="33" max="33" width="28" hidden="0" customWidth="1"/>
    <x:col min="34" max="34" width="42" hidden="0" customWidth="1"/>
    <x:col min="35" max="35" width="16" hidden="0" customWidth="1"/>
  </x:cols>
  <x:sheetData>
    <x:row r="1" ht="28" customHeight="1">
      <x:c r="A1" s="5" t="str">
        <x:v>PepAuDB v0.1 — Experiment-Level Starter Records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 ht="18" customHeight="1"/>
    <x:row r="3" ht="32" customHeight="1">
      <x:c r="A3" s="14" t="str">
        <x:v>Record_ID</x:v>
      </x:c>
      <x:c r="B3" s="14" t="str">
        <x:v>Source_ID</x:v>
      </x:c>
      <x:c r="C3" s="14" t="str">
        <x:v>Evidence_Class</x:v>
      </x:c>
      <x:c r="D3" s="14" t="str">
        <x:v>Data_Status</x:v>
      </x:c>
      <x:c r="E3" s="14" t="str">
        <x:v>Material_Regime</x:v>
      </x:c>
      <x:c r="F3" s="14" t="str">
        <x:v>Peptide_or_Ligand</x:v>
      </x:c>
      <x:c r="G3" s="14" t="str">
        <x:v>Sequence</x:v>
      </x:c>
      <x:c r="H3" s="14" t="str">
        <x:v>Stereochemistry</x:v>
      </x:c>
      <x:c r="I3" s="14" t="str">
        <x:v>Terminal_or_Chemical_Modification</x:v>
      </x:c>
      <x:c r="J3" s="14" t="str">
        <x:v>Au_Nuclearity</x:v>
      </x:c>
      <x:c r="K3" s="14" t="str">
        <x:v>Ligand_Count</x:v>
      </x:c>
      <x:c r="L3" s="14" t="str">
        <x:v>Core_Size_nm</x:v>
      </x:c>
      <x:c r="M3" s="14" t="str">
        <x:v>Hydrodynamic_Size_nm</x:v>
      </x:c>
      <x:c r="N3" s="14" t="str">
        <x:v>Morphology</x:v>
      </x:c>
      <x:c r="O3" s="14" t="str">
        <x:v>Au_Precursor</x:v>
      </x:c>
      <x:c r="P3" s="14" t="str">
        <x:v>Peptide_or_Ligand_Condition</x:v>
      </x:c>
      <x:c r="Q3" s="14" t="str">
        <x:v>Reducing_Agent</x:v>
      </x:c>
      <x:c r="R3" s="14" t="str">
        <x:v>pH</x:v>
      </x:c>
      <x:c r="S3" s="14" t="str">
        <x:v>Temperature_C</x:v>
      </x:c>
      <x:c r="T3" s="14" t="str">
        <x:v>Time_h</x:v>
      </x:c>
      <x:c r="U3" s="14" t="str">
        <x:v>Mixing_or_Process</x:v>
      </x:c>
      <x:c r="V3" s="14" t="str">
        <x:v>Emission_Peak_nm</x:v>
      </x:c>
      <x:c r="W3" s="14" t="str">
        <x:v>Emission_Range_nm</x:v>
      </x:c>
      <x:c r="X3" s="14" t="str">
        <x:v>PLQY_pct</x:v>
      </x:c>
      <x:c r="Y3" s="14" t="str">
        <x:v>Absorption_or_LSPR_nm</x:v>
      </x:c>
      <x:c r="Z3" s="14" t="str">
        <x:v>Zeta_mV</x:v>
      </x:c>
      <x:c r="AA3" s="14" t="str">
        <x:v>Laser_nm</x:v>
      </x:c>
      <x:c r="AB3" s="14" t="str">
        <x:v>Laser_Power_W_cm2</x:v>
      </x:c>
      <x:c r="AC3" s="14" t="str">
        <x:v>PTT_Temperature_C</x:v>
      </x:c>
      <x:c r="AD3" s="14" t="str">
        <x:v>PTT_Time_min</x:v>
      </x:c>
      <x:c r="AE3" s="14" t="str">
        <x:v>Application</x:v>
      </x:c>
      <x:c r="AF3" s="14" t="str">
        <x:v>Key_Observation</x:v>
      </x:c>
      <x:c r="AG3" s="14" t="str">
        <x:v>Source_Locator</x:v>
      </x:c>
      <x:c r="AH3" s="14" t="str">
        <x:v>DOI_URL</x:v>
      </x:c>
      <x:c r="AI3" s="14" t="str">
        <x:v>Key_Field_Completeness_pct</x:v>
      </x:c>
    </x:row>
    <x:row r="4" ht="18" customHeight="1">
      <x:c r="A4" s="20" t="str">
        <x:v>R001</x:v>
      </x:c>
      <x:c r="B4" s="20" t="str">
        <x:v>S01</x:v>
      </x:c>
      <x:c r="C4" s="20" t="str">
        <x:v>B1 PEPTIDE_AUNP_MECHANISM</x:v>
      </x:c>
      <x:c r="D4" s="20" t="str">
        <x:v>DIRECT</x:v>
      </x:c>
      <x:c r="E4" s="20" t="str">
        <x:v>gold_nanoparticle</x:v>
      </x:c>
      <x:c r="F4" s="20" t="str">
        <x:v>AAAKCK</x:v>
      </x:c>
      <x:c r="G4" s="20" t="str">
        <x:v>AAAKCK</x:v>
      </x:c>
      <x:c r="H4" s="20" t="str">
        <x:v>L</x:v>
      </x:c>
      <x:c r="I4" s="20" t="str">
        <x:v>None</x:v>
      </x:c>
      <x:c r="J4" s="20" t="str"/>
      <x:c r="K4" s="20" t="str"/>
      <x:c r="L4" s="20"/>
      <x:c r="M4" s="20"/>
      <x:c r="N4" s="20" t="str">
        <x:v>Mostly icosahedron/decahedron; some hexagonal plates</x:v>
      </x:c>
      <x:c r="O4" s="20" t="str">
        <x:v>HAuCl4</x:v>
      </x:c>
      <x:c r="P4" s="20" t="str">
        <x:v>7 mM peptide; 10 mM HAuCl4; 20 mM phosphate buffer</x:v>
      </x:c>
      <x:c r="Q4" s="20" t="str">
        <x:v>Peptide self-reduction</x:v>
      </x:c>
      <x:c r="R4" s="20" t="n">
        <x:v>4</x:v>
      </x:c>
      <x:c r="S4" s="20" t="n">
        <x:v>25</x:v>
      </x:c>
      <x:c r="T4" s="20"/>
      <x:c r="U4" s="20" t="str">
        <x:v>No stirring; room temperature</x:v>
      </x:c>
      <x:c r="V4" s="20"/>
      <x:c r="W4" s="20"/>
      <x:c r="X4" s="20"/>
      <x:c r="Y4" s="20"/>
      <x:c r="Z4" s="20"/>
      <x:c r="AA4" s="20"/>
      <x:c r="AB4" s="20"/>
      <x:c r="AC4" s="20"/>
      <x:c r="AD4" s="20"/>
      <x:c r="AE4" s="20" t="str">
        <x:v>Mechanistic</x:v>
      </x:c>
      <x:c r="AF4" s="20" t="str">
        <x:v>pH 4: 71.4% icosahedron/decahedron; size ranges 55–90, 50–100 and 65–125 nm for icosahedron/decahedron/plates</x:v>
      </x:c>
      <x:c r="AG4" s="20" t="str">
        <x:v>Main text p.5; Fig.6</x:v>
      </x:c>
      <x:c r="AH4" s="20" t="str">
        <x:v>https://doi.org/10.1021/acsomega.6b00140</x:v>
      </x:c>
      <x:c r="AI4" s="24" t="n">
        <x:f>ROUND(100*COUNTA(G4,J4,L4,R4,S4,T4,V4,X4,AA4,AC4)/10,0)</x:f>
        <x:v>30</x:v>
      </x:c>
    </x:row>
    <x:row r="5" ht="18" customHeight="1">
      <x:c r="A5" s="20" t="str">
        <x:v>R002</x:v>
      </x:c>
      <x:c r="B5" s="20" t="str">
        <x:v>S01</x:v>
      </x:c>
      <x:c r="C5" s="20" t="str">
        <x:v>B1 PEPTIDE_AUNP_MECHANISM</x:v>
      </x:c>
      <x:c r="D5" s="20" t="str">
        <x:v>DIRECT</x:v>
      </x:c>
      <x:c r="E5" s="20" t="str">
        <x:v>gold_nanoparticle</x:v>
      </x:c>
      <x:c r="F5" s="20" t="str">
        <x:v>AAAKCK</x:v>
      </x:c>
      <x:c r="G5" s="20" t="str">
        <x:v>AAAKCK</x:v>
      </x:c>
      <x:c r="H5" s="20" t="str">
        <x:v>L</x:v>
      </x:c>
      <x:c r="I5" s="20" t="str">
        <x:v>None</x:v>
      </x:c>
      <x:c r="J5" s="20" t="str"/>
      <x:c r="K5" s="20" t="str"/>
      <x:c r="L5" s="20"/>
      <x:c r="M5" s="20"/>
      <x:c r="N5" s="20" t="str">
        <x:v>Mixed; icosahedron/decahedron + bipyramids/spheres/plates</x:v>
      </x:c>
      <x:c r="O5" s="20" t="str">
        <x:v>HAuCl4</x:v>
      </x:c>
      <x:c r="P5" s="20" t="str">
        <x:v>7 mM peptide; 10 mM HAuCl4; 20 mM phosphate buffer</x:v>
      </x:c>
      <x:c r="Q5" s="20" t="str">
        <x:v>Peptide self-reduction</x:v>
      </x:c>
      <x:c r="R5" s="20" t="n">
        <x:v>6</x:v>
      </x:c>
      <x:c r="S5" s="20" t="n">
        <x:v>25</x:v>
      </x:c>
      <x:c r="T5" s="20"/>
      <x:c r="U5" s="20" t="str">
        <x:v>No stirring; room temperature</x:v>
      </x:c>
      <x:c r="V5" s="20"/>
      <x:c r="W5" s="20"/>
      <x:c r="X5" s="20"/>
      <x:c r="Y5" s="20"/>
      <x:c r="Z5" s="20"/>
      <x:c r="AA5" s="20"/>
      <x:c r="AB5" s="20"/>
      <x:c r="AC5" s="20"/>
      <x:c r="AD5" s="20"/>
      <x:c r="AE5" s="20" t="str">
        <x:v>Mechanistic</x:v>
      </x:c>
      <x:c r="AF5" s="20" t="str">
        <x:v>pH 6 reduces many size ranges vs pH 4; spherical/bipyramidal forms appear</x:v>
      </x:c>
      <x:c r="AG5" s="20" t="str">
        <x:v>Main text p.5; Fig.6</x:v>
      </x:c>
      <x:c r="AH5" s="20" t="str">
        <x:v>https://doi.org/10.1021/acsomega.6b00140</x:v>
      </x:c>
      <x:c r="AI5" s="24" t="n">
        <x:f>ROUND(100*COUNTA(G5,J5,L5,R5,S5,T5,V5,X5,AA5,AC5)/10,0)</x:f>
        <x:v>30</x:v>
      </x:c>
    </x:row>
    <x:row r="6" ht="18" customHeight="1">
      <x:c r="A6" s="20" t="str">
        <x:v>R003</x:v>
      </x:c>
      <x:c r="B6" s="20" t="str">
        <x:v>S01</x:v>
      </x:c>
      <x:c r="C6" s="20" t="str">
        <x:v>B1 PEPTIDE_AUNP_MECHANISM</x:v>
      </x:c>
      <x:c r="D6" s="20" t="str">
        <x:v>DIRECT</x:v>
      </x:c>
      <x:c r="E6" s="20" t="str">
        <x:v>gold_nanoparticle</x:v>
      </x:c>
      <x:c r="F6" s="20" t="str">
        <x:v>AAAKCK</x:v>
      </x:c>
      <x:c r="G6" s="20" t="str">
        <x:v>AAAKCK</x:v>
      </x:c>
      <x:c r="H6" s="20" t="str">
        <x:v>L</x:v>
      </x:c>
      <x:c r="I6" s="20" t="str">
        <x:v>None</x:v>
      </x:c>
      <x:c r="J6" s="20" t="str"/>
      <x:c r="K6" s="20" t="str"/>
      <x:c r="L6" s="20" t="n">
        <x:v>18</x:v>
      </x:c>
      <x:c r="M6" s="20"/>
      <x:c r="N6" s="20" t="str">
        <x:v>Predominantly spherical / low shape polydispersity</x:v>
      </x:c>
      <x:c r="O6" s="20" t="str">
        <x:v>HAuCl4</x:v>
      </x:c>
      <x:c r="P6" s="20" t="str">
        <x:v>7 mM peptide; 10 mM HAuCl4; 20 mM phosphate buffer</x:v>
      </x:c>
      <x:c r="Q6" s="20" t="str">
        <x:v>Peptide self-reduction</x:v>
      </x:c>
      <x:c r="R6" s="20" t="n">
        <x:v>9</x:v>
      </x:c>
      <x:c r="S6" s="20" t="n">
        <x:v>25</x:v>
      </x:c>
      <x:c r="T6" s="20"/>
      <x:c r="U6" s="20" t="str">
        <x:v>No stirring; room temperature</x:v>
      </x:c>
      <x:c r="V6" s="20"/>
      <x:c r="W6" s="20"/>
      <x:c r="X6" s="20"/>
      <x:c r="Y6" s="20"/>
      <x:c r="Z6" s="20"/>
      <x:c r="AA6" s="20"/>
      <x:c r="AB6" s="20"/>
      <x:c r="AC6" s="20"/>
      <x:c r="AD6" s="20"/>
      <x:c r="AE6" s="20" t="str">
        <x:v>Mechanistic</x:v>
      </x:c>
      <x:c r="AF6" s="20" t="str">
        <x:v>pH 9 produced low shape polydispersity with predominant ~18 nm particles</x:v>
      </x:c>
      <x:c r="AG6" s="20" t="str">
        <x:v>Main text p.5; Fig.6F</x:v>
      </x:c>
      <x:c r="AH6" s="20" t="str">
        <x:v>https://doi.org/10.1021/acsomega.6b00140</x:v>
      </x:c>
      <x:c r="AI6" s="24" t="n">
        <x:f>ROUND(100*COUNTA(G6,J6,L6,R6,S6,T6,V6,X6,AA6,AC6)/10,0)</x:f>
        <x:v>40</x:v>
      </x:c>
    </x:row>
    <x:row r="7" ht="18" customHeight="1">
      <x:c r="A7" s="20" t="str">
        <x:v>R004</x:v>
      </x:c>
      <x:c r="B7" s="20" t="str">
        <x:v>S01</x:v>
      </x:c>
      <x:c r="C7" s="20" t="str">
        <x:v>B1 PEPTIDE_AUNP_MECHANISM</x:v>
      </x:c>
      <x:c r="D7" s="20" t="str">
        <x:v>DIRECT</x:v>
      </x:c>
      <x:c r="E7" s="20" t="str">
        <x:v>gold_nanoparticle</x:v>
      </x:c>
      <x:c r="F7" s="20" t="str">
        <x:v>AAARCR</x:v>
      </x:c>
      <x:c r="G7" s="20" t="str">
        <x:v>AAARCR</x:v>
      </x:c>
      <x:c r="H7" s="20" t="str">
        <x:v>L</x:v>
      </x:c>
      <x:c r="I7" s="20" t="str">
        <x:v>None</x:v>
      </x:c>
      <x:c r="J7" s="20" t="str"/>
      <x:c r="K7" s="20" t="str"/>
      <x:c r="L7" s="20" t="n">
        <x:v>79</x:v>
      </x:c>
      <x:c r="M7" s="20"/>
      <x:c r="N7" s="20" t="str">
        <x:v>Low-polydispersity particles</x:v>
      </x:c>
      <x:c r="O7" s="20" t="str">
        <x:v>HAuCl4</x:v>
      </x:c>
      <x:c r="P7" s="20" t="str">
        <x:v>Same base protocol as alkaline peptide experiments</x:v>
      </x:c>
      <x:c r="Q7" s="20" t="str">
        <x:v>Peptide self-reduction</x:v>
      </x:c>
      <x:c r="R7" s="20" t="n">
        <x:v>9</x:v>
      </x:c>
      <x:c r="S7" s="20" t="n">
        <x:v>25</x:v>
      </x:c>
      <x:c r="T7" s="20"/>
      <x:c r="U7" s="20" t="str">
        <x:v>No stirring; room temperature</x:v>
      </x:c>
      <x:c r="V7" s="20"/>
      <x:c r="W7" s="20"/>
      <x:c r="X7" s="20"/>
      <x:c r="Y7" s="20" t="n">
        <x:v>536</x:v>
      </x:c>
      <x:c r="Z7" s="20" t="n">
        <x:v>30.4</x:v>
      </x:c>
      <x:c r="AA7" s="20"/>
      <x:c r="AB7" s="20"/>
      <x:c r="AC7" s="20"/>
      <x:c r="AD7" s="20"/>
      <x:c r="AE7" s="20" t="str">
        <x:v>Mechanistic</x:v>
      </x:c>
      <x:c r="AF7" s="20" t="str">
        <x:v>Alkaline pH favored AAARCR synthesis; mean diameter 79±6 nm reported for pH 9–10</x:v>
      </x:c>
      <x:c r="AG7" s="20" t="str">
        <x:v>Main text p.7–8; Fig.11</x:v>
      </x:c>
      <x:c r="AH7" s="20" t="str">
        <x:v>https://doi.org/10.1021/acsomega.6b00140</x:v>
      </x:c>
      <x:c r="AI7" s="24" t="n">
        <x:f>ROUND(100*COUNTA(G7,J7,L7,R7,S7,T7,V7,X7,AA7,AC7)/10,0)</x:f>
        <x:v>40</x:v>
      </x:c>
    </x:row>
    <x:row r="8" ht="18" customHeight="1">
      <x:c r="A8" s="20" t="str">
        <x:v>R005</x:v>
      </x:c>
      <x:c r="B8" s="20" t="str">
        <x:v>S01</x:v>
      </x:c>
      <x:c r="C8" s="20" t="str">
        <x:v>B1 PEPTIDE_AUNP_MECHANISM</x:v>
      </x:c>
      <x:c r="D8" s="20" t="str">
        <x:v>DIRECT</x:v>
      </x:c>
      <x:c r="E8" s="20" t="str">
        <x:v>gold_nanoparticle</x:v>
      </x:c>
      <x:c r="F8" s="20" t="str">
        <x:v>AAARCR</x:v>
      </x:c>
      <x:c r="G8" s="20" t="str">
        <x:v>AAARCR</x:v>
      </x:c>
      <x:c r="H8" s="20" t="str">
        <x:v>L</x:v>
      </x:c>
      <x:c r="I8" s="20" t="str">
        <x:v>None</x:v>
      </x:c>
      <x:c r="J8" s="20" t="str"/>
      <x:c r="K8" s="20" t="str"/>
      <x:c r="L8" s="20" t="n">
        <x:v>79</x:v>
      </x:c>
      <x:c r="M8" s="20"/>
      <x:c r="N8" s="20" t="str">
        <x:v>Low-polydispersity particles</x:v>
      </x:c>
      <x:c r="O8" s="20" t="str">
        <x:v>HAuCl4</x:v>
      </x:c>
      <x:c r="P8" s="20" t="str">
        <x:v>Same base protocol as alkaline peptide experiments</x:v>
      </x:c>
      <x:c r="Q8" s="20" t="str">
        <x:v>Peptide self-reduction</x:v>
      </x:c>
      <x:c r="R8" s="20" t="n">
        <x:v>10</x:v>
      </x:c>
      <x:c r="S8" s="20" t="n">
        <x:v>25</x:v>
      </x:c>
      <x:c r="T8" s="20"/>
      <x:c r="U8" s="20" t="str">
        <x:v>No stirring; room temperature</x:v>
      </x:c>
      <x:c r="V8" s="20"/>
      <x:c r="W8" s="20"/>
      <x:c r="X8" s="20"/>
      <x:c r="Y8" s="20" t="n">
        <x:v>536</x:v>
      </x:c>
      <x:c r="Z8" s="20" t="n">
        <x:v>33.2</x:v>
      </x:c>
      <x:c r="AA8" s="20"/>
      <x:c r="AB8" s="20"/>
      <x:c r="AC8" s="20"/>
      <x:c r="AD8" s="20"/>
      <x:c r="AE8" s="20" t="str">
        <x:v>Mechanistic</x:v>
      </x:c>
      <x:c r="AF8" s="20" t="str">
        <x:v>Narrow SPR ~536 nm; mean diameter 79±6 nm; positive zeta potential</x:v>
      </x:c>
      <x:c r="AG8" s="20" t="str">
        <x:v>Main text p.7–8; Fig.11</x:v>
      </x:c>
      <x:c r="AH8" s="20" t="str">
        <x:v>https://doi.org/10.1021/acsomega.6b00140</x:v>
      </x:c>
      <x:c r="AI8" s="24" t="n">
        <x:f>ROUND(100*COUNTA(G8,J8,L8,R8,S8,T8,V8,X8,AA8,AC8)/10,0)</x:f>
        <x:v>40</x:v>
      </x:c>
    </x:row>
    <x:row r="9" ht="18" customHeight="1">
      <x:c r="A9" s="20" t="str">
        <x:v>R006</x:v>
      </x:c>
      <x:c r="B9" s="20" t="str">
        <x:v>S01</x:v>
      </x:c>
      <x:c r="C9" s="20" t="str">
        <x:v>B1 PEPTIDE_AUNP_MECHANISM</x:v>
      </x:c>
      <x:c r="D9" s="20" t="str">
        <x:v>DIRECT</x:v>
      </x:c>
      <x:c r="E9" s="20" t="str">
        <x:v>gold_nanoparticle</x:v>
      </x:c>
      <x:c r="F9" s="20" t="str">
        <x:v>AAAACA</x:v>
      </x:c>
      <x:c r="G9" s="20" t="str">
        <x:v>AAAACA</x:v>
      </x:c>
      <x:c r="H9" s="20" t="str">
        <x:v>L</x:v>
      </x:c>
      <x:c r="I9" s="20" t="str">
        <x:v>PEG10 required</x:v>
      </x:c>
      <x:c r="J9" s="20" t="str"/>
      <x:c r="K9" s="20" t="str"/>
      <x:c r="L9" s="20"/>
      <x:c r="M9" s="20"/>
      <x:c r="N9" s="20" t="str">
        <x:v>GNP formation</x:v>
      </x:c>
      <x:c r="O9" s="20" t="str">
        <x:v>HAuCl4</x:v>
      </x:c>
      <x:c r="P9" s="20" t="str">
        <x:v>PEG10 present</x:v>
      </x:c>
      <x:c r="Q9" s="20" t="str">
        <x:v>Peptide + PEG-assisted</x:v>
      </x:c>
      <x:c r="R9" s="20" t="n">
        <x:v>8</x:v>
      </x:c>
      <x:c r="S9" s="20" t="n">
        <x:v>25</x:v>
      </x:c>
      <x:c r="T9" s="20"/>
      <x:c r="U9" s="20" t="str">
        <x:v>Room temperature</x:v>
      </x:c>
      <x:c r="V9" s="20"/>
      <x:c r="W9" s="20"/>
      <x:c r="X9" s="20"/>
      <x:c r="Y9" s="20"/>
      <x:c r="Z9" s="20"/>
      <x:c r="AA9" s="20"/>
      <x:c r="AB9" s="20"/>
      <x:c r="AC9" s="20"/>
      <x:c r="AD9" s="20"/>
      <x:c r="AE9" s="20" t="str">
        <x:v>Mechanistic</x:v>
      </x:c>
      <x:c r="AF9" s="20" t="str">
        <x:v>Neutral peptide required PEG10; GNP synthesis at pH 8 and 11</x:v>
      </x:c>
      <x:c r="AG9" s="20" t="str">
        <x:v>Main text p.8 + SI</x:v>
      </x:c>
      <x:c r="AH9" s="20" t="str">
        <x:v>https://doi.org/10.1021/acsomega.6b00140</x:v>
      </x:c>
      <x:c r="AI9" s="24" t="n">
        <x:f>ROUND(100*COUNTA(G9,J9,L9,R9,S9,T9,V9,X9,AA9,AC9)/10,0)</x:f>
        <x:v>30</x:v>
      </x:c>
    </x:row>
    <x:row r="10" ht="18" customHeight="1">
      <x:c r="A10" s="20" t="str">
        <x:v>R007</x:v>
      </x:c>
      <x:c r="B10" s="20" t="str">
        <x:v>S01</x:v>
      </x:c>
      <x:c r="C10" s="20" t="str">
        <x:v>B1 PEPTIDE_AUNP_MECHANISM</x:v>
      </x:c>
      <x:c r="D10" s="20" t="str">
        <x:v>DIRECT</x:v>
      </x:c>
      <x:c r="E10" s="20" t="str">
        <x:v>gold_nanoparticle</x:v>
      </x:c>
      <x:c r="F10" s="20" t="str">
        <x:v>AAAECE</x:v>
      </x:c>
      <x:c r="G10" s="20" t="str">
        <x:v>AAAECE</x:v>
      </x:c>
      <x:c r="H10" s="20" t="str">
        <x:v>L</x:v>
      </x:c>
      <x:c r="I10" s="20" t="str">
        <x:v>PEG10 required</x:v>
      </x:c>
      <x:c r="J10" s="20" t="str"/>
      <x:c r="K10" s="20" t="str"/>
      <x:c r="L10" s="20"/>
      <x:c r="M10" s="20"/>
      <x:c r="N10" s="20" t="str">
        <x:v>GNP formation</x:v>
      </x:c>
      <x:c r="O10" s="20" t="str">
        <x:v>HAuCl4</x:v>
      </x:c>
      <x:c r="P10" s="20" t="str">
        <x:v>PEG10 present</x:v>
      </x:c>
      <x:c r="Q10" s="20" t="str">
        <x:v>Peptide + PEG-assisted</x:v>
      </x:c>
      <x:c r="R10" s="20" t="n">
        <x:v>7</x:v>
      </x:c>
      <x:c r="S10" s="20" t="n">
        <x:v>80</x:v>
      </x:c>
      <x:c r="T10" s="20"/>
      <x:c r="U10" s="20" t="str">
        <x:v>Heating required</x:v>
      </x:c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 t="str">
        <x:v>Mechanistic</x:v>
      </x:c>
      <x:c r="AF10" s="20" t="str">
        <x:v>Acidic peptide required PEG10 and 80°C; synthesis observed at pH 7 and 11</x:v>
      </x:c>
      <x:c r="AG10" s="20" t="str">
        <x:v>Main text p.8 + SI</x:v>
      </x:c>
      <x:c r="AH10" s="20" t="str">
        <x:v>https://doi.org/10.1021/acsomega.6b00140</x:v>
      </x:c>
      <x:c r="AI10" s="24" t="n">
        <x:f>ROUND(100*COUNTA(G10,J10,L10,R10,S10,T10,V10,X10,AA10,AC10)/10,0)</x:f>
        <x:v>30</x:v>
      </x:c>
    </x:row>
    <x:row r="11" ht="18" customHeight="1">
      <x:c r="A11" s="20" t="str">
        <x:v>R008</x:v>
      </x:c>
      <x:c r="B11" s="20" t="str">
        <x:v>S01</x:v>
      </x:c>
      <x:c r="C11" s="20" t="str">
        <x:v>B1 PEPTIDE_AUNP_MECHANISM</x:v>
      </x:c>
      <x:c r="D11" s="20" t="str">
        <x:v>DIRECT</x:v>
      </x:c>
      <x:c r="E11" s="20" t="str">
        <x:v>gold_nanoparticle</x:v>
      </x:c>
      <x:c r="F11" s="20" t="str">
        <x:v>Glutathione (GSH)</x:v>
      </x:c>
      <x:c r="G11" s="20" t="str">
        <x:v>γ-ECG</x:v>
      </x:c>
      <x:c r="H11" s="20" t="str">
        <x:v>L</x:v>
      </x:c>
      <x:c r="I11" s="20" t="str">
        <x:v>PEG10 required</x:v>
      </x:c>
      <x:c r="J11" s="20" t="str"/>
      <x:c r="K11" s="20" t="str"/>
      <x:c r="L11" s="20"/>
      <x:c r="M11" s="20"/>
      <x:c r="N11" s="20" t="str">
        <x:v>GNP formation</x:v>
      </x:c>
      <x:c r="O11" s="20" t="str">
        <x:v>HAuCl4</x:v>
      </x:c>
      <x:c r="P11" s="20" t="str">
        <x:v>PEG10 present</x:v>
      </x:c>
      <x:c r="Q11" s="20" t="str">
        <x:v>Peptide + PEG-assisted</x:v>
      </x:c>
      <x:c r="R11" s="20" t="n">
        <x:v>11</x:v>
      </x:c>
      <x:c r="S11" s="20" t="n">
        <x:v>80</x:v>
      </x:c>
      <x:c r="T11" s="20"/>
      <x:c r="U11" s="20" t="str">
        <x:v>Heating required</x:v>
      </x:c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 t="str">
        <x:v>Mechanistic</x:v>
      </x:c>
      <x:c r="AF11" s="20" t="str">
        <x:v>GSH required PEG10 + 80°C and produced GNPs only at pH 11 in this study</x:v>
      </x:c>
      <x:c r="AG11" s="20" t="str">
        <x:v>Main text p.8 + SI</x:v>
      </x:c>
      <x:c r="AH11" s="20" t="str">
        <x:v>https://doi.org/10.1021/acsomega.6b00140</x:v>
      </x:c>
      <x:c r="AI11" s="24" t="n">
        <x:f>ROUND(100*COUNTA(G11,J11,L11,R11,S11,T11,V11,X11,AA11,AC11)/10,0)</x:f>
        <x:v>30</x:v>
      </x:c>
    </x:row>
    <x:row r="12" ht="18" customHeight="1">
      <x:c r="A12" s="20" t="str">
        <x:v>R009</x:v>
      </x:c>
      <x:c r="B12" s="20" t="str">
        <x:v>S02</x:v>
      </x:c>
      <x:c r="C12" s="20" t="str">
        <x:v>B1 PEPTIDE_AUNP_MECHANISM</x:v>
      </x:c>
      <x:c r="D12" s="20" t="str">
        <x:v>DIRECT</x:v>
      </x:c>
      <x:c r="E12" s="20" t="str">
        <x:v>gold_bipyramid</x:v>
      </x:c>
      <x:c r="F12" s="20" t="str">
        <x:v>D-Cys-Phe</x:v>
      </x:c>
      <x:c r="G12" s="20" t="str">
        <x:v>CF</x:v>
      </x:c>
      <x:c r="H12" s="20" t="str">
        <x:v>D</x:v>
      </x:c>
      <x:c r="I12" s="20" t="str">
        <x:v>Chiral D peptide; SH-PEG surface stabilization</x:v>
      </x:c>
      <x:c r="J12" s="20" t="str"/>
      <x:c r="K12" s="20" t="str"/>
      <x:c r="L12" s="20"/>
      <x:c r="M12" s="20"/>
      <x:c r="N12" s="20" t="str">
        <x:v>Sea-cucumber-like spiked GBP; ~200×50 nm</x:v>
      </x:c>
      <x:c r="O12" s="20" t="str">
        <x:v>HAuCl4</x:v>
      </x:c>
      <x:c r="P12" s="20" t="str">
        <x:v>Seed-mediated growth with Cys-Phe</x:v>
      </x:c>
      <x:c r="Q12" s="20" t="str">
        <x:v>Ascorbic acid</x:v>
      </x:c>
      <x:c r="R12" s="20"/>
      <x:c r="S12" s="20"/>
      <x:c r="T12" s="20"/>
      <x:c r="U12" s="20" t="str">
        <x:v>~100 nm Au NBP seeds; aqueous growth</x:v>
      </x:c>
      <x:c r="V12" s="20"/>
      <x:c r="W12" s="20"/>
      <x:c r="X12" s="20"/>
      <x:c r="Y12" s="20" t="n">
        <x:v>536</x:v>
      </x:c>
      <x:c r="Z12" s="20"/>
      <x:c r="AA12" s="20" t="n">
        <x:v>808</x:v>
      </x:c>
      <x:c r="AB12" s="20" t="n">
        <x:v>0.8</x:v>
      </x:c>
      <x:c r="AC12" s="20" t="str">
        <x:v>&gt;45</x:v>
      </x:c>
      <x:c r="AD12" s="20" t="n">
        <x:v>5</x:v>
      </x:c>
      <x:c r="AE12" s="20" t="str">
        <x:v>Antibacterial PTT</x:v>
      </x:c>
      <x:c r="AF12" s="20" t="str">
        <x:v>D-form gave stronger bacterial binding and higher PTT response than L-form</x:v>
      </x:c>
      <x:c r="AG12" s="20" t="str">
        <x:v>Main text pp.2–4</x:v>
      </x:c>
      <x:c r="AH12" s="20" t="str">
        <x:v>https://doi.org/10.1039/d2sc03443c</x:v>
      </x:c>
      <x:c r="AI12" s="24" t="n">
        <x:f>ROUND(100*COUNTA(G12,J12,L12,R12,S12,T12,V12,X12,AA12,AC12)/10,0)</x:f>
        <x:v>30</x:v>
      </x:c>
    </x:row>
    <x:row r="13" ht="18" customHeight="1">
      <x:c r="A13" s="20" t="str">
        <x:v>R010</x:v>
      </x:c>
      <x:c r="B13" s="20" t="str">
        <x:v>S02</x:v>
      </x:c>
      <x:c r="C13" s="20" t="str">
        <x:v>B1 PEPTIDE_AUNP_MECHANISM</x:v>
      </x:c>
      <x:c r="D13" s="20" t="str">
        <x:v>DIRECT</x:v>
      </x:c>
      <x:c r="E13" s="20" t="str">
        <x:v>gold_bipyramid</x:v>
      </x:c>
      <x:c r="F13" s="20" t="str">
        <x:v>L-Cys-Phe</x:v>
      </x:c>
      <x:c r="G13" s="20" t="str">
        <x:v>CF</x:v>
      </x:c>
      <x:c r="H13" s="20" t="str">
        <x:v>L</x:v>
      </x:c>
      <x:c r="I13" s="20" t="str">
        <x:v>Chiral L peptide; SH-PEG surface stabilization</x:v>
      </x:c>
      <x:c r="J13" s="20" t="str"/>
      <x:c r="K13" s="20" t="str"/>
      <x:c r="L13" s="20"/>
      <x:c r="M13" s="20"/>
      <x:c r="N13" s="20" t="str">
        <x:v>Sea-cucumber-like spiked GBP; ~200×50 nm</x:v>
      </x:c>
      <x:c r="O13" s="20" t="str">
        <x:v>HAuCl4</x:v>
      </x:c>
      <x:c r="P13" s="20" t="str">
        <x:v>Seed-mediated growth with Cys-Phe</x:v>
      </x:c>
      <x:c r="Q13" s="20" t="str">
        <x:v>Ascorbic acid</x:v>
      </x:c>
      <x:c r="R13" s="20"/>
      <x:c r="S13" s="20"/>
      <x:c r="T13" s="20"/>
      <x:c r="U13" s="20" t="str">
        <x:v>~100 nm Au NBP seeds; aqueous growth</x:v>
      </x:c>
      <x:c r="V13" s="20"/>
      <x:c r="W13" s="20"/>
      <x:c r="X13" s="20"/>
      <x:c r="Y13" s="20" t="n">
        <x:v>536</x:v>
      </x:c>
      <x:c r="Z13" s="20"/>
      <x:c r="AA13" s="20" t="n">
        <x:v>808</x:v>
      </x:c>
      <x:c r="AB13" s="20" t="n">
        <x:v>0.8</x:v>
      </x:c>
      <x:c r="AC13" s="20" t="str">
        <x:v>&gt;45</x:v>
      </x:c>
      <x:c r="AD13" s="20" t="n">
        <x:v>5</x:v>
      </x:c>
      <x:c r="AE13" s="20" t="str">
        <x:v>Antibacterial PTT</x:v>
      </x:c>
      <x:c r="AF13" s="20" t="str">
        <x:v>L-form forms mirror-chiral GBP and has lower bacterial affinity than D-form</x:v>
      </x:c>
      <x:c r="AG13" s="20" t="str">
        <x:v>Main text pp.2–4</x:v>
      </x:c>
      <x:c r="AH13" s="20" t="str">
        <x:v>https://doi.org/10.1039/d2sc03443c</x:v>
      </x:c>
      <x:c r="AI13" s="24" t="n">
        <x:f>ROUND(100*COUNTA(G13,J13,L13,R13,S13,T13,V13,X13,AA13,AC13)/10,0)</x:f>
        <x:v>30</x:v>
      </x:c>
    </x:row>
    <x:row r="14" ht="18" customHeight="1">
      <x:c r="A14" s="20" t="str">
        <x:v>R011</x:v>
      </x:c>
      <x:c r="B14" s="20" t="str">
        <x:v>S03</x:v>
      </x:c>
      <x:c r="C14" s="20" t="str">
        <x:v>B1 PEPTIDE_AUNP_MECHANISM</x:v>
      </x:c>
      <x:c r="D14" s="20" t="str">
        <x:v>DIRECT</x:v>
      </x:c>
      <x:c r="E14" s="20" t="str">
        <x:v>gold_superstructure</x:v>
      </x:c>
      <x:c r="F14" s="20" t="str">
        <x:v>C18-(PEPAuM-ox)2</x:v>
      </x:c>
      <x:c r="G14" s="20" t="str">
        <x:v>AYSSGAPPMoxPPF</x:v>
      </x:c>
      <x:c r="H14" s="20" t="str">
        <x:v>L</x:v>
      </x:c>
      <x:c r="I14" s="20" t="str">
        <x:v>C18 tail; methionine oxidized to sulfoxide</x:v>
      </x:c>
      <x:c r="J14" s="20" t="str"/>
      <x:c r="K14" s="20" t="str"/>
      <x:c r="L14" s="20"/>
      <x:c r="M14" s="20"/>
      <x:c r="N14" s="20" t="str">
        <x:v>Single-helical superstructure; rod-like AuNP 16.6×9.6 nm</x:v>
      </x:c>
      <x:c r="O14" s="20" t="str">
        <x:v>Gold salt</x:v>
      </x:c>
      <x:c r="P14" s="20" t="str">
        <x:v>Peptide conjugate + assembly buffer</x:v>
      </x:c>
      <x:c r="Q14" s="20" t="str">
        <x:v>Reducing agent used</x:v>
      </x:c>
      <x:c r="R14" s="20"/>
      <x:c r="S14" s="20"/>
      <x:c r="T14" s="20" t="n">
        <x:v>15</x:v>
      </x:c>
      <x:c r="U14" s="20" t="str">
        <x:v>In-situ growth on peptide fibers</x:v>
      </x:c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 t="str">
        <x:v>Chiral assembly</x:v>
      </x:c>
      <x:c r="AF14" s="20" t="str">
        <x:v>Methionine oxidation alone switches product toward single helices under otherwise nearly identical synthesis conditions</x:v>
      </x:c>
      <x:c r="AG14" s="20" t="str">
        <x:v>Main text p.2; Fig.1–2</x:v>
      </x:c>
      <x:c r="AH14" s="20" t="str">
        <x:v>https://doi.org/10.1021/jacs.6b07322</x:v>
      </x:c>
      <x:c r="AI14" s="24" t="n">
        <x:f>ROUND(100*COUNTA(G14,J14,L14,R14,S14,T14,V14,X14,AA14,AC14)/10,0)</x:f>
        <x:v>20</x:v>
      </x:c>
    </x:row>
    <x:row r="15" ht="18" customHeight="1">
      <x:c r="A15" s="20" t="str">
        <x:v>R012</x:v>
      </x:c>
      <x:c r="B15" s="20" t="str">
        <x:v>S03</x:v>
      </x:c>
      <x:c r="C15" s="20" t="str">
        <x:v>B1 PEPTIDE_AUNP_MECHANISM</x:v>
      </x:c>
      <x:c r="D15" s="20" t="str">
        <x:v>DIRECT</x:v>
      </x:c>
      <x:c r="E15" s="20" t="str">
        <x:v>gold_superstructure</x:v>
      </x:c>
      <x:c r="F15" s="20" t="str">
        <x:v>C18-(PEPAu)2</x:v>
      </x:c>
      <x:c r="G15" s="20" t="str">
        <x:v>AYSSGAPPMPPF</x:v>
      </x:c>
      <x:c r="H15" s="20" t="str">
        <x:v>L</x:v>
      </x:c>
      <x:c r="I15" s="20" t="str">
        <x:v>C18 tail; unoxidized methionine</x:v>
      </x:c>
      <x:c r="J15" s="20" t="str"/>
      <x:c r="K15" s="20" t="str"/>
      <x:c r="L15" s="20"/>
      <x:c r="M15" s="20"/>
      <x:c r="N15" s="20" t="str">
        <x:v>Double-helical superstructure</x:v>
      </x:c>
      <x:c r="O15" s="20" t="str">
        <x:v>Gold salt</x:v>
      </x:c>
      <x:c r="P15" s="20" t="str">
        <x:v>Peptide conjugate + assembly buffer</x:v>
      </x:c>
      <x:c r="Q15" s="20" t="str">
        <x:v>Reducing agent used</x:v>
      </x:c>
      <x:c r="R15" s="20"/>
      <x:c r="S15" s="20"/>
      <x:c r="T15" s="20"/>
      <x:c r="U15" s="20" t="str">
        <x:v>In-situ growth on peptide fibers</x:v>
      </x:c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 t="str">
        <x:v>Chiral assembly</x:v>
      </x:c>
      <x:c r="AF15" s="20" t="str">
        <x:v>Unoxidized conjugate directs double-helical assembly; serves as paired comparator to oxidized peptide</x:v>
      </x:c>
      <x:c r="AG15" s="20" t="str">
        <x:v>Main text pp.1–2</x:v>
      </x:c>
      <x:c r="AH15" s="20" t="str">
        <x:v>https://doi.org/10.1021/jacs.6b07322</x:v>
      </x:c>
      <x:c r="AI15" s="24" t="n">
        <x:f>ROUND(100*COUNTA(G15,J15,L15,R15,S15,T15,V15,X15,AA15,AC15)/10,0)</x:f>
        <x:v>10</x:v>
      </x:c>
    </x:row>
    <x:row r="16" ht="18" customHeight="1">
      <x:c r="A16" s="20" t="str">
        <x:v>R013</x:v>
      </x:c>
      <x:c r="B16" s="20" t="str">
        <x:v>S04</x:v>
      </x:c>
      <x:c r="C16" s="20" t="str">
        <x:v>B1 PEPTIDE_AUNP_MECHANISM</x:v>
      </x:c>
      <x:c r="D16" s="20" t="str">
        <x:v>DIRECT</x:v>
      </x:c>
      <x:c r="E16" s="20" t="str">
        <x:v>gold_superstructure</x:v>
      </x:c>
      <x:c r="F16" s="20" t="str">
        <x:v>C12-L-PEPAu</x:v>
      </x:c>
      <x:c r="G16" s="20" t="str">
        <x:v>AYSSGAPPMPPF</x:v>
      </x:c>
      <x:c r="H16" s="20" t="str">
        <x:v>L</x:v>
      </x:c>
      <x:c r="I16" s="20" t="str">
        <x:v>C12 acyl tail</x:v>
      </x:c>
      <x:c r="J16" s="20" t="str"/>
      <x:c r="K16" s="20" t="str"/>
      <x:c r="L16" s="20" t="n">
        <x:v>5.74</x:v>
      </x:c>
      <x:c r="M16" s="20"/>
      <x:c r="N16" s="20" t="str">
        <x:v>Left-handed double helix</x:v>
      </x:c>
      <x:c r="O16" s="20" t="str">
        <x:v>Gold precursor</x:v>
      </x:c>
      <x:c r="P16" s="20" t="str">
        <x:v>Mixed with HEPES buffer</x:v>
      </x:c>
      <x:c r="Q16" s="20"/>
      <x:c r="R16" s="20"/>
      <x:c r="S16" s="20"/>
      <x:c r="T16" s="20"/>
      <x:c r="U16" s="20" t="str">
        <x:v>Peptide self-assembly + Au growth</x:v>
      </x:c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 t="str">
        <x:v>Chiral plasmonics</x:v>
      </x:c>
      <x:c r="AF16" s="20" t="str">
        <x:v>L-peptide gives left-handed helices; initial particles 5.74±0.75 nm</x:v>
      </x:c>
      <x:c r="AG16" s="20" t="str">
        <x:v>Main text pp.1–2</x:v>
      </x:c>
      <x:c r="AH16" s="20" t="str">
        <x:v>https://doi.org/10.1021/nl4013776</x:v>
      </x:c>
      <x:c r="AI16" s="24" t="n">
        <x:f>ROUND(100*COUNTA(G16,J16,L16,R16,S16,T16,V16,X16,AA16,AC16)/10,0)</x:f>
        <x:v>20</x:v>
      </x:c>
    </x:row>
    <x:row r="17" ht="18" customHeight="1">
      <x:c r="A17" s="20" t="str">
        <x:v>R014</x:v>
      </x:c>
      <x:c r="B17" s="20" t="str">
        <x:v>S04</x:v>
      </x:c>
      <x:c r="C17" s="20" t="str">
        <x:v>B1 PEPTIDE_AUNP_MECHANISM</x:v>
      </x:c>
      <x:c r="D17" s="20" t="str">
        <x:v>DIRECT</x:v>
      </x:c>
      <x:c r="E17" s="20" t="str">
        <x:v>gold_superstructure</x:v>
      </x:c>
      <x:c r="F17" s="20" t="str">
        <x:v>C12-D-PEPAu</x:v>
      </x:c>
      <x:c r="G17" s="20" t="str">
        <x:v>AYSSGAPPMPPF</x:v>
      </x:c>
      <x:c r="H17" s="20" t="str">
        <x:v>D</x:v>
      </x:c>
      <x:c r="I17" s="20" t="str">
        <x:v>C12 acyl tail</x:v>
      </x:c>
      <x:c r="J17" s="20" t="str"/>
      <x:c r="K17" s="20" t="str"/>
      <x:c r="L17" s="20" t="n">
        <x:v>5.25</x:v>
      </x:c>
      <x:c r="M17" s="20"/>
      <x:c r="N17" s="20" t="str">
        <x:v>Right-handed double helix</x:v>
      </x:c>
      <x:c r="O17" s="20" t="str">
        <x:v>Gold precursor</x:v>
      </x:c>
      <x:c r="P17" s="20" t="str">
        <x:v>Mixed with HEPES buffer</x:v>
      </x:c>
      <x:c r="Q17" s="20"/>
      <x:c r="R17" s="20"/>
      <x:c r="S17" s="20"/>
      <x:c r="T17" s="20"/>
      <x:c r="U17" s="20" t="str">
        <x:v>Peptide self-assembly + Au growth</x:v>
      </x:c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 t="str">
        <x:v>Chiral plasmonics</x:v>
      </x:c>
      <x:c r="AF17" s="20" t="str">
        <x:v>D-peptide gives right-handed helices; initial particles 5.25±0.79 nm</x:v>
      </x:c>
      <x:c r="AG17" s="20" t="str">
        <x:v>Main text pp.1–2</x:v>
      </x:c>
      <x:c r="AH17" s="20" t="str">
        <x:v>https://doi.org/10.1021/nl4013776</x:v>
      </x:c>
      <x:c r="AI17" s="24" t="n">
        <x:f>ROUND(100*COUNTA(G17,J17,L17,R17,S17,T17,V17,X17,AA17,AC17)/10,0)</x:f>
        <x:v>20</x:v>
      </x:c>
    </x:row>
    <x:row r="18" ht="18" customHeight="1">
      <x:c r="A18" s="20" t="str">
        <x:v>R015</x:v>
      </x:c>
      <x:c r="B18" s="20" t="str">
        <x:v>S14</x:v>
      </x:c>
      <x:c r="C18" s="20" t="str">
        <x:v>A1 DIRECT_PEPTIDE_ATOMIC_AUNC</x:v>
      </x:c>
      <x:c r="D18" s="20" t="str">
        <x:v>DIRECT</x:v>
      </x:c>
      <x:c r="E18" s="20" t="str">
        <x:v>atomically_precise_AuNC</x:v>
      </x:c>
      <x:c r="F18" s="20" t="str">
        <x:v>Glutathione (SG)</x:v>
      </x:c>
      <x:c r="G18" s="20" t="str">
        <x:v>γ-ECG</x:v>
      </x:c>
      <x:c r="H18" s="20" t="str">
        <x:v>L</x:v>
      </x:c>
      <x:c r="I18" s="20" t="str">
        <x:v>Thiolate ligand</x:v>
      </x:c>
      <x:c r="J18" s="20" t="n">
        <x:v>22</x:v>
      </x:c>
      <x:c r="K18" s="20" t="n">
        <x:v>18</x:v>
      </x:c>
      <x:c r="L18" s="20" t="n">
        <x:v>1.5</x:v>
      </x:c>
      <x:c r="M18" s="20" t="n">
        <x:v>2.01</x:v>
      </x:c>
      <x:c r="N18" s="20" t="str">
        <x:v>Atomically precise Au22(SG)18</x:v>
      </x:c>
      <x:c r="O18" s="20" t="str">
        <x:v>HAuCl4</x:v>
      </x:c>
      <x:c r="P18" s="20" t="str">
        <x:v>20 mM HAuCl4 12.5 mL + 50 mM GSH 7.5 mL in 180 mL water</x:v>
      </x:c>
      <x:c r="Q18" s="20" t="str">
        <x:v>NaBH4</x:v>
      </x:c>
      <x:c r="R18" s="20" t="n">
        <x:v>12</x:v>
      </x:c>
      <x:c r="S18" s="20" t="n">
        <x:v>25</x:v>
      </x:c>
      <x:c r="T18" s="20" t="n">
        <x:v>0.5</x:v>
      </x:c>
      <x:c r="U18" s="20" t="str">
        <x:v>500 rpm after NaBH4; then acidification</x:v>
      </x:c>
      <x:c r="V18" s="20" t="n">
        <x:v>925</x:v>
      </x:c>
      <x:c r="W18" s="20" t="str">
        <x:v>925–1300 tail</x:v>
      </x:c>
      <x:c r="X18" s="20" t="n">
        <x:v>0.16</x:v>
      </x:c>
      <x:c r="Y18" s="20" t="n">
        <x:v>515</x:v>
      </x:c>
      <x:c r="Z18" s="20"/>
      <x:c r="AA18" s="20" t="n">
        <x:v>808</x:v>
      </x:c>
      <x:c r="AB18" s="20"/>
      <x:c r="AC18" s="20"/>
      <x:c r="AD18" s="20"/>
      <x:c r="AE18" s="20" t="str">
        <x:v>NIR-II imaging / bioactivity</x:v>
      </x:c>
      <x:c r="AF18" s="20" t="str">
        <x:v>Atomic-precision Au22; pH later shifted to 2.5 and sealed/stirred 8 h for size focusing/purification</x:v>
      </x:c>
      <x:c r="AG18" s="20" t="str">
        <x:v>Results p.2 + Methods p.13</x:v>
      </x:c>
      <x:c r="AH18" s="20" t="str">
        <x:v>https://doi.org/10.1126/sciadv.adh7828</x:v>
      </x:c>
      <x:c r="AI18" s="24" t="n">
        <x:f>ROUND(100*COUNTA(G18,J18,L18,R18,S18,T18,V18,X18,AA18,AC18)/10,0)</x:f>
        <x:v>90</x:v>
      </x:c>
    </x:row>
    <x:row r="19" ht="18" customHeight="1">
      <x:c r="A19" s="20" t="str">
        <x:v>R016</x:v>
      </x:c>
      <x:c r="B19" s="20" t="str">
        <x:v>S14</x:v>
      </x:c>
      <x:c r="C19" s="20" t="str">
        <x:v>A1 DIRECT_PEPTIDE_ATOMIC_AUNC</x:v>
      </x:c>
      <x:c r="D19" s="20" t="str">
        <x:v>DIRECT</x:v>
      </x:c>
      <x:c r="E19" s="20" t="str">
        <x:v>atomically_precise_AuNC</x:v>
      </x:c>
      <x:c r="F19" s="20" t="str">
        <x:v>Glutathione (SG)</x:v>
      </x:c>
      <x:c r="G19" s="20" t="str">
        <x:v>γ-ECG</x:v>
      </x:c>
      <x:c r="H19" s="20" t="str">
        <x:v>L</x:v>
      </x:c>
      <x:c r="I19" s="20" t="str">
        <x:v>Single Cu atom doping</x:v>
      </x:c>
      <x:c r="J19" s="20" t="n">
        <x:v>21</x:v>
      </x:c>
      <x:c r="K19" s="20" t="n">
        <x:v>18</x:v>
      </x:c>
      <x:c r="L19" s="20" t="n">
        <x:v>1.5</x:v>
      </x:c>
      <x:c r="M19" s="20"/>
      <x:c r="N19" s="20" t="str">
        <x:v>Au21Cu1(SG)18</x:v>
      </x:c>
      <x:c r="O19" s="20" t="str">
        <x:v>HAuCl4 + Cu2+</x:v>
      </x:c>
      <x:c r="P19" s="20" t="str">
        <x:v>Same Au22 method; Cu2+ added</x:v>
      </x:c>
      <x:c r="Q19" s="20" t="str">
        <x:v>NaBH4</x:v>
      </x:c>
      <x:c r="R19" s="20" t="n">
        <x:v>12</x:v>
      </x:c>
      <x:c r="S19" s="20" t="n">
        <x:v>25</x:v>
      </x:c>
      <x:c r="T19" s="20" t="n">
        <x:v>8.5</x:v>
      </x:c>
      <x:c r="U19" s="20" t="str">
        <x:v>500 rpm 30 min; pH 2.5; sealed 200 rpm 8 h</x:v>
      </x:c>
      <x:c r="V19" s="20"/>
      <x:c r="W19" s="20"/>
      <x:c r="X19" s="20"/>
      <x:c r="Y19" s="20"/>
      <x:c r="Z19" s="20"/>
      <x:c r="AA19" s="20" t="n">
        <x:v>808</x:v>
      </x:c>
      <x:c r="AB19" s="20"/>
      <x:c r="AC19" s="20"/>
      <x:c r="AD19" s="20"/>
      <x:c r="AE19" s="20" t="str">
        <x:v>NIR-II imaging / nanozyme</x:v>
      </x:c>
      <x:c r="AF19" s="20" t="str">
        <x:v>Cu single-atom substitution lowers bandgap 1.33→1.28 eV and strongly increases enzyme-mimetic activity</x:v>
      </x:c>
      <x:c r="AG19" s="20" t="str">
        <x:v>Results pp.1–2 + Methods p.13</x:v>
      </x:c>
      <x:c r="AH19" s="20" t="str">
        <x:v>https://doi.org/10.1126/sciadv.adh7828</x:v>
      </x:c>
      <x:c r="AI19" s="24" t="n">
        <x:f>ROUND(100*COUNTA(G19,J19,L19,R19,S19,T19,V19,X19,AA19,AC19)/10,0)</x:f>
        <x:v>70</x:v>
      </x:c>
    </x:row>
    <x:row r="20" ht="18" customHeight="1">
      <x:c r="A20" s="20" t="str">
        <x:v>R017</x:v>
      </x:c>
      <x:c r="B20" s="20" t="str">
        <x:v>S10</x:v>
      </x:c>
      <x:c r="C20" s="20" t="str">
        <x:v>A1 DIRECT_PEPTIDE_ATOMIC_AUNC</x:v>
      </x:c>
      <x:c r="D20" s="20" t="str">
        <x:v>DIRECT</x:v>
      </x:c>
      <x:c r="E20" s="20" t="str">
        <x:v>atomically_precise_AuNC</x:v>
      </x:c>
      <x:c r="F20" s="20" t="str">
        <x:v>Glutathione (SG)</x:v>
      </x:c>
      <x:c r="G20" s="20" t="str">
        <x:v>γ-ECG</x:v>
      </x:c>
      <x:c r="H20" s="20" t="str">
        <x:v>L</x:v>
      </x:c>
      <x:c r="I20" s="20" t="str">
        <x:v>Thiolate ligand</x:v>
      </x:c>
      <x:c r="J20" s="20" t="n">
        <x:v>25</x:v>
      </x:c>
      <x:c r="K20" s="20" t="n">
        <x:v>18</x:v>
      </x:c>
      <x:c r="L20" s="20" t="str">
        <x:v>&lt;2</x:v>
      </x:c>
      <x:c r="M20" s="20" t="n">
        <x:v>3.2</x:v>
      </x:c>
      <x:c r="N20" s="20" t="str">
        <x:v>Au25(SG)18; 13-Au core + six Au2(SG)3 shell motifs</x:v>
      </x:c>
      <x:c r="O20" s="20" t="str">
        <x:v>Not fully specified in main paper</x:v>
      </x:c>
      <x:c r="P20" s="20" t="str">
        <x:v>Main paper refers to prior method / SI</x:v>
      </x:c>
      <x:c r="Q20" s="20" t="str">
        <x:v>Not fully specified</x:v>
      </x:c>
      <x:c r="R20" s="20"/>
      <x:c r="S20" s="20"/>
      <x:c r="T20" s="20"/>
      <x:c r="U20" s="20" t="str">
        <x:v>See Supporting Information</x:v>
      </x:c>
      <x:c r="V20" s="20"/>
      <x:c r="W20" s="20" t="str">
        <x:v>1100–1350</x:v>
      </x:c>
      <x:c r="X20" s="20"/>
      <x:c r="Y20" s="20"/>
      <x:c r="Z20" s="20"/>
      <x:c r="AA20" s="20"/>
      <x:c r="AB20" s="20"/>
      <x:c r="AC20" s="20"/>
      <x:c r="AD20" s="20"/>
      <x:c r="AE20" s="20" t="str">
        <x:v>NIR-II imaging</x:v>
      </x:c>
      <x:c r="AF20" s="20" t="str">
        <x:v>Atomic-precision Au25 with strong NIR-II emission; exact synthesis must be taken from SI/primary synthesis method</x:v>
      </x:c>
      <x:c r="AG20" s="20" t="str">
        <x:v>Main text pp.1–2; Experimental points to SI</x:v>
      </x:c>
      <x:c r="AH20" s="20" t="str">
        <x:v>https://doi.org/10.1002/adma.201901015</x:v>
      </x:c>
      <x:c r="AI20" s="24" t="n">
        <x:f>ROUND(100*COUNTA(G20,J20,L20,R20,S20,T20,V20,X20,AA20,AC20)/10,0)</x:f>
        <x:v>30</x:v>
      </x:c>
    </x:row>
    <x:row r="21" ht="18" customHeight="1">
      <x:c r="A21" s="20" t="str">
        <x:v>R018</x:v>
      </x:c>
      <x:c r="B21" s="20" t="str">
        <x:v>S11</x:v>
      </x:c>
      <x:c r="C21" s="20" t="str">
        <x:v>C1 AUNC_PTT_BENCHMARK</x:v>
      </x:c>
      <x:c r="D21" s="20" t="str">
        <x:v>DIRECT</x:v>
      </x:c>
      <x:c r="E21" s="20" t="str">
        <x:v>atomically_precise_AuNC</x:v>
      </x:c>
      <x:c r="F21" s="20" t="str">
        <x:v>Phosphorylcholine-functionalized Au25</x:v>
      </x:c>
      <x:c r="G21" s="20" t="str">
        <x:v>N/A</x:v>
      </x:c>
      <x:c r="H21" s="20" t="str">
        <x:v>N/A</x:v>
      </x:c>
      <x:c r="I21" s="20" t="str">
        <x:v>PC surface coating</x:v>
      </x:c>
      <x:c r="J21" s="20" t="n">
        <x:v>25</x:v>
      </x:c>
      <x:c r="K21" s="20"/>
      <x:c r="L21" s="20" t="str">
        <x:v>~2</x:v>
      </x:c>
      <x:c r="M21" s="20"/>
      <x:c r="N21" s="20" t="str">
        <x:v>Molecular Au25 cluster</x:v>
      </x:c>
      <x:c r="O21" s="20" t="str">
        <x:v>Au25 precursor/system</x:v>
      </x:c>
      <x:c r="P21" s="20" t="str">
        <x:v>25 mg/mL AuPC aqueous solution</x:v>
      </x:c>
      <x:c r="Q21" s="20" t="str">
        <x:v>N/A</x:v>
      </x:c>
      <x:c r="R21" s="20"/>
      <x:c r="S21" s="20"/>
      <x:c r="T21" s="20"/>
      <x:c r="U21" s="20" t="str">
        <x:v>Benchmark material</x:v>
      </x:c>
      <x:c r="V21" s="20" t="n">
        <x:v>1090</x:v>
      </x:c>
      <x:c r="W21" s="20" t="str">
        <x:v>900–1500</x:v>
      </x:c>
      <x:c r="X21" s="20" t="n">
        <x:v>0.38</x:v>
      </x:c>
      <x:c r="Y21" s="20"/>
      <x:c r="Z21" s="20"/>
      <x:c r="AA21" s="20" t="n">
        <x:v>808</x:v>
      </x:c>
      <x:c r="AB21" s="20" t="n">
        <x:v>0.3</x:v>
      </x:c>
      <x:c r="AC21" s="20" t="n">
        <x:v>70</x:v>
      </x:c>
      <x:c r="AD21" s="20" t="n">
        <x:v>10</x:v>
      </x:c>
      <x:c r="AE21" s="20" t="str">
        <x:v>Cancer PTT benchmark</x:v>
      </x:c>
      <x:c r="AF21" s="20" t="str">
        <x:v>In vitro: ~70°C from room temperature within 10 min under 808 nm, 0.3 W/cm²</x:v>
      </x:c>
      <x:c r="AG21" s="20" t="str">
        <x:v>Main text p.4; Fig.4</x:v>
      </x:c>
      <x:c r="AH21" s="20" t="str">
        <x:v>https://doi.org/10.1073/pnas.2318265121</x:v>
      </x:c>
      <x:c r="AI21" s="24" t="n">
        <x:f>ROUND(100*COUNTA(G21,J21,L21,R21,S21,T21,V21,X21,AA21,AC21)/10,0)</x:f>
        <x:v>70</x:v>
      </x:c>
    </x:row>
    <x:row r="22" ht="18" customHeight="1">
      <x:c r="A22" s="20" t="str">
        <x:v>R019</x:v>
      </x:c>
      <x:c r="B22" s="20" t="str">
        <x:v>S11</x:v>
      </x:c>
      <x:c r="C22" s="20" t="str">
        <x:v>C1 AUNC_PTT_BENCHMARK</x:v>
      </x:c>
      <x:c r="D22" s="20" t="str">
        <x:v>DIRECT</x:v>
      </x:c>
      <x:c r="E22" s="20" t="str">
        <x:v>atomically_precise_AuNC</x:v>
      </x:c>
      <x:c r="F22" s="20" t="str">
        <x:v>Phosphorylcholine-functionalized Au25</x:v>
      </x:c>
      <x:c r="G22" s="20" t="str">
        <x:v>N/A</x:v>
      </x:c>
      <x:c r="H22" s="20" t="str">
        <x:v>N/A</x:v>
      </x:c>
      <x:c r="I22" s="20" t="str">
        <x:v>PC surface coating</x:v>
      </x:c>
      <x:c r="J22" s="20" t="n">
        <x:v>25</x:v>
      </x:c>
      <x:c r="K22" s="20"/>
      <x:c r="L22" s="20" t="str">
        <x:v>~2</x:v>
      </x:c>
      <x:c r="M22" s="20"/>
      <x:c r="N22" s="20" t="str">
        <x:v>Molecular Au25 cluster</x:v>
      </x:c>
      <x:c r="O22" s="20" t="str">
        <x:v>Au25 precursor/system</x:v>
      </x:c>
      <x:c r="P22" s="20" t="str">
        <x:v>20–40 µL of 25 mg/mL intratumorally</x:v>
      </x:c>
      <x:c r="Q22" s="20" t="str">
        <x:v>N/A</x:v>
      </x:c>
      <x:c r="R22" s="20"/>
      <x:c r="S22" s="20"/>
      <x:c r="T22" s="20"/>
      <x:c r="U22" s="20" t="str">
        <x:v>4T1 tumor, intratumoral injection</x:v>
      </x:c>
      <x:c r="V22" s="20" t="n">
        <x:v>1090</x:v>
      </x:c>
      <x:c r="W22" s="20" t="str">
        <x:v>900–1500</x:v>
      </x:c>
      <x:c r="X22" s="20" t="n">
        <x:v>0.38</x:v>
      </x:c>
      <x:c r="Y22" s="20"/>
      <x:c r="Z22" s="20"/>
      <x:c r="AA22" s="20" t="n">
        <x:v>808</x:v>
      </x:c>
      <x:c r="AB22" s="20" t="n">
        <x:v>0.3</x:v>
      </x:c>
      <x:c r="AC22" s="20" t="n">
        <x:v>60</x:v>
      </x:c>
      <x:c r="AD22" s="20" t="n">
        <x:v>30</x:v>
      </x:c>
      <x:c r="AE22" s="20" t="str">
        <x:v>Cancer PTT benchmark</x:v>
      </x:c>
      <x:c r="AF22" s="20" t="str">
        <x:v>In vivo: ~53°C at 3 min, rising to ~60°C; 94.4% 60-day relative survival reported</x:v>
      </x:c>
      <x:c r="AG22" s="20" t="str">
        <x:v>Main text pp.4–6; Fig.5</x:v>
      </x:c>
      <x:c r="AH22" s="20" t="str">
        <x:v>https://doi.org/10.1073/pnas.2318265121</x:v>
      </x:c>
      <x:c r="AI22" s="24" t="n">
        <x:f>ROUND(100*COUNTA(G22,J22,L22,R22,S22,T22,V22,X22,AA22,AC22)/10,0)</x:f>
        <x:v>70</x:v>
      </x:c>
    </x:row>
    <x:row r="23" ht="18" customHeight="1">
      <x:c r="A23" s="20" t="str">
        <x:v>R020</x:v>
      </x:c>
      <x:c r="B23" s="20" t="str">
        <x:v>S13</x:v>
      </x:c>
      <x:c r="C23" s="20" t="str">
        <x:v>C2 AUNC_BIOMEDICAL_BENCHMARK</x:v>
      </x:c>
      <x:c r="D23" s="20" t="str">
        <x:v>DIRECT</x:v>
      </x:c>
      <x:c r="E23" s="20" t="str">
        <x:v>atomically_precise_AuNC</x:v>
      </x:c>
      <x:c r="F23" s="20" t="str">
        <x:v>Phosphorylcholine-functionalized Au25</x:v>
      </x:c>
      <x:c r="G23" s="20" t="str">
        <x:v>N/A</x:v>
      </x:c>
      <x:c r="H23" s="20" t="str">
        <x:v>N/A</x:v>
      </x:c>
      <x:c r="I23" s="20" t="str">
        <x:v>PC surface coating</x:v>
      </x:c>
      <x:c r="J23" s="20" t="n">
        <x:v>25</x:v>
      </x:c>
      <x:c r="K23" s="20"/>
      <x:c r="L23" s="20"/>
      <x:c r="M23" s="20"/>
      <x:c r="N23" s="20" t="str">
        <x:v>Au25-PC molecular cluster</x:v>
      </x:c>
      <x:c r="O23" s="20" t="str">
        <x:v>Au25 precursor/system</x:v>
      </x:c>
      <x:c r="P23" s="20" t="str">
        <x:v>Surface-functionalized with PC</x:v>
      </x:c>
      <x:c r="Q23" s="20" t="str">
        <x:v>N/A</x:v>
      </x:c>
      <x:c r="R23" s="20"/>
      <x:c r="S23" s="20"/>
      <x:c r="T23" s="20"/>
      <x:c r="U23" s="20" t="str">
        <x:v>Subcutaneous injection</x:v>
      </x:c>
      <x:c r="V23" s="20"/>
      <x:c r="W23" s="20" t="str">
        <x:v>1000–3000 imaging window</x:v>
      </x:c>
      <x:c r="X23" s="20"/>
      <x:c r="Y23" s="20"/>
      <x:c r="Z23" s="20"/>
      <x:c r="AA23" s="20"/>
      <x:c r="AB23" s="20"/>
      <x:c r="AC23" s="20"/>
      <x:c r="AD23" s="20"/>
      <x:c r="AE23" s="20" t="str">
        <x:v>Lymph-node NIR-II imaging</x:v>
      </x:c>
      <x:c r="AF23" s="20" t="str">
        <x:v>Super-stealth behavior; optimal LN imaging ~0.5–1 h with rapid renal clearance</x:v>
      </x:c>
      <x:c r="AG23" s="20" t="str">
        <x:v>Abstract / main text p.1</x:v>
      </x:c>
      <x:c r="AH23" s="20" t="str">
        <x:v>https://doi.org/10.1038/s41467-022-33341-6</x:v>
      </x:c>
      <x:c r="AI23" s="24" t="n">
        <x:f>ROUND(100*COUNTA(G23,J23,L23,R23,S23,T23,V23,X23,AA23,AC23)/10,0)</x:f>
        <x:v>20</x:v>
      </x:c>
    </x:row>
    <x:row r="24" ht="18" customHeight="1">
      <x:c r="A24" s="20" t="str">
        <x:v>R021</x:v>
      </x:c>
      <x:c r="B24" s="20" t="str">
        <x:v>S12</x:v>
      </x:c>
      <x:c r="C24" s="20" t="str">
        <x:v>D1 METHOD_REFERENCE</x:v>
      </x:c>
      <x:c r="D24" s="20" t="str">
        <x:v>REVIEW-DERIVED</x:v>
      </x:c>
      <x:c r="E24" s="20" t="str">
        <x:v>atomically_precise_AuNC</x:v>
      </x:c>
      <x:c r="F24" s="20" t="str">
        <x:v>Glutathione (GSH)</x:v>
      </x:c>
      <x:c r="G24" s="20" t="str">
        <x:v>γ-ECG</x:v>
      </x:c>
      <x:c r="H24" s="20" t="str">
        <x:v>L</x:v>
      </x:c>
      <x:c r="I24" s="20" t="str">
        <x:v>Review table entry</x:v>
      </x:c>
      <x:c r="J24" s="20" t="n">
        <x:v>25</x:v>
      </x:c>
      <x:c r="K24" s="20" t="n">
        <x:v>18</x:v>
      </x:c>
      <x:c r="L24" s="20"/>
      <x:c r="M24" s="20"/>
      <x:c r="N24" s="20" t="str">
        <x:v>Au25(GSH)18</x:v>
      </x:c>
      <x:c r="O24" s="20" t="str">
        <x:v>N/A</x:v>
      </x:c>
      <x:c r="P24" s="20" t="str">
        <x:v>Review-derived optical entry</x:v>
      </x:c>
      <x:c r="Q24" s="20" t="str">
        <x:v>N/A</x:v>
      </x:c>
      <x:c r="R24" s="20"/>
      <x:c r="S24" s="20"/>
      <x:c r="T24" s="20"/>
      <x:c r="U24" s="20" t="str">
        <x:v>Primary paper required</x:v>
      </x:c>
      <x:c r="V24" s="20" t="n">
        <x:v>1120</x:v>
      </x:c>
      <x:c r="W24" s="20" t="str">
        <x:v>900–1500</x:v>
      </x:c>
      <x:c r="X24" s="20" t="n">
        <x:v>0.13</x:v>
      </x:c>
      <x:c r="Y24" s="20"/>
      <x:c r="Z24" s="20"/>
      <x:c r="AA24" s="20" t="n">
        <x:v>808</x:v>
      </x:c>
      <x:c r="AB24" s="20"/>
      <x:c r="AC24" s="20"/>
      <x:c r="AD24" s="20"/>
      <x:c r="AE24" s="20" t="str">
        <x:v>Imaging benchmark</x:v>
      </x:c>
      <x:c r="AF24" s="20" t="str">
        <x:v>Review table lists Au25(GSH)18 with NIR-II emission and low PLQY; primary paper must be extracted before training</x:v>
      </x:c>
      <x:c r="AG24" s="20" t="str">
        <x:v>Chem. Rev. Table 1</x:v>
      </x:c>
      <x:c r="AH24" s="20" t="str">
        <x:v>https://doi.org/10.1021/acs.chemrev.4c00835</x:v>
      </x:c>
      <x:c r="AI24" s="24" t="n">
        <x:f>ROUND(100*COUNTA(G24,J24,L24,R24,S24,T24,V24,X24,AA24,AC24)/10,0)</x:f>
        <x:v>50</x:v>
      </x:c>
    </x:row>
    <x:row r="25" ht="18" customHeight="1">
      <x:c r="A25" s="20" t="str">
        <x:v>R022</x:v>
      </x:c>
      <x:c r="B25" s="20" t="str">
        <x:v>S12</x:v>
      </x:c>
      <x:c r="C25" s="20" t="str">
        <x:v>D1 METHOD_REFERENCE</x:v>
      </x:c>
      <x:c r="D25" s="20" t="str">
        <x:v>REVIEW-DERIVED</x:v>
      </x:c>
      <x:c r="E25" s="20" t="str">
        <x:v>atomically_precise_AuNC</x:v>
      </x:c>
      <x:c r="F25" s="20" t="str">
        <x:v>4-mercaptobenzoic acid (MBA)</x:v>
      </x:c>
      <x:c r="G25" s="20" t="str">
        <x:v>N/A</x:v>
      </x:c>
      <x:c r="H25" s="20" t="str">
        <x:v>N/A</x:v>
      </x:c>
      <x:c r="I25" s="20" t="str">
        <x:v>Review table entry</x:v>
      </x:c>
      <x:c r="J25" s="20" t="n">
        <x:v>44</x:v>
      </x:c>
      <x:c r="K25" s="20" t="n">
        <x:v>26</x:v>
      </x:c>
      <x:c r="L25" s="20"/>
      <x:c r="M25" s="20"/>
      <x:c r="N25" s="20" t="str">
        <x:v>Au44(MBA)26</x:v>
      </x:c>
      <x:c r="O25" s="20" t="str">
        <x:v>N/A</x:v>
      </x:c>
      <x:c r="P25" s="20" t="str">
        <x:v>Review-derived optical/PTT entry</x:v>
      </x:c>
      <x:c r="Q25" s="20" t="str">
        <x:v>N/A</x:v>
      </x:c>
      <x:c r="R25" s="20"/>
      <x:c r="S25" s="20"/>
      <x:c r="T25" s="20"/>
      <x:c r="U25" s="20" t="str">
        <x:v>Primary paper required</x:v>
      </x:c>
      <x:c r="V25" s="20" t="n">
        <x:v>1080</x:v>
      </x:c>
      <x:c r="W25" s="20" t="str">
        <x:v>~1080 and 1280</x:v>
      </x:c>
      <x:c r="X25" s="20" t="n">
        <x:v>4.5</x:v>
      </x:c>
      <x:c r="Y25" s="20"/>
      <x:c r="Z25" s="20"/>
      <x:c r="AA25" s="20" t="n">
        <x:v>808</x:v>
      </x:c>
      <x:c r="AB25" s="20"/>
      <x:c r="AC25" s="20"/>
      <x:c r="AD25" s="20"/>
      <x:c r="AE25" s="20" t="str">
        <x:v>PTT / theranostics</x:v>
      </x:c>
      <x:c r="AF25" s="20" t="str">
        <x:v>Review identifies Au44(MBA)26 as high-PCE PTT-capable cluster; not peptide-templated and must remain a benchmark</x:v>
      </x:c>
      <x:c r="AG25" s="20" t="str">
        <x:v>Chem. Rev. Table 1 + PTT section</x:v>
      </x:c>
      <x:c r="AH25" s="20" t="str">
        <x:v>https://doi.org/10.1021/acs.chemrev.4c00835</x:v>
      </x:c>
      <x:c r="AI25" s="24" t="n">
        <x:f>ROUND(100*COUNTA(G25,J25,L25,R25,S25,T25,V25,X25,AA25,AC25)/10,0)</x:f>
        <x:v>50</x:v>
      </x:c>
    </x:row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AI1"/>
  </x:mergeCells>
  <x:conditionalFormatting sqref="AI4:AI25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06e38f2eb0345e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22" hidden="0" customWidth="1"/>
    <x:col min="4" max="4" width="24" hidden="0" customWidth="1"/>
    <x:col min="5" max="5" width="24" hidden="0" customWidth="1"/>
    <x:col min="6" max="6" width="11" hidden="0" customWidth="1"/>
    <x:col min="7" max="7" width="14" hidden="0" customWidth="1"/>
    <x:col min="8" max="8" width="24" hidden="0" customWidth="1"/>
    <x:col min="9" max="9" width="14" hidden="0" customWidth="1"/>
    <x:col min="10" max="10" width="26" hidden="0" customWidth="1"/>
    <x:col min="11" max="11" width="28" hidden="0" customWidth="1"/>
    <x:col min="12" max="12" width="40" hidden="0" customWidth="1"/>
    <x:col min="13" max="13" width="28" hidden="0" customWidth="1"/>
    <x:col min="14" max="14" width="42" hidden="0" customWidth="1"/>
  </x:cols>
  <x:sheetData>
    <x:row r="1" ht="28" customHeight="1">
      <x:c r="A1" s="5" t="str">
        <x:v>Photothermal Benchmarks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18" customHeight="1"/>
    <x:row r="3" ht="32" customHeight="1">
      <x:c r="A3" s="14" t="str">
        <x:v>Benchmark_ID</x:v>
      </x:c>
      <x:c r="B3" s="14" t="str">
        <x:v>Source_ID</x:v>
      </x:c>
      <x:c r="C3" s="14" t="str">
        <x:v>Material</x:v>
      </x:c>
      <x:c r="D3" s="14" t="str">
        <x:v>Ligand / peptide</x:v>
      </x:c>
      <x:c r="E3" s="14" t="str">
        <x:v>Regime</x:v>
      </x:c>
      <x:c r="F3" s="14" t="str">
        <x:v>Laser_nm</x:v>
      </x:c>
      <x:c r="G3" s="14" t="str">
        <x:v>Power_W_cm2</x:v>
      </x:c>
      <x:c r="H3" s="14" t="str">
        <x:v>Concentration</x:v>
      </x:c>
      <x:c r="I3" s="14" t="str">
        <x:v>Exposure_min</x:v>
      </x:c>
      <x:c r="J3" s="14" t="str">
        <x:v>Temperature_result</x:v>
      </x:c>
      <x:c r="K3" s="14" t="str">
        <x:v>Biological_context</x:v>
      </x:c>
      <x:c r="L3" s="14" t="str">
        <x:v>Outcome</x:v>
      </x:c>
      <x:c r="M3" s="14" t="str">
        <x:v>Use_in_model</x:v>
      </x:c>
      <x:c r="N3" s="14" t="str">
        <x:v>DOI_URL</x:v>
      </x:c>
    </x:row>
    <x:row r="4" ht="18" customHeight="1">
      <x:c r="A4" s="20" t="str">
        <x:v>P01</x:v>
      </x:c>
      <x:c r="B4" s="20" t="str">
        <x:v>S11</x:v>
      </x:c>
      <x:c r="C4" s="20" t="str">
        <x:v>Au25/AuPC</x:v>
      </x:c>
      <x:c r="D4" s="20" t="str">
        <x:v>Phosphorylcholine</x:v>
      </x:c>
      <x:c r="E4" s="20" t="str">
        <x:v>atomically_precise_AuNC</x:v>
      </x:c>
      <x:c r="F4" s="20" t="n">
        <x:v>808</x:v>
      </x:c>
      <x:c r="G4" s="20" t="n">
        <x:v>0.3</x:v>
      </x:c>
      <x:c r="H4" s="20" t="str">
        <x:v>25 mg/mL</x:v>
      </x:c>
      <x:c r="I4" s="20" t="n">
        <x:v>10</x:v>
      </x:c>
      <x:c r="J4" s="20" t="str">
        <x:v>~70°C from room temperature</x:v>
      </x:c>
      <x:c r="K4" s="20" t="str">
        <x:v>In vitro aqueous solution</x:v>
      </x:c>
      <x:c r="L4" s="20" t="str">
        <x:v>Strong AuNC photothermal heating</x:v>
      </x:c>
      <x:c r="M4" s="20" t="str">
        <x:v>Target/reference only</x:v>
      </x:c>
      <x:c r="N4" s="20" t="str">
        <x:v>https://doi.org/10.1073/pnas.2318265121</x:v>
      </x:c>
    </x:row>
    <x:row r="5" ht="18" customHeight="1">
      <x:c r="A5" s="20" t="str">
        <x:v>P02</x:v>
      </x:c>
      <x:c r="B5" s="20" t="str">
        <x:v>S11</x:v>
      </x:c>
      <x:c r="C5" s="20" t="str">
        <x:v>Au25/AuPC</x:v>
      </x:c>
      <x:c r="D5" s="20" t="str">
        <x:v>Phosphorylcholine</x:v>
      </x:c>
      <x:c r="E5" s="20" t="str">
        <x:v>atomically_precise_AuNC</x:v>
      </x:c>
      <x:c r="F5" s="20" t="n">
        <x:v>808</x:v>
      </x:c>
      <x:c r="G5" s="20" t="n">
        <x:v>0.3</x:v>
      </x:c>
      <x:c r="H5" s="20" t="str">
        <x:v>20–40 µL of 25 mg/mL i.t.</x:v>
      </x:c>
      <x:c r="I5" s="20" t="n">
        <x:v>30</x:v>
      </x:c>
      <x:c r="J5" s="20" t="str">
        <x:v>~53°C at 3 min; up to ~60°C</x:v>
      </x:c>
      <x:c r="K5" s="20" t="str">
        <x:v>4T1 breast tumor, mouse</x:v>
      </x:c>
      <x:c r="L5" s="20" t="str">
        <x:v>Tumor ablation; 94.4% 60-day relative survival</x:v>
      </x:c>
      <x:c r="M5" s="20" t="str">
        <x:v>Target/reference only</x:v>
      </x:c>
      <x:c r="N5" s="20" t="str">
        <x:v>https://doi.org/10.1073/pnas.2318265121</x:v>
      </x:c>
    </x:row>
    <x:row r="6" ht="18" customHeight="1">
      <x:c r="A6" s="20" t="str">
        <x:v>P03</x:v>
      </x:c>
      <x:c r="B6" s="20" t="str">
        <x:v>S02</x:v>
      </x:c>
      <x:c r="C6" s="20" t="str">
        <x:v>D-/L-GBPs</x:v>
      </x:c>
      <x:c r="D6" s="20" t="str">
        <x:v>D-/L-Cys-Phe</x:v>
      </x:c>
      <x:c r="E6" s="20" t="str">
        <x:v>gold_bipyramid</x:v>
      </x:c>
      <x:c r="F6" s="20" t="n">
        <x:v>808</x:v>
      </x:c>
      <x:c r="G6" s="20" t="n">
        <x:v>0.8</x:v>
      </x:c>
      <x:c r="H6" s="20" t="str">
        <x:v>55 mg/mL</x:v>
      </x:c>
      <x:c r="I6" s="20" t="n">
        <x:v>5</x:v>
      </x:c>
      <x:c r="J6" s="20" t="str">
        <x:v>&gt;45°C</x:v>
      </x:c>
      <x:c r="K6" s="20" t="str">
        <x:v>In vitro solution</x:v>
      </x:c>
      <x:c r="L6" s="20" t="str">
        <x:v>Useful PTT but material is ~200×50 nm, not AuNC</x:v>
      </x:c>
      <x:c r="M6" s="20" t="str">
        <x:v>Mechanistic benchmark only</x:v>
      </x:c>
      <x:c r="N6" s="20" t="str">
        <x:v>https://doi.org/10.1039/d2sc03443c</x:v>
      </x:c>
    </x:row>
    <x:row r="7" ht="18" customHeight="1">
      <x:c r="A7" s="20" t="str">
        <x:v>P04</x:v>
      </x:c>
      <x:c r="B7" s="20" t="str">
        <x:v>S02</x:v>
      </x:c>
      <x:c r="C7" s="20" t="str">
        <x:v>D-GBP</x:v>
      </x:c>
      <x:c r="D7" s="20" t="str">
        <x:v>D-Cys-Phe</x:v>
      </x:c>
      <x:c r="E7" s="20" t="str">
        <x:v>gold_bipyramid</x:v>
      </x:c>
      <x:c r="F7" s="20" t="n">
        <x:v>808</x:v>
      </x:c>
      <x:c r="G7" s="20" t="n">
        <x:v>0.8</x:v>
      </x:c>
      <x:c r="H7" s="20" t="str">
        <x:v>55 mg/mL</x:v>
      </x:c>
      <x:c r="I7" s="20" t="n">
        <x:v>10</x:v>
      </x:c>
      <x:c r="J7" s="20" t="str">
        <x:v>~60±4.5°C at infected site</x:v>
      </x:c>
      <x:c r="K7" s="20" t="str">
        <x:v>Mouse skin infection</x:v>
      </x:c>
      <x:c r="L7" s="20" t="str">
        <x:v>D-form highest local temperature</x:v>
      </x:c>
      <x:c r="M7" s="20" t="str">
        <x:v>Mechanistic benchmark only</x:v>
      </x:c>
      <x:c r="N7" s="20" t="str">
        <x:v>https://doi.org/10.1039/d2sc03443c</x:v>
      </x:c>
    </x:row>
    <x:row r="8" ht="18" customHeight="1">
      <x:c r="A8" s="20" t="str">
        <x:v>P05</x:v>
      </x:c>
      <x:c r="B8" s="20" t="str">
        <x:v>S12</x:v>
      </x:c>
      <x:c r="C8" s="20" t="str">
        <x:v>Au44(MBA)26</x:v>
      </x:c>
      <x:c r="D8" s="20" t="str">
        <x:v>MBA</x:v>
      </x:c>
      <x:c r="E8" s="20" t="str">
        <x:v>atomically_precise_AuNC</x:v>
      </x:c>
      <x:c r="F8" s="20" t="n">
        <x:v>808</x:v>
      </x:c>
      <x:c r="G8" s="20"/>
      <x:c r="H8" s="20" t="str">
        <x:v>Primary paper required</x:v>
      </x:c>
      <x:c r="I8" s="20"/>
      <x:c r="J8" s="20" t="str">
        <x:v>High PCE stated in review</x:v>
      </x:c>
      <x:c r="K8" s="20" t="str">
        <x:v>4T1 cancer models</x:v>
      </x:c>
      <x:c r="L8" s="20" t="str">
        <x:v>PTT / PDT / immunotherapy literature lead</x:v>
      </x:c>
      <x:c r="M8" s="20" t="str">
        <x:v>Acquire primary paper</x:v>
      </x:c>
      <x:c r="N8" s="20" t="str">
        <x:v>https://doi.org/10.1021/acs.chemrev.4c00835</x:v>
      </x:c>
    </x:row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8158bf51d19a40e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8" hidden="0" customWidth="1"/>
    <x:col min="3" max="3" width="10" hidden="0" customWidth="1"/>
    <x:col min="4" max="4" width="28" hidden="0" customWidth="1"/>
    <x:col min="5" max="5" width="42" hidden="0" customWidth="1"/>
    <x:col min="6" max="6" width="48" hidden="0" customWidth="1"/>
    <x:col min="7" max="7" width="48" hidden="0" customWidth="1"/>
    <x:col min="8" max="8" width="20" hidden="0" customWidth="1"/>
    <x:col min="9" max="9" width="16" hidden="0" customWidth="1"/>
  </x:cols>
  <x:sheetData>
    <x:row r="1" ht="28" customHeight="1">
      <x:c r="A1" s="5" t="str">
        <x:v>Priority Primary Papers to Acquire Next</x:v>
      </x:c>
      <x:c r="B1" s="5"/>
      <x:c r="C1" s="5"/>
      <x:c r="D1" s="5"/>
      <x:c r="E1" s="5"/>
      <x:c r="F1" s="5"/>
      <x:c r="G1" s="5"/>
      <x:c r="H1" s="5"/>
      <x:c r="I1" s="5"/>
    </x:row>
    <x:row r="2" ht="18" customHeight="1"/>
    <x:row r="3" ht="32" customHeight="1">
      <x:c r="A3" s="14" t="str">
        <x:v>Priority</x:v>
      </x:c>
      <x:c r="B3" s="14" t="str">
        <x:v>Paper</x:v>
      </x:c>
      <x:c r="C3" s="14" t="str">
        <x:v>Year</x:v>
      </x:c>
      <x:c r="D3" s="14" t="str">
        <x:v>Journal</x:v>
      </x:c>
      <x:c r="E3" s="14" t="str">
        <x:v>DOI / URL</x:v>
      </x:c>
      <x:c r="F3" s="14" t="str">
        <x:v>Why needed</x:v>
      </x:c>
      <x:c r="G3" s="14" t="str">
        <x:v>Expected data</x:v>
      </x:c>
      <x:c r="H3" s="14" t="str">
        <x:v>Found via</x:v>
      </x:c>
      <x:c r="I3" s="14" t="str">
        <x:v>Status</x:v>
      </x:c>
    </x:row>
    <x:row r="4" ht="18" customHeight="1">
      <x:c r="A4" s="20" t="str">
        <x:v>P1</x:v>
      </x:c>
      <x:c r="B4" s="20" t="str">
        <x:v>Kundu et al. — Surface ligand-controlled wavelength-tunable luminescence of gold nanoclusters: cellular imaging and smart fluorescent probes for amyloid detection</x:v>
      </x:c>
      <x:c r="C4" s="20" t="n">
        <x:v>2020</x:v>
      </x:c>
      <x:c r="D4" s="20" t="str">
        <x:v>ACS Applied Bio Materials</x:v>
      </x:c>
      <x:c r="E4" s="20" t="str">
        <x:v>https://doi.org/10.1021/acsabm.0c00337</x:v>
      </x:c>
      <x:c r="F4" s="20" t="str">
        <x:v>Direct ligand-chain-length → AuNC optical tuning</x:v>
      </x:c>
      <x:c r="G4" s="20" t="str">
        <x:v>Ligand identities/lengths, AuNC size, emission, synthesis</x:v>
      </x:c>
      <x:c r="H4" s="20" t="str">
        <x:v>iScience review</x:v>
      </x:c>
      <x:c r="I4" s="20" t="str">
        <x:v>TO ACQUIRE</x:v>
      </x:c>
    </x:row>
    <x:row r="5" ht="18" customHeight="1">
      <x:c r="A5" s="20" t="str">
        <x:v>P1</x:v>
      </x:c>
      <x:c r="B5" s="20" t="str">
        <x:v>Liu et al. — Polypeptide-templated Au nanoclusters with red and blue fluorescence emissions for multimodal imaging of cell nuclei</x:v>
      </x:c>
      <x:c r="C5" s="20" t="n">
        <x:v>2020</x:v>
      </x:c>
      <x:c r="D5" s="20" t="str">
        <x:v>ACS Applied Bio Materials</x:v>
      </x:c>
      <x:c r="E5" s="20" t="str">
        <x:v>https://doi.org/10.1021/acsabm.9b01078</x:v>
      </x:c>
      <x:c r="F5" s="20" t="str">
        <x:v>Direct peptide template + synthesis conditions → different AuNC fluorescence</x:v>
      </x:c>
      <x:c r="G5" s="20" t="str">
        <x:v>Exact polypeptide sequence/template, pH order, size, emission, QY</x:v>
      </x:c>
      <x:c r="H5" s="20" t="str">
        <x:v>iScience review</x:v>
      </x:c>
      <x:c r="I5" s="20" t="str">
        <x:v>TO ACQUIRE</x:v>
      </x:c>
    </x:row>
    <x:row r="6" ht="18" customHeight="1">
      <x:c r="A6" s="20" t="str">
        <x:v>P1</x:v>
      </x:c>
      <x:c r="B6" s="20" t="str">
        <x:v>Shichibu et al. — Large-scale synthesis of thiolated Au25 clusters via ligand exchange reactions of phosphine-stabilized Au11 clusters</x:v>
      </x:c>
      <x:c r="C6" s="20" t="n">
        <x:v>2005</x:v>
      </x:c>
      <x:c r="D6" s="20" t="str">
        <x:v>JACS</x:v>
      </x:c>
      <x:c r="E6" s="20" t="str">
        <x:v>https://doi.org/10.1021/ja053915s</x:v>
      </x:c>
      <x:c r="F6" s="20" t="str">
        <x:v>Canonical Au25(SG)18 preparation path</x:v>
      </x:c>
      <x:c r="G6" s="20" t="str">
        <x:v>Exact nuclearity conversion, GSH conditions, yields</x:v>
      </x:c>
      <x:c r="H6" s="20" t="str">
        <x:v>iScience review</x:v>
      </x:c>
      <x:c r="I6" s="20" t="str">
        <x:v>TO ACQUIRE</x:v>
      </x:c>
    </x:row>
    <x:row r="7" ht="18" customHeight="1">
      <x:c r="A7" s="20" t="str">
        <x:v>P1</x:v>
      </x:c>
      <x:c r="B7" s="20" t="str">
        <x:v>Ndugire &amp; Yan — Synthesis and solution isomerization of water-soluble Au9 nanoclusters prepared by nuclearity conversion of [Au11(PPh3)8Cl2]Cl</x:v>
      </x:c>
      <x:c r="C7" s="20" t="n">
        <x:v>2021</x:v>
      </x:c>
      <x:c r="D7" s="20" t="str">
        <x:v>Nanoscale</x:v>
      </x:c>
      <x:c r="E7" s="20" t="str">
        <x:v>https://doi.org/10.1039/d1nr04401j</x:v>
      </x:c>
      <x:c r="F7" s="20" t="str">
        <x:v>Nuclearity conversion + water-soluble cluster chemistry; review links to GSH→Au25 route</x:v>
      </x:c>
      <x:c r="G7" s="20" t="str">
        <x:v>Conditions, nuclearity transformations, GSH conversion details</x:v>
      </x:c>
      <x:c r="H7" s="20" t="str">
        <x:v>iScience review</x:v>
      </x:c>
      <x:c r="I7" s="20" t="str">
        <x:v>TO ACQUIRE</x:v>
      </x:c>
    </x:row>
    <x:row r="8" ht="18" customHeight="1">
      <x:c r="A8" s="20" t="str">
        <x:v>P1</x:v>
      </x:c>
      <x:c r="B8" s="20" t="str">
        <x:v>Wang et al. — AuNCs-LHRHa nano-system for FL/CT dual-mode imaging and photothermal therapy of targeted prostate cancer</x:v>
      </x:c>
      <x:c r="C8" s="20" t="n">
        <x:v>2022</x:v>
      </x:c>
      <x:c r="D8" s="20" t="str">
        <x:v>Journal of Materials Chemistry B</x:v>
      </x:c>
      <x:c r="E8" s="20" t="str">
        <x:v>https://doi.org/10.1039/d2tb00531j</x:v>
      </x:c>
      <x:c r="F8" s="20" t="str">
        <x:v>Direct peptide-targeted AuNC PTT application</x:v>
      </x:c>
      <x:c r="G8" s="20" t="str">
        <x:v>Peptide identity, AuNC synthesis, laser/PCE/heating, uptake</x:v>
      </x:c>
      <x:c r="H8" s="20" t="str">
        <x:v>iScience review</x:v>
      </x:c>
      <x:c r="I8" s="20" t="str">
        <x:v>TO ACQUIRE</x:v>
      </x:c>
    </x:row>
    <x:row r="9" ht="18" customHeight="1">
      <x:c r="A9" s="20" t="str">
        <x:v>P1</x:v>
      </x:c>
      <x:c r="B9" s="20" t="str">
        <x:v>Xia et al. — pH-responsive gold nanoclusters-based nanoprobes for lung cancer targeted near-infrared fluorescence imaging and chemo-photodynamic therapy</x:v>
      </x:c>
      <x:c r="C9" s="20" t="n">
        <x:v>2018</x:v>
      </x:c>
      <x:c r="D9" s="20" t="str">
        <x:v>Acta Biomaterialia</x:v>
      </x:c>
      <x:c r="E9" s="20" t="str">
        <x:v>https://doi.org/10.1016/j.actbio.2017.12.034</x:v>
      </x:c>
      <x:c r="F9" s="20" t="str">
        <x:v>Responsive AuNC functionalization; useful for therapeutic design constraints</x:v>
      </x:c>
      <x:c r="G9" s="20" t="str">
        <x:v>Ligand/peptide components, pH response, NIR properties, tumor data</x:v>
      </x:c>
      <x:c r="H9" s="20" t="str">
        <x:v>iScience review</x:v>
      </x:c>
      <x:c r="I9" s="20" t="str">
        <x:v>TO ACQUIRE</x:v>
      </x:c>
    </x:row>
    <x:row r="10" ht="18" customHeight="1">
      <x:c r="A10" s="20" t="str">
        <x:v>P1</x:v>
      </x:c>
      <x:c r="B10" s="20" t="str">
        <x:v>Liang et al. — One-pot synthesis of Gd3+-functionalized gold nanoclusters for dual-mode fluorescence/MR imaging</x:v>
      </x:c>
      <x:c r="C10" s="20" t="n">
        <x:v>2013</x:v>
      </x:c>
      <x:c r="D10" s="20" t="str">
        <x:v>Journal of Materials Chemistry B</x:v>
      </x:c>
      <x:c r="E10" s="20" t="str">
        <x:v>https://doi.org/10.1039/c3tb20440e</x:v>
      </x:c>
      <x:c r="F10" s="20" t="str">
        <x:v>Peptide/cyclic-ligand structural functionalization lead</x:v>
      </x:c>
      <x:c r="G10" s="20" t="str">
        <x:v>Cyclic peptide sequence/modifications, synthesis and size</x:v>
      </x:c>
      <x:c r="H10" s="20" t="str">
        <x:v>iScience review</x:v>
      </x:c>
      <x:c r="I10" s="20" t="str">
        <x:v>TO ACQUIRE</x:v>
      </x:c>
    </x:row>
    <x:row r="11" ht="18" customHeight="1">
      <x:c r="A11" s="20" t="str">
        <x:v>P1</x:v>
      </x:c>
      <x:c r="B11" s="20" t="str">
        <x:v>Zhang et al. — Gold nanoclusters-based nanoprobes for simultaneous fluorescence imaging and targeted photodynamic therapy with superior penetration and retention behavior in tumors</x:v>
      </x:c>
      <x:c r="C11" s="20" t="n">
        <x:v>2015</x:v>
      </x:c>
      <x:c r="D11" s="20" t="str">
        <x:v>Advanced Functional Materials</x:v>
      </x:c>
      <x:c r="E11" s="20" t="str">
        <x:v>https://doi.org/10.1002/adfm.201403095</x:v>
      </x:c>
      <x:c r="F11" s="20" t="str">
        <x:v>Tumor-targeted therapeutic AuNC design</x:v>
      </x:c>
      <x:c r="G11" s="20" t="str">
        <x:v>Targeting component, AuNC formulation, optical/biological endpoints</x:v>
      </x:c>
      <x:c r="H11" s="20" t="str">
        <x:v>iScience review</x:v>
      </x:c>
      <x:c r="I11" s="20" t="str">
        <x:v>TO ACQUIRE</x:v>
      </x:c>
    </x:row>
    <x:row r="12" ht="18" customHeight="1">
      <x:c r="A12" s="20" t="str">
        <x:v>P2</x:v>
      </x:c>
      <x:c r="B12" s="20" t="str">
        <x:v>Tan et al. — Uncovering the design rules for peptide synthesis of metal nanoparticles</x:v>
      </x:c>
      <x:c r="C12" s="20" t="n">
        <x:v>2010</x:v>
      </x:c>
      <x:c r="D12" s="20" t="str">
        <x:v>JACS</x:v>
      </x:c>
      <x:c r="E12" s="20" t="str"/>
      <x:c r="F12" s="20" t="str">
        <x:v>Direct peptide sequence design rules for metal nanoparticle synthesis</x:v>
      </x:c>
      <x:c r="G12" s="20" t="str">
        <x:v>Sequence library, binding/reduction motifs, size/morphology outcomes</x:v>
      </x:c>
      <x:c r="H12" s="20" t="str">
        <x:v>ACS Omega references</x:v>
      </x:c>
      <x:c r="I12" s="20" t="str">
        <x:v>TO ACQUIRE</x:v>
      </x:c>
    </x:row>
    <x:row r="13" ht="18" customHeight="1">
      <x:c r="A13" s="20" t="str">
        <x:v>P2</x:v>
      </x:c>
      <x:c r="B13" s="20" t="str">
        <x:v>Li et al. — Peptide-mediated synthesis of gold nanoparticles: effects of peptide sequence and nature of binding on physicochemical properties</x:v>
      </x:c>
      <x:c r="C13" s="20" t="n">
        <x:v>2014</x:v>
      </x:c>
      <x:c r="D13" s="20" t="str">
        <x:v>Nanoscale</x:v>
      </x:c>
      <x:c r="E13" s="20" t="str"/>
      <x:c r="F13" s="20" t="str">
        <x:v>Sequence→gold physicochemical-property relationships</x:v>
      </x:c>
      <x:c r="G13" s="20" t="str">
        <x:v>Sequence variants, synthesis conditions, size/shape/binding</x:v>
      </x:c>
      <x:c r="H13" s="20" t="str">
        <x:v>ACS Omega references</x:v>
      </x:c>
      <x:c r="I13" s="20" t="str">
        <x:v>TO ACQUIRE</x:v>
      </x:c>
    </x:row>
    <x:row r="14" ht="18" customHeight="1">
      <x:c r="A14" s="20" t="str">
        <x:v>P2</x:v>
      </x:c>
      <x:c r="B14" s="20" t="str">
        <x:v>Lee et al. — Amino-acid- and peptide-directed synthesis of chiral plasmonic gold nanoparticles</x:v>
      </x:c>
      <x:c r="C14" s="20" t="n">
        <x:v>2018</x:v>
      </x:c>
      <x:c r="D14" s="20" t="str">
        <x:v>Nature</x:v>
      </x:c>
      <x:c r="E14" s="20" t="str"/>
      <x:c r="F14" s="20" t="str">
        <x:v>High-value peptide chirality / gold growth paper</x:v>
      </x:c>
      <x:c r="G14" s="20" t="str">
        <x:v>Amino-acid/peptide design, chirality, optical/growth data</x:v>
      </x:c>
      <x:c r="H14" s="20" t="str">
        <x:v>Chem. Sci. references</x:v>
      </x:c>
      <x:c r="I14" s="20" t="str">
        <x:v>TO ACQUIRE</x:v>
      </x:c>
    </x:row>
    <x:row r="15" ht="18" customHeight="1">
      <x:c r="A15" s="20" t="str">
        <x:v>P2</x:v>
      </x:c>
      <x:c r="B15" s="20" t="str">
        <x:v>Slocik et al. — Synthesis of gold nanoparticles using multifunctional peptides</x:v>
      </x:c>
      <x:c r="C15" s="20" t="n">
        <x:v>2005</x:v>
      </x:c>
      <x:c r="D15" s="20" t="str">
        <x:v>Small</x:v>
      </x:c>
      <x:c r="E15" s="20" t="str"/>
      <x:c r="F15" s="20" t="str">
        <x:v>Foundational multifunctional peptide→Au synthesis</x:v>
      </x:c>
      <x:c r="G15" s="20" t="str">
        <x:v>Peptide sequences, multifunctional roles, synthesis outcomes</x:v>
      </x:c>
      <x:c r="H15" s="20" t="str">
        <x:v>ACS Omega references</x:v>
      </x:c>
      <x:c r="I15" s="20" t="str">
        <x:v>TO ACQUIRE</x:v>
      </x:c>
    </x:row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I1"/>
  </x:mergeCells>
  <x:conditionalFormatting sqref="A4:A15">
    <x:cfRule type="expression" dxfId="0" priority="1">
      <x:formula>A4="P1"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5e283c0fd34e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65" hidden="0" customWidth="1"/>
    <x:col min="4" max="4" width="42" hidden="0" customWidth="1"/>
  </x:cols>
  <x:sheetData>
    <x:row r="1" ht="28" customHeight="1">
      <x:c r="A1" s="5" t="str">
        <x:v>PepAuDB Data Dictionary</x:v>
      </x:c>
      <x:c r="B1" s="5"/>
      <x:c r="C1" s="5"/>
      <x:c r="D1" s="5"/>
    </x:row>
    <x:row r="2" ht="18" customHeight="1"/>
    <x:row r="3" ht="32" customHeight="1">
      <x:c r="A3" s="14" t="str">
        <x:v>Field</x:v>
      </x:c>
      <x:c r="B3" s="14" t="str">
        <x:v>Type / unit</x:v>
      </x:c>
      <x:c r="C3" s="14" t="str">
        <x:v>Meaning</x:v>
      </x:c>
      <x:c r="D3" s="14" t="str">
        <x:v>Model use</x:v>
      </x:c>
    </x:row>
    <x:row r="4" ht="18" customHeight="1">
      <x:c r="A4" s="20" t="str">
        <x:v>Evidence_Class</x:v>
      </x:c>
      <x:c r="B4" s="20" t="str">
        <x:v>categorical</x:v>
      </x:c>
      <x:c r="C4" s="20" t="str">
        <x:v>A1 direct peptide atomic AuNC; A2 direct peptide non-precise AuNC; B1 peptide-AuNP mechanism; C1 PTT benchmark; C2 biomedical benchmark; D1 method/review reference</x:v>
      </x:c>
      <x:c r="D4" s="20" t="str">
        <x:v>Controls whether a row is eligible for training</x:v>
      </x:c>
    </x:row>
    <x:row r="5" ht="18" customHeight="1">
      <x:c r="A5" s="20" t="str">
        <x:v>Data_Status</x:v>
      </x:c>
      <x:c r="B5" s="20" t="str">
        <x:v>categorical</x:v>
      </x:c>
      <x:c r="C5" s="20" t="str">
        <x:v>DIRECT or REVIEW-DERIVED</x:v>
      </x:c>
      <x:c r="D5" s="20" t="str">
        <x:v>REVIEW-DERIVED rows must not enter final model training until primary paper is extracted</x:v>
      </x:c>
    </x:row>
    <x:row r="6" ht="18" customHeight="1">
      <x:c r="A6" s="20" t="str">
        <x:v>Material_Regime</x:v>
      </x:c>
      <x:c r="B6" s="20" t="str">
        <x:v>categorical</x:v>
      </x:c>
      <x:c r="C6" s="20" t="str">
        <x:v>Separates atomic AuNC, non-precise AuNC, AuNP, bipyramid, superstructure, 2D AuQD</x:v>
      </x:c>
      <x:c r="D6" s="20" t="str">
        <x:v>Prevents invalid cross-regime mixing</x:v>
      </x:c>
    </x:row>
    <x:row r="7" ht="18" customHeight="1">
      <x:c r="A7" s="20" t="str">
        <x:v>Sequence</x:v>
      </x:c>
      <x:c r="B7" s="20" t="str">
        <x:v>string</x:v>
      </x:c>
      <x:c r="C7" s="20" t="str">
        <x:v>Exact peptide sequence where available</x:v>
      </x:c>
      <x:c r="D7" s="20" t="str">
        <x:v>Primary sequence encoder input</x:v>
      </x:c>
    </x:row>
    <x:row r="8" ht="18" customHeight="1">
      <x:c r="A8" s="20" t="str">
        <x:v>Stereochemistry</x:v>
      </x:c>
      <x:c r="B8" s="20" t="str">
        <x:v>categorical</x:v>
      </x:c>
      <x:c r="C8" s="20" t="str">
        <x:v>L, D, mixed, N/A</x:v>
      </x:c>
      <x:c r="D8" s="20" t="str">
        <x:v>Needed for chiral peptide systems</x:v>
      </x:c>
    </x:row>
    <x:row r="9" ht="18" customHeight="1">
      <x:c r="A9" s="20" t="str">
        <x:v>Terminal_or_Chemical_Modification</x:v>
      </x:c>
      <x:c r="B9" s="20" t="str">
        <x:v>string</x:v>
      </x:c>
      <x:c r="C9" s="20" t="str">
        <x:v>Acyl tails, oxidation, conjugation, cyclic state, etc.</x:v>
      </x:c>
      <x:c r="D9" s="20" t="str">
        <x:v>Captures chemistry not represented by amino-acid letters</x:v>
      </x:c>
    </x:row>
    <x:row r="10" ht="18" customHeight="1">
      <x:c r="A10" s="20" t="str">
        <x:v>Au_Nuclearity</x:v>
      </x:c>
      <x:c r="B10" s="20" t="str">
        <x:v>integer</x:v>
      </x:c>
      <x:c r="C10" s="20" t="str">
        <x:v>Number of Au atoms in atomically precise cluster</x:v>
      </x:c>
      <x:c r="D10" s="20" t="str">
        <x:v>Primary atomic-precision structural target</x:v>
      </x:c>
    </x:row>
    <x:row r="11" ht="18" customHeight="1">
      <x:c r="A11" s="20" t="str">
        <x:v>Core_Size_nm</x:v>
      </x:c>
      <x:c r="B11" s="20" t="str">
        <x:v>nm</x:v>
      </x:c>
      <x:c r="C11" s="20" t="str">
        <x:v>Metal-core size</x:v>
      </x:c>
      <x:c r="D11" s="20" t="str">
        <x:v>Structural target / safety proxy</x:v>
      </x:c>
    </x:row>
    <x:row r="12" ht="18" customHeight="1">
      <x:c r="A12" s="20" t="str">
        <x:v>Hydrodynamic_Size_nm</x:v>
      </x:c>
      <x:c r="B12" s="20" t="str">
        <x:v>nm</x:v>
      </x:c>
      <x:c r="C12" s="20" t="str">
        <x:v>Effective size in solution/biological media</x:v>
      </x:c>
      <x:c r="D12" s="20" t="str">
        <x:v>Clearance/stability feature</x:v>
      </x:c>
    </x:row>
    <x:row r="13" ht="18" customHeight="1">
      <x:c r="A13" s="20" t="str">
        <x:v>Au_Precursor</x:v>
      </x:c>
      <x:c r="B13" s="20" t="str">
        <x:v>string</x:v>
      </x:c>
      <x:c r="C13" s="20" t="str">
        <x:v>Gold precursor and concentration where available</x:v>
      </x:c>
      <x:c r="D13" s="20" t="str">
        <x:v>Synthesis-context encoder</x:v>
      </x:c>
    </x:row>
    <x:row r="14" ht="18" customHeight="1">
      <x:c r="A14" s="20" t="str">
        <x:v>Reducing_Agent</x:v>
      </x:c>
      <x:c r="B14" s="20" t="str">
        <x:v>string</x:v>
      </x:c>
      <x:c r="C14" s="20" t="str">
        <x:v>NaBH4, ascorbate, peptide self-reduction, etc.</x:v>
      </x:c>
      <x:c r="D14" s="20" t="str">
        <x:v>Synthesis-context encoder</x:v>
      </x:c>
    </x:row>
    <x:row r="15" ht="18" customHeight="1">
      <x:c r="A15" s="20" t="str">
        <x:v>pH</x:v>
      </x:c>
      <x:c r="B15" s="20" t="str">
        <x:v>unitless</x:v>
      </x:c>
      <x:c r="C15" s="20" t="str">
        <x:v>Reaction pH; multi-stage pH protocols should eventually become separate protocol-step fields</x:v>
      </x:c>
      <x:c r="D15" s="20" t="str">
        <x:v>Critical synthesis variable</x:v>
      </x:c>
    </x:row>
    <x:row r="16" ht="18" customHeight="1">
      <x:c r="A16" s="20" t="str">
        <x:v>Temperature_C</x:v>
      </x:c>
      <x:c r="B16" s="20" t="str">
        <x:v>°C</x:v>
      </x:c>
      <x:c r="C16" s="20" t="str">
        <x:v>Reaction temperature</x:v>
      </x:c>
      <x:c r="D16" s="20" t="str">
        <x:v>Critical synthesis variable</x:v>
      </x:c>
    </x:row>
    <x:row r="17" ht="18" customHeight="1">
      <x:c r="A17" s="20" t="str">
        <x:v>Time_h</x:v>
      </x:c>
      <x:c r="B17" s="20" t="str">
        <x:v>hours</x:v>
      </x:c>
      <x:c r="C17" s="20" t="str">
        <x:v>Reaction time</x:v>
      </x:c>
      <x:c r="D17" s="20" t="str">
        <x:v>Critical synthesis variable</x:v>
      </x:c>
    </x:row>
    <x:row r="18" ht="18" customHeight="1">
      <x:c r="A18" s="20" t="str">
        <x:v>Emission_Peak_nm</x:v>
      </x:c>
      <x:c r="B18" s="20" t="str">
        <x:v>nm</x:v>
      </x:c>
      <x:c r="C18" s="20" t="str">
        <x:v>Peak photoluminescence wavelength</x:v>
      </x:c>
      <x:c r="D18" s="20" t="str">
        <x:v>Theranostic target</x:v>
      </x:c>
    </x:row>
    <x:row r="19" ht="18" customHeight="1">
      <x:c r="A19" s="20" t="str">
        <x:v>PLQY_pct</x:v>
      </x:c>
      <x:c r="B19" s="20" t="str">
        <x:v>%</x:v>
      </x:c>
      <x:c r="C19" s="20" t="str">
        <x:v>Photoluminescence quantum yield</x:v>
      </x:c>
      <x:c r="D19" s="20" t="str">
        <x:v>Theranostic target; not automatically maximized for PTT</x:v>
      </x:c>
    </x:row>
    <x:row r="20" ht="18" customHeight="1">
      <x:c r="A20" s="20" t="str">
        <x:v>Laser_nm</x:v>
      </x:c>
      <x:c r="B20" s="20" t="str">
        <x:v>nm</x:v>
      </x:c>
      <x:c r="C20" s="20" t="str">
        <x:v>PTT excitation wavelength</x:v>
      </x:c>
      <x:c r="D20" s="20" t="str">
        <x:v>PTT context</x:v>
      </x:c>
    </x:row>
    <x:row r="21" ht="18" customHeight="1">
      <x:c r="A21" s="20" t="str">
        <x:v>Laser_Power_W_cm2</x:v>
      </x:c>
      <x:c r="B21" s="20" t="str">
        <x:v>W/cm²</x:v>
      </x:c>
      <x:c r="C21" s="20" t="str">
        <x:v>Power density</x:v>
      </x:c>
      <x:c r="D21" s="20" t="str">
        <x:v>PTT context</x:v>
      </x:c>
    </x:row>
    <x:row r="22" ht="18" customHeight="1">
      <x:c r="A22" s="20" t="str">
        <x:v>PTT_Temperature_C</x:v>
      </x:c>
      <x:c r="B22" s="20" t="str">
        <x:v>°C</x:v>
      </x:c>
      <x:c r="C22" s="20" t="str">
        <x:v>Observed temperature under stated irradiation</x:v>
      </x:c>
      <x:c r="D22" s="20" t="str">
        <x:v>PTT target/benchmark</x:v>
      </x:c>
    </x:row>
    <x:row r="23" ht="18" customHeight="1">
      <x:c r="A23" s="20" t="str">
        <x:v>Key_Field_Completeness_pct</x:v>
      </x:c>
      <x:c r="B23" s="20" t="str">
        <x:v>%</x:v>
      </x:c>
      <x:c r="C23" s="20" t="str">
        <x:v>Simple coverage score across 10 key model fields</x:v>
      </x:c>
      <x:c r="D23" s="20" t="str">
        <x:v>Prioritizes records needing deeper extraction</x:v>
      </x:c>
    </x:row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501f724ddd443a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22" hidden="0" customWidth="1"/>
    <x:col min="4" max="4" width="50" hidden="0" customWidth="1"/>
    <x:col min="5" max="5" width="48" hidden="0" customWidth="1"/>
    <x:col min="6" max="6" width="48" hidden="0" customWidth="1"/>
    <x:col min="7" max="7" width="44" hidden="0" customWidth="1"/>
  </x:cols>
  <x:sheetData>
    <x:row r="1" ht="28" customHeight="1">
      <x:c r="A1" s="5" t="str">
        <x:v>Model Readiness — What Can Be Trained Now vs Later</x:v>
      </x:c>
      <x:c r="B1" s="5"/>
      <x:c r="C1" s="5"/>
      <x:c r="D1" s="5"/>
      <x:c r="E1" s="5"/>
      <x:c r="F1" s="5"/>
      <x:c r="G1" s="5"/>
    </x:row>
    <x:row r="2" ht="18" customHeight="1"/>
    <x:row r="3" ht="32" customHeight="1">
      <x:c r="A3" s="14" t="str">
        <x:v>Target</x:v>
      </x:c>
      <x:c r="B3" s="14" t="str">
        <x:v>Current direct evidence</x:v>
      </x:c>
      <x:c r="C3" s="14" t="str">
        <x:v>Current readiness</x:v>
      </x:c>
      <x:c r="D3" s="14" t="str">
        <x:v>Main gap</x:v>
      </x:c>
      <x:c r="E3" s="14" t="str">
        <x:v>Recommended first model</x:v>
      </x:c>
      <x:c r="F3" s="14" t="str">
        <x:v>Validation requirement</x:v>
      </x:c>
      <x:c r="G3" s="14" t="str">
        <x:v>Streamlit display</x:v>
      </x:c>
    </x:row>
    <x:row r="4" ht="18" customHeight="1">
      <x:c r="A4" s="20" t="str">
        <x:v>AuNC formation probability</x:v>
      </x:c>
      <x:c r="B4" s="20" t="str">
        <x:v>Very limited atomic-AuNC labels; richer AuNP mechanistic examples</x:v>
      </x:c>
      <x:c r="C4" s="20" t="str">
        <x:v>LOW</x:v>
      </x:c>
      <x:c r="D4" s="20" t="str">
        <x:v>Need many peptide/AuNC positive and negative experiments</x:v>
      </x:c>
      <x:c r="E4" s="20" t="str">
        <x:v>CatBoost/XGBoost baseline after more primary papers</x:v>
      </x:c>
      <x:c r="F4" s="20" t="str">
        <x:v>Paper-wise group split + calibration + class-balance metrics</x:v>
      </x:c>
      <x:c r="G4" s="20" t="str">
        <x:v>Probability + calibration + in-domain score</x:v>
      </x:c>
    </x:row>
    <x:row r="5" ht="18" customHeight="1">
      <x:c r="A5" s="20" t="str">
        <x:v>Au nuclearity</x:v>
      </x:c>
      <x:c r="B5" s="20" t="str">
        <x:v>Au22(SG)18 and Au25(SG)18 direct anchors</x:v>
      </x:c>
      <x:c r="C5" s="20" t="str">
        <x:v>VERY LOW</x:v>
      </x:c>
      <x:c r="D5" s="20" t="str">
        <x:v>Almost no peptide diversity</x:v>
      </x:c>
      <x:c r="E5" s="20" t="str">
        <x:v>Do not train final model yet; collect nuclearity-labeled primary studies</x:v>
      </x:c>
      <x:c r="F5" s="20" t="str">
        <x:v>Leave-one-paper-out; MAE + exact/±1 atom accuracy only when N is adequate</x:v>
      </x:c>
      <x:c r="G5" s="20" t="str">
        <x:v>Predicted Au_n + wide uncertainty</x:v>
      </x:c>
    </x:row>
    <x:row r="6" ht="18" customHeight="1">
      <x:c r="A6" s="20" t="str">
        <x:v>Core / hydrodynamic size</x:v>
      </x:c>
      <x:c r="B6" s="20" t="str">
        <x:v>Some direct atomic and mechanistic data</x:v>
      </x:c>
      <x:c r="C6" s="20" t="str">
        <x:v>LOW</x:v>
      </x:c>
      <x:c r="D6" s="20" t="str">
        <x:v>Material regimes currently mixed and sparse</x:v>
      </x:c>
      <x:c r="E6" s="20" t="str">
        <x:v>Regime-specific gradient boosting / GP</x:v>
      </x:c>
      <x:c r="F6" s="20" t="str">
        <x:v>Paper-wise split; MAE/RMSE + conformal interval</x:v>
      </x:c>
      <x:c r="G6" s="20" t="str">
        <x:v>Size prediction + 95% interval</x:v>
      </x:c>
    </x:row>
    <x:row r="7" ht="18" customHeight="1">
      <x:c r="A7" s="20" t="str">
        <x:v>Emission wavelength</x:v>
      </x:c>
      <x:c r="B7" s="20" t="str">
        <x:v>Au22/Au25 anchors + review-derived leads</x:v>
      </x:c>
      <x:c r="C7" s="20" t="str">
        <x:v>LOW–MEDIUM after acquisition</x:v>
      </x:c>
      <x:c r="D7" s="20" t="str">
        <x:v>Need more primary peptide-AuNC optical datasets</x:v>
      </x:c>
      <x:c r="E7" s="20" t="str">
        <x:v>ESM/physicochemical features + CatBoost/GP ensemble</x:v>
      </x:c>
      <x:c r="F7" s="20" t="str">
        <x:v>Paper-wise split; MAE/R²/Spearman; no review-derived duplicates</x:v>
      </x:c>
      <x:c r="G7" s="20" t="str">
        <x:v>Peak + interval + nearest literature analogues</x:v>
      </x:c>
    </x:row>
    <x:row r="8" ht="18" customHeight="1">
      <x:c r="A8" s="20" t="str">
        <x:v>PLQY</x:v>
      </x:c>
      <x:c r="B8" s="20" t="str">
        <x:v>Sparse direct values</x:v>
      </x:c>
      <x:c r="C8" s="20" t="str">
        <x:v>LOW</x:v>
      </x:c>
      <x:c r="D8" s="20" t="str">
        <x:v>Many papers omit QY; measurement protocols vary</x:v>
      </x:c>
      <x:c r="E8" s="20" t="str">
        <x:v>Regression only after harmonization</x:v>
      </x:c>
      <x:c r="F8" s="20" t="str">
        <x:v>Paper-wise split + uncertainty; report missingness</x:v>
      </x:c>
      <x:c r="G8" s="20" t="str">
        <x:v>QY prediction only in theranostic mode</x:v>
      </x:c>
    </x:row>
    <x:row r="9" ht="18" customHeight="1">
      <x:c r="A9" s="20" t="str">
        <x:v>PTT heating / PCE</x:v>
      </x:c>
      <x:c r="B9" s="20" t="str">
        <x:v>Strong benchmarks but almost no peptide-templated atomic AuNC training pairs</x:v>
      </x:c>
      <x:c r="C9" s="20" t="str">
        <x:v>LOW</x:v>
      </x:c>
      <x:c r="D9" s="20" t="str">
        <x:v>Need primary peptide-AuNC PTT studies and PCE values</x:v>
      </x:c>
      <x:c r="E9" s="20" t="str">
        <x:v>Benchmark/reference layer first; regression later</x:v>
      </x:c>
      <x:c r="F9" s="20" t="str">
        <x:v>Laser/context-aware split; report ΔT/PCE under matched conditions</x:v>
      </x:c>
      <x:c r="G9" s="20" t="str">
        <x:v>PTT score + laser context + evidence level</x:v>
      </x:c>
    </x:row>
    <x:row r="10" ht="18" customHeight="1">
      <x:c r="A10" s="20" t="str">
        <x:v>Synthesis-condition recommendation</x:v>
      </x:c>
      <x:c r="B10" s="20" t="str">
        <x:v>Strong mechanistic precedent + direct Au22 protocol</x:v>
      </x:c>
      <x:c r="C10" s="20" t="str">
        <x:v>MEDIUM for rule-guided prototype</x:v>
      </x:c>
      <x:c r="D10" s="20" t="str">
        <x:v>Insufficient direct atomic peptide diversity</x:v>
      </x:c>
      <x:c r="E10" s="20" t="str">
        <x:v>Bayesian optimization / multi-objective search after literature expansion</x:v>
      </x:c>
      <x:c r="F10" s="20" t="str">
        <x:v>Retrospective reconstruction + later closed-loop experiments</x:v>
      </x:c>
      <x:c r="G10" s="20" t="str">
        <x:v>Recommended condition window, not false single-point certainty</x:v>
      </x:c>
    </x:row>
    <x:row r="11" ht="18" customHeight="1">
      <x:c r="A11" s="20" t="str">
        <x:v>Peptide conformation descriptors</x:v>
      </x:c>
      <x:c r="B11" s="20" t="str">
        <x:v>ALBATROSS available</x:v>
      </x:c>
      <x:c r="C11" s="20" t="str">
        <x:v>READY AS AUXILIARY FEATURE</x:v>
      </x:c>
      <x:c r="D11" s="20" t="str">
        <x:v>Not metal-bound validation</x:v>
      </x:c>
      <x:c r="E11" s="20" t="str">
        <x:v>Use ALBATROSS/SPARROW as descriptors only</x:v>
      </x:c>
      <x:c r="F11" s="20" t="str">
        <x:v>Ablation: with vs without conformational features</x:v>
      </x:c>
      <x:c r="G11" s="20" t="str">
        <x:v>Rg/Re/asphericity shown as descriptors, not Au-binding truth</x:v>
      </x:c>
    </x:row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9226fa2cd0d425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4" max="4" width="32" hidden="0" customWidth="1"/>
    <x:col min="5" max="5" width="16" hidden="0" customWidth="1"/>
  </x:cols>
  <x:sheetData>
    <x:row r="1" ht="28" customHeight="1">
      <x:c r="A1" s="5" t="str">
        <x:v>PepAuDB v0.1 Dashboard</x:v>
      </x:c>
      <x:c r="B1" s="5"/>
      <x:c r="C1" s="5"/>
      <x:c r="D1" s="5"/>
      <x:c r="E1" s="5"/>
      <x:c r="F1" s="5"/>
      <x:c r="G1" s="5"/>
      <x:c r="H1" s="5"/>
    </x:row>
    <x:row r="2" ht="18" customHeight="1"/>
    <x:row r="3" ht="32" customHeight="1">
      <x:c r="A3" s="14" t="str">
        <x:v>KPI</x:v>
      </x:c>
      <x:c r="B3" s="14" t="str">
        <x:v>Value</x:v>
      </x:c>
      <x:c r="D3" s="14" t="str">
        <x:v>Evidence class</x:v>
      </x:c>
      <x:c r="E3" s="14" t="str">
        <x:v>Record count</x:v>
      </x:c>
    </x:row>
    <x:row r="4" ht="18" customHeight="1">
      <x:c r="A4" t="str">
        <x:v>Uploaded papers</x:v>
      </x:c>
      <x:c r="B4" t="n">
        <x:v>14</x:v>
      </x:c>
      <x:c r="D4" t="str">
        <x:v>A1 atomic peptide AuNC</x:v>
      </x:c>
      <x:c r="E4" t="n">
        <x:f>COUNTIF(PepAuDB_v0.1!C4:C25,"A1 DIRECT_PEPTIDE_ATOMIC_AUNC")</x:f>
        <x:v>3</x:v>
      </x:c>
    </x:row>
    <x:row r="5" ht="18" customHeight="1">
      <x:c r="A5" t="str">
        <x:v>Starter experiment-level records</x:v>
      </x:c>
      <x:c r="B5" t="n">
        <x:v>22</x:v>
      </x:c>
      <x:c r="D5" t="str">
        <x:v>B1 peptide-AuNP mechanism</x:v>
      </x:c>
      <x:c r="E5" t="n">
        <x:f>COUNTIF(PepAuDB_v0.1!C4:C25,"B1 PEPTIDE_AUNP_MECHANISM")</x:f>
        <x:v>14</x:v>
      </x:c>
    </x:row>
    <x:row r="6" ht="18" customHeight="1">
      <x:c r="A6" t="str">
        <x:v>Direct A1 atomic peptide-AuNC records</x:v>
      </x:c>
      <x:c r="B6" t="n">
        <x:f>COUNTIF(PepAuDB_v0.1!C4:C25,"A1 DIRECT_PEPTIDE_ATOMIC_AUNC")</x:f>
        <x:v>3</x:v>
      </x:c>
      <x:c r="D6" t="str">
        <x:v>C1 PTT benchmark</x:v>
      </x:c>
      <x:c r="E6" t="n">
        <x:f>COUNTIF(PepAuDB_v0.1!C4:C25,"C1 AUNC_PTT_BENCHMARK")</x:f>
        <x:v>2</x:v>
      </x:c>
    </x:row>
    <x:row r="7" ht="18" customHeight="1">
      <x:c r="A7" t="str">
        <x:v>Direct PTT benchmark records</x:v>
      </x:c>
      <x:c r="B7" t="n">
        <x:f>COUNTIF(PepAuDB_v0.1!C4:C25,"C1 AUNC_PTT_BENCHMARK")</x:f>
        <x:v>2</x:v>
      </x:c>
      <x:c r="D7" t="str">
        <x:v>C2 biomedical benchmark</x:v>
      </x:c>
      <x:c r="E7" t="n">
        <x:f>COUNTIF(PepAuDB_v0.1!C4:C25,"C2 AUNC_BIOMEDICAL_BENCHMARK")</x:f>
        <x:v>1</x:v>
      </x:c>
    </x:row>
    <x:row r="8" ht="18" customHeight="1">
      <x:c r="A8" t="str">
        <x:v>High-priority missing papers (P1)</x:v>
      </x:c>
      <x:c r="B8" t="n">
        <x:f>COUNTIF(Missing_Literature!A4:A15,"P1")</x:f>
        <x:v>8</x:v>
      </x:c>
      <x:c r="D8" t="str">
        <x:v>D1 method/review</x:v>
      </x:c>
      <x:c r="E8" t="n">
        <x:f>COUNTIF(PepAuDB_v0.1!C4:C25,"D1 METHOD_REFERENCE")</x:f>
        <x:v>2</x:v>
      </x:c>
    </x:row>
    <x:row r="9" ht="18" customHeight="1">
      <x:c r="D9" t="str">
        <x:v>DIRECT rows</x:v>
      </x:c>
      <x:c r="E9" t="n">
        <x:f>COUNTIF(PepAuDB_v0.1!D4:D25,"DIRECT")</x:f>
        <x:v>20</x:v>
      </x:c>
    </x:row>
    <x:row r="10" ht="18" customHeight="1">
      <x:c r="D10" t="str">
        <x:v>REVIEW-DERIVED rows</x:v>
      </x:c>
      <x:c r="E10" t="n">
        <x:f>COUNTIF(PepAuDB_v0.1!D4:D25,"REVIEW-DERIVED")</x:f>
        <x:v>2</x:v>
      </x:c>
    </x:row>
    <x:row r="11" ht="18" customHeight="1">
      <x:c r="A11" s="14" t="str">
        <x:v>Current decision</x:v>
      </x:c>
      <x:c r="B11" s="14" t="str">
        <x:v>Status</x:v>
      </x:c>
    </x:row>
    <x:row r="12" ht="18" customHeight="1">
      <x:c r="A12" s="20" t="str">
        <x:v>Replace synthetic 120-row training data</x:v>
      </x:c>
      <x:c r="B12" s="20" t="str">
        <x:v>YES — for scientific claims</x:v>
      </x:c>
    </x:row>
    <x:row r="13" ht="18" customHeight="1">
      <x:c r="A13" s="20" t="str">
        <x:v>Build final Streamlit model now</x:v>
      </x:c>
      <x:c r="B13" s="20" t="str">
        <x:v>NO — first expand primary data</x:v>
      </x:c>
    </x:row>
    <x:row r="14" ht="18" customHeight="1">
      <x:c r="A14" s="20" t="str">
        <x:v>Keep ALBATROSS/SPARROW</x:v>
      </x:c>
      <x:c r="B14" s="20" t="str">
        <x:v>YES — auxiliary sequence-conformation features</x:v>
      </x:c>
    </x:row>
    <x:row r="15" ht="18" customHeight="1">
      <x:c r="A15" s="20" t="str">
        <x:v>Optimize PLQY in PTT-only mode</x:v>
      </x:c>
      <x:c r="B15" s="20" t="str">
        <x:v>NO</x:v>
      </x:c>
    </x:row>
    <x:row r="16" ht="18" customHeight="1">
      <x:c r="A16" s="20" t="str">
        <x:v>Use multi-objective optimization later</x:v>
      </x:c>
      <x:c r="B16" s="20" t="str">
        <x:v>YES — after real-data benchmark</x:v>
      </x:c>
    </x:row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H1"/>
  </x:mergeCells>
  <x:pageMargins left="0.7" right="0.7" top="0.75" bottom="0.75" header="0.3" footer="0.3"/>
  <x:drawing xmlns:r="http://schemas.openxmlformats.org/officeDocument/2006/relationships" r:id="R9d0d183befee430a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9" hidden="0" customWidth="1"/>
    <x:col min="4" max="4" width="16" hidden="0" customWidth="1"/>
    <x:col min="5" max="5" width="26" hidden="0" customWidth="1"/>
    <x:col min="6" max="6" width="30" hidden="0" customWidth="1"/>
    <x:col min="7" max="7" width="36" hidden="0" customWidth="1"/>
    <x:col min="8" max="8" width="14" hidden="0" customWidth="1"/>
    <x:col min="9" max="9" width="32" hidden="0" customWidth="1"/>
    <x:col min="10" max="10" width="13" hidden="0" customWidth="1"/>
    <x:col min="11" max="11" width="12" hidden="0" customWidth="1"/>
    <x:col min="12" max="12" width="13" hidden="0" customWidth="1"/>
    <x:col min="13" max="13" width="16" hidden="0" customWidth="1"/>
    <x:col min="14" max="14" width="34" hidden="0" customWidth="1"/>
    <x:col min="15" max="15" width="22" hidden="0" customWidth="1"/>
    <x:col min="16" max="16" width="46" hidden="0" customWidth="1"/>
    <x:col min="17" max="17" width="27" hidden="0" customWidth="1"/>
    <x:col min="18" max="18" width="10" hidden="0" customWidth="1"/>
    <x:col min="19" max="19" width="13" hidden="0" customWidth="1"/>
    <x:col min="20" max="20" width="10" hidden="0" customWidth="1"/>
    <x:col min="21" max="21" width="40" hidden="0" customWidth="1"/>
    <x:col min="22" max="22" width="16" hidden="0" customWidth="1"/>
    <x:col min="23" max="23" width="24" hidden="0" customWidth="1"/>
    <x:col min="24" max="24" width="12" hidden="0" customWidth="1"/>
    <x:col min="25" max="25" width="20" hidden="0" customWidth="1"/>
    <x:col min="26" max="26" width="12" hidden="0" customWidth="1"/>
    <x:col min="27" max="27" width="10" hidden="0" customWidth="1"/>
    <x:col min="28" max="28" width="16" hidden="0" customWidth="1"/>
    <x:col min="29" max="29" width="18" hidden="0" customWidth="1"/>
    <x:col min="30" max="30" width="14" hidden="0" customWidth="1"/>
    <x:col min="31" max="31" width="28" hidden="0" customWidth="1"/>
    <x:col min="32" max="32" width="72" hidden="0" customWidth="1"/>
    <x:col min="33" max="33" width="34" hidden="0" customWidth="1"/>
    <x:col min="34" max="34" width="43" hidden="0" customWidth="1"/>
    <x:col min="35" max="35" width="16" hidden="0" customWidth="1"/>
    <x:col min="36" max="36" width="22" hidden="0" customWidth="1"/>
    <x:col min="37" max="37" width="24" hidden="0" customWidth="1"/>
    <x:col min="38" max="38" width="64" hidden="0" customWidth="1"/>
    <x:col min="39" max="39" width="14" hidden="0" customWidth="1"/>
    <x:col min="40" max="40" width="22" hidden="0" customWidth="1"/>
  </x:cols>
  <x:sheetData>
    <x:row r="1" ht="28" customHeight="1">
      <x:c r="A1" s="30" t="str">
        <x:v>PepAuDB v0.2 — Literature-Expanded, Training-Gated Records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  <x:c r="AC1" s="30"/>
      <x:c r="AD1" s="30"/>
      <x:c r="AE1" s="30"/>
      <x:c r="AF1" s="30"/>
      <x:c r="AG1" s="30"/>
      <x:c r="AH1" s="30"/>
      <x:c r="AI1" s="30"/>
      <x:c r="AJ1" s="30"/>
      <x:c r="AK1" s="30"/>
      <x:c r="AL1" s="30"/>
      <x:c r="AM1" s="30"/>
      <x:c r="AN1" s="30"/>
    </x:row>
    <x:row r="2" ht="18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</x:row>
    <x:row r="3" ht="32" customHeight="1">
      <x:c r="A3" s="35" t="str">
        <x:v>Record_ID</x:v>
      </x:c>
      <x:c r="B3" s="35" t="str">
        <x:v>Source_ID</x:v>
      </x:c>
      <x:c r="C3" s="35" t="str">
        <x:v>Evidence_Class</x:v>
      </x:c>
      <x:c r="D3" s="35" t="str">
        <x:v>Data_Status</x:v>
      </x:c>
      <x:c r="E3" s="35" t="str">
        <x:v>Material_Regime</x:v>
      </x:c>
      <x:c r="F3" s="35" t="str">
        <x:v>Peptide_or_Ligand</x:v>
      </x:c>
      <x:c r="G3" s="35" t="str">
        <x:v>Sequence</x:v>
      </x:c>
      <x:c r="H3" s="35" t="str">
        <x:v>Stereochemistry</x:v>
      </x:c>
      <x:c r="I3" s="35" t="str">
        <x:v>Terminal_or_Chemical_Modification</x:v>
      </x:c>
      <x:c r="J3" s="35" t="str">
        <x:v>Au_Nuclearity</x:v>
      </x:c>
      <x:c r="K3" s="35" t="str">
        <x:v>Ligand_Count</x:v>
      </x:c>
      <x:c r="L3" s="35" t="str">
        <x:v>Core_Size_nm</x:v>
      </x:c>
      <x:c r="M3" s="35" t="str">
        <x:v>Hydrodynamic_Size_nm</x:v>
      </x:c>
      <x:c r="N3" s="35" t="str">
        <x:v>Morphology</x:v>
      </x:c>
      <x:c r="O3" s="35" t="str">
        <x:v>Au_Precursor</x:v>
      </x:c>
      <x:c r="P3" s="35" t="str">
        <x:v>Peptide_or_Ligand_Condition</x:v>
      </x:c>
      <x:c r="Q3" s="35" t="str">
        <x:v>Reducing_Agent</x:v>
      </x:c>
      <x:c r="R3" s="35" t="str">
        <x:v>pH</x:v>
      </x:c>
      <x:c r="S3" s="35" t="str">
        <x:v>Temperature_C</x:v>
      </x:c>
      <x:c r="T3" s="35" t="str">
        <x:v>Time_h</x:v>
      </x:c>
      <x:c r="U3" s="35" t="str">
        <x:v>Mixing_or_Process</x:v>
      </x:c>
      <x:c r="V3" s="35" t="str">
        <x:v>Emission_Peak_nm</x:v>
      </x:c>
      <x:c r="W3" s="35" t="str">
        <x:v>Emission_Range_nm</x:v>
      </x:c>
      <x:c r="X3" s="35" t="str">
        <x:v>PLQY_pct</x:v>
      </x:c>
      <x:c r="Y3" s="35" t="str">
        <x:v>Absorption_or_LSPR_nm</x:v>
      </x:c>
      <x:c r="Z3" s="35" t="str">
        <x:v>Zeta_mV</x:v>
      </x:c>
      <x:c r="AA3" s="35" t="str">
        <x:v>Laser_nm</x:v>
      </x:c>
      <x:c r="AB3" s="35" t="str">
        <x:v>Laser_Power_W_cm2</x:v>
      </x:c>
      <x:c r="AC3" s="35" t="str">
        <x:v>PTT_Temperature_C</x:v>
      </x:c>
      <x:c r="AD3" s="35" t="str">
        <x:v>PTT_Time_min</x:v>
      </x:c>
      <x:c r="AE3" s="35" t="str">
        <x:v>Application</x:v>
      </x:c>
      <x:c r="AF3" s="35" t="str">
        <x:v>Key_Observation</x:v>
      </x:c>
      <x:c r="AG3" s="35" t="str">
        <x:v>Source_Locator</x:v>
      </x:c>
      <x:c r="AH3" s="35" t="str">
        <x:v>DOI_URL</x:v>
      </x:c>
      <x:c r="AI3" s="35" t="str">
        <x:v>Key_Field_Completeness_pct</x:v>
      </x:c>
      <x:c r="AJ3" s="35" t="str">
        <x:v>Training_Eligibility</x:v>
      </x:c>
      <x:c r="AK3" s="35" t="str">
        <x:v>Sequence_Status</x:v>
      </x:c>
      <x:c r="AL3" s="35" t="str">
        <x:v>QC_Flag</x:v>
      </x:c>
      <x:c r="AM3" s="35" t="str">
        <x:v>Research_Date</x:v>
      </x:c>
      <x:c r="AN3" s="35" t="str">
        <x:v>Source_Type</x:v>
      </x:c>
    </x:row>
    <x:row r="4" ht="18" customHeight="1">
      <x:c r="A4" s="20" t="str">
        <x:v>R001</x:v>
      </x:c>
      <x:c r="B4" s="20" t="str">
        <x:v>S01</x:v>
      </x:c>
      <x:c r="C4" s="20" t="str">
        <x:v>B1 PEPTIDE_AUNP_MECHANISM</x:v>
      </x:c>
      <x:c r="D4" s="20" t="str">
        <x:v>DIRECT</x:v>
      </x:c>
      <x:c r="E4" s="20" t="str">
        <x:v>gold_nanoparticle</x:v>
      </x:c>
      <x:c r="F4" s="20" t="str">
        <x:v>AAAKCK</x:v>
      </x:c>
      <x:c r="G4" s="20" t="str">
        <x:v>AAAKCK</x:v>
      </x:c>
      <x:c r="H4" s="20" t="str">
        <x:v>L</x:v>
      </x:c>
      <x:c r="I4" s="20" t="str">
        <x:v>None</x:v>
      </x:c>
      <x:c r="J4" s="20"/>
      <x:c r="K4" s="20"/>
      <x:c r="L4" s="20"/>
      <x:c r="M4" s="20"/>
      <x:c r="N4" s="20" t="str">
        <x:v>Mostly icosahedron/decahedron; some hexagonal plates</x:v>
      </x:c>
      <x:c r="O4" s="20" t="str">
        <x:v>HAuCl4</x:v>
      </x:c>
      <x:c r="P4" s="20" t="str">
        <x:v>7 mM peptide; 10 mM HAuCl4; 20 mM phosphate buffer</x:v>
      </x:c>
      <x:c r="Q4" s="20" t="str">
        <x:v>Peptide self-reduction</x:v>
      </x:c>
      <x:c r="R4" s="20" t="n">
        <x:v>4</x:v>
      </x:c>
      <x:c r="S4" s="20" t="n">
        <x:v>25</x:v>
      </x:c>
      <x:c r="T4" s="20"/>
      <x:c r="U4" s="20" t="str">
        <x:v>No stirring; room temperature</x:v>
      </x:c>
      <x:c r="V4" s="20"/>
      <x:c r="W4" s="20"/>
      <x:c r="X4" s="20"/>
      <x:c r="Y4" s="20"/>
      <x:c r="Z4" s="20"/>
      <x:c r="AA4" s="20"/>
      <x:c r="AB4" s="20"/>
      <x:c r="AC4" s="20"/>
      <x:c r="AD4" s="20"/>
      <x:c r="AE4" s="20" t="str">
        <x:v>Mechanistic</x:v>
      </x:c>
      <x:c r="AF4" s="20" t="str">
        <x:v>pH 4: 71.4% icosahedron/decahedron; size ranges 55–90, 50–100 and 65–125 nm for icosahedron/decahedron/plates</x:v>
      </x:c>
      <x:c r="AG4" s="20" t="str">
        <x:v>Main text p.5; Fig.6</x:v>
      </x:c>
      <x:c r="AH4" s="20" t="str">
        <x:v>https://doi.org/10.1021/acsomega.6b00140</x:v>
      </x:c>
      <x:c r="AI4" s="24" t="n">
        <x:f>ROUND(100*COUNTA(G4,J4,L4,R4,S4,T4,V4,X4,AA4,AC4)/10,0)</x:f>
        <x:v>30</x:v>
      </x:c>
      <x:c r="AJ4" s="20" t="str">
        <x:v>MECHANISTIC_ONLY</x:v>
      </x:c>
      <x:c r="AK4" s="20" t="str">
        <x:v>EXACT_FROM_UPLOADED_PRIMARY</x:v>
      </x:c>
      <x:c r="AL4" s="20" t="str">
        <x:v>Cross-regime peptide→gold mechanism; not an atomically precise AuNC training target.</x:v>
      </x:c>
      <x:c r="AM4" s="20" t="str">
        <x:v>2026-09-07</x:v>
      </x:c>
      <x:c r="AN4" s="20" t="str">
        <x:v>UPLOADED_PRIMARY_OR_REVIEW</x:v>
      </x:c>
    </x:row>
    <x:row r="5" ht="18" customHeight="1">
      <x:c r="A5" s="20" t="str">
        <x:v>R002</x:v>
      </x:c>
      <x:c r="B5" s="20" t="str">
        <x:v>S01</x:v>
      </x:c>
      <x:c r="C5" s="20" t="str">
        <x:v>B1 PEPTIDE_AUNP_MECHANISM</x:v>
      </x:c>
      <x:c r="D5" s="20" t="str">
        <x:v>DIRECT</x:v>
      </x:c>
      <x:c r="E5" s="20" t="str">
        <x:v>gold_nanoparticle</x:v>
      </x:c>
      <x:c r="F5" s="20" t="str">
        <x:v>AAAKCK</x:v>
      </x:c>
      <x:c r="G5" s="20" t="str">
        <x:v>AAAKCK</x:v>
      </x:c>
      <x:c r="H5" s="20" t="str">
        <x:v>L</x:v>
      </x:c>
      <x:c r="I5" s="20" t="str">
        <x:v>None</x:v>
      </x:c>
      <x:c r="J5" s="20"/>
      <x:c r="K5" s="20"/>
      <x:c r="L5" s="20"/>
      <x:c r="M5" s="20"/>
      <x:c r="N5" s="20" t="str">
        <x:v>Mixed; icosahedron/decahedron + bipyramids/spheres/plates</x:v>
      </x:c>
      <x:c r="O5" s="20" t="str">
        <x:v>HAuCl4</x:v>
      </x:c>
      <x:c r="P5" s="20" t="str">
        <x:v>7 mM peptide; 10 mM HAuCl4; 20 mM phosphate buffer</x:v>
      </x:c>
      <x:c r="Q5" s="20" t="str">
        <x:v>Peptide self-reduction</x:v>
      </x:c>
      <x:c r="R5" s="20" t="n">
        <x:v>6</x:v>
      </x:c>
      <x:c r="S5" s="20" t="n">
        <x:v>25</x:v>
      </x:c>
      <x:c r="T5" s="20"/>
      <x:c r="U5" s="20" t="str">
        <x:v>No stirring; room temperature</x:v>
      </x:c>
      <x:c r="V5" s="20"/>
      <x:c r="W5" s="20"/>
      <x:c r="X5" s="20"/>
      <x:c r="Y5" s="20"/>
      <x:c r="Z5" s="20"/>
      <x:c r="AA5" s="20"/>
      <x:c r="AB5" s="20"/>
      <x:c r="AC5" s="20"/>
      <x:c r="AD5" s="20"/>
      <x:c r="AE5" s="20" t="str">
        <x:v>Mechanistic</x:v>
      </x:c>
      <x:c r="AF5" s="20" t="str">
        <x:v>pH 6 reduces many size ranges vs pH 4; spherical/bipyramidal forms appear</x:v>
      </x:c>
      <x:c r="AG5" s="20" t="str">
        <x:v>Main text p.5; Fig.6</x:v>
      </x:c>
      <x:c r="AH5" s="20" t="str">
        <x:v>https://doi.org/10.1021/acsomega.6b00140</x:v>
      </x:c>
      <x:c r="AI5" s="24" t="n">
        <x:f>ROUND(100*COUNTA(G5,J5,L5,R5,S5,T5,V5,X5,AA5,AC5)/10,0)</x:f>
        <x:v>30</x:v>
      </x:c>
      <x:c r="AJ5" s="20" t="str">
        <x:v>MECHANISTIC_ONLY</x:v>
      </x:c>
      <x:c r="AK5" s="20" t="str">
        <x:v>EXACT_FROM_UPLOADED_PRIMARY</x:v>
      </x:c>
      <x:c r="AL5" s="20" t="str">
        <x:v>Cross-regime peptide→gold mechanism; not an atomically precise AuNC training target.</x:v>
      </x:c>
      <x:c r="AM5" s="20" t="str">
        <x:v>2026-09-07</x:v>
      </x:c>
      <x:c r="AN5" s="20" t="str">
        <x:v>UPLOADED_PRIMARY_OR_REVIEW</x:v>
      </x:c>
    </x:row>
    <x:row r="6" ht="18" customHeight="1">
      <x:c r="A6" s="20" t="str">
        <x:v>R003</x:v>
      </x:c>
      <x:c r="B6" s="20" t="str">
        <x:v>S01</x:v>
      </x:c>
      <x:c r="C6" s="20" t="str">
        <x:v>B1 PEPTIDE_AUNP_MECHANISM</x:v>
      </x:c>
      <x:c r="D6" s="20" t="str">
        <x:v>DIRECT</x:v>
      </x:c>
      <x:c r="E6" s="20" t="str">
        <x:v>gold_nanoparticle</x:v>
      </x:c>
      <x:c r="F6" s="20" t="str">
        <x:v>AAAKCK</x:v>
      </x:c>
      <x:c r="G6" s="20" t="str">
        <x:v>AAAKCK</x:v>
      </x:c>
      <x:c r="H6" s="20" t="str">
        <x:v>L</x:v>
      </x:c>
      <x:c r="I6" s="20" t="str">
        <x:v>None</x:v>
      </x:c>
      <x:c r="J6" s="20"/>
      <x:c r="K6" s="20"/>
      <x:c r="L6" s="20" t="n">
        <x:v>18</x:v>
      </x:c>
      <x:c r="M6" s="20"/>
      <x:c r="N6" s="20" t="str">
        <x:v>Predominantly spherical / low shape polydispersity</x:v>
      </x:c>
      <x:c r="O6" s="20" t="str">
        <x:v>HAuCl4</x:v>
      </x:c>
      <x:c r="P6" s="20" t="str">
        <x:v>7 mM peptide; 10 mM HAuCl4; 20 mM phosphate buffer</x:v>
      </x:c>
      <x:c r="Q6" s="20" t="str">
        <x:v>Peptide self-reduction</x:v>
      </x:c>
      <x:c r="R6" s="20" t="n">
        <x:v>9</x:v>
      </x:c>
      <x:c r="S6" s="20" t="n">
        <x:v>25</x:v>
      </x:c>
      <x:c r="T6" s="20"/>
      <x:c r="U6" s="20" t="str">
        <x:v>No stirring; room temperature</x:v>
      </x:c>
      <x:c r="V6" s="20"/>
      <x:c r="W6" s="20"/>
      <x:c r="X6" s="20"/>
      <x:c r="Y6" s="20"/>
      <x:c r="Z6" s="20"/>
      <x:c r="AA6" s="20"/>
      <x:c r="AB6" s="20"/>
      <x:c r="AC6" s="20"/>
      <x:c r="AD6" s="20"/>
      <x:c r="AE6" s="20" t="str">
        <x:v>Mechanistic</x:v>
      </x:c>
      <x:c r="AF6" s="20" t="str">
        <x:v>pH 9 produced low shape polydispersity with predominant ~18 nm particles</x:v>
      </x:c>
      <x:c r="AG6" s="20" t="str">
        <x:v>Main text p.5; Fig.6F</x:v>
      </x:c>
      <x:c r="AH6" s="20" t="str">
        <x:v>https://doi.org/10.1021/acsomega.6b00140</x:v>
      </x:c>
      <x:c r="AI6" s="24" t="n">
        <x:f>ROUND(100*COUNTA(G6,J6,L6,R6,S6,T6,V6,X6,AA6,AC6)/10,0)</x:f>
        <x:v>40</x:v>
      </x:c>
      <x:c r="AJ6" s="20" t="str">
        <x:v>MECHANISTIC_ONLY</x:v>
      </x:c>
      <x:c r="AK6" s="20" t="str">
        <x:v>EXACT_FROM_UPLOADED_PRIMARY</x:v>
      </x:c>
      <x:c r="AL6" s="20" t="str">
        <x:v>Cross-regime peptide→gold mechanism; not an atomically precise AuNC training target.</x:v>
      </x:c>
      <x:c r="AM6" s="20" t="str">
        <x:v>2026-09-07</x:v>
      </x:c>
      <x:c r="AN6" s="20" t="str">
        <x:v>UPLOADED_PRIMARY_OR_REVIEW</x:v>
      </x:c>
    </x:row>
    <x:row r="7" ht="18" customHeight="1">
      <x:c r="A7" s="20" t="str">
        <x:v>R004</x:v>
      </x:c>
      <x:c r="B7" s="20" t="str">
        <x:v>S01</x:v>
      </x:c>
      <x:c r="C7" s="20" t="str">
        <x:v>B1 PEPTIDE_AUNP_MECHANISM</x:v>
      </x:c>
      <x:c r="D7" s="20" t="str">
        <x:v>DIRECT</x:v>
      </x:c>
      <x:c r="E7" s="20" t="str">
        <x:v>gold_nanoparticle</x:v>
      </x:c>
      <x:c r="F7" s="20" t="str">
        <x:v>AAARCR</x:v>
      </x:c>
      <x:c r="G7" s="20" t="str">
        <x:v>AAARCR</x:v>
      </x:c>
      <x:c r="H7" s="20" t="str">
        <x:v>L</x:v>
      </x:c>
      <x:c r="I7" s="20" t="str">
        <x:v>None</x:v>
      </x:c>
      <x:c r="J7" s="20"/>
      <x:c r="K7" s="20"/>
      <x:c r="L7" s="20" t="n">
        <x:v>79</x:v>
      </x:c>
      <x:c r="M7" s="20"/>
      <x:c r="N7" s="20" t="str">
        <x:v>Low-polydispersity particles</x:v>
      </x:c>
      <x:c r="O7" s="20" t="str">
        <x:v>HAuCl4</x:v>
      </x:c>
      <x:c r="P7" s="20" t="str">
        <x:v>Same base protocol as alkaline peptide experiments</x:v>
      </x:c>
      <x:c r="Q7" s="20" t="str">
        <x:v>Peptide self-reduction</x:v>
      </x:c>
      <x:c r="R7" s="20" t="n">
        <x:v>9</x:v>
      </x:c>
      <x:c r="S7" s="20" t="n">
        <x:v>25</x:v>
      </x:c>
      <x:c r="T7" s="20"/>
      <x:c r="U7" s="20" t="str">
        <x:v>No stirring; room temperature</x:v>
      </x:c>
      <x:c r="V7" s="20"/>
      <x:c r="W7" s="20"/>
      <x:c r="X7" s="20"/>
      <x:c r="Y7" s="20" t="n">
        <x:v>536</x:v>
      </x:c>
      <x:c r="Z7" s="20" t="n">
        <x:v>30.4</x:v>
      </x:c>
      <x:c r="AA7" s="20"/>
      <x:c r="AB7" s="20"/>
      <x:c r="AC7" s="20"/>
      <x:c r="AD7" s="20"/>
      <x:c r="AE7" s="20" t="str">
        <x:v>Mechanistic</x:v>
      </x:c>
      <x:c r="AF7" s="20" t="str">
        <x:v>Alkaline pH favored AAARCR synthesis; mean diameter 79±6 nm reported for pH 9–10</x:v>
      </x:c>
      <x:c r="AG7" s="20" t="str">
        <x:v>Main text p.7–8; Fig.11</x:v>
      </x:c>
      <x:c r="AH7" s="20" t="str">
        <x:v>https://doi.org/10.1021/acsomega.6b00140</x:v>
      </x:c>
      <x:c r="AI7" s="24" t="n">
        <x:f>ROUND(100*COUNTA(G7,J7,L7,R7,S7,T7,V7,X7,AA7,AC7)/10,0)</x:f>
        <x:v>40</x:v>
      </x:c>
      <x:c r="AJ7" s="20" t="str">
        <x:v>MECHANISTIC_ONLY</x:v>
      </x:c>
      <x:c r="AK7" s="20" t="str">
        <x:v>EXACT_FROM_UPLOADED_PRIMARY</x:v>
      </x:c>
      <x:c r="AL7" s="20" t="str">
        <x:v>Cross-regime peptide→gold mechanism; not an atomically precise AuNC training target.</x:v>
      </x:c>
      <x:c r="AM7" s="20" t="str">
        <x:v>2026-09-07</x:v>
      </x:c>
      <x:c r="AN7" s="20" t="str">
        <x:v>UPLOADED_PRIMARY_OR_REVIEW</x:v>
      </x:c>
    </x:row>
    <x:row r="8" ht="18" customHeight="1">
      <x:c r="A8" s="20" t="str">
        <x:v>R005</x:v>
      </x:c>
      <x:c r="B8" s="20" t="str">
        <x:v>S01</x:v>
      </x:c>
      <x:c r="C8" s="20" t="str">
        <x:v>B1 PEPTIDE_AUNP_MECHANISM</x:v>
      </x:c>
      <x:c r="D8" s="20" t="str">
        <x:v>DIRECT</x:v>
      </x:c>
      <x:c r="E8" s="20" t="str">
        <x:v>gold_nanoparticle</x:v>
      </x:c>
      <x:c r="F8" s="20" t="str">
        <x:v>AAARCR</x:v>
      </x:c>
      <x:c r="G8" s="20" t="str">
        <x:v>AAARCR</x:v>
      </x:c>
      <x:c r="H8" s="20" t="str">
        <x:v>L</x:v>
      </x:c>
      <x:c r="I8" s="20" t="str">
        <x:v>None</x:v>
      </x:c>
      <x:c r="J8" s="20"/>
      <x:c r="K8" s="20"/>
      <x:c r="L8" s="20" t="n">
        <x:v>79</x:v>
      </x:c>
      <x:c r="M8" s="20"/>
      <x:c r="N8" s="20" t="str">
        <x:v>Low-polydispersity particles</x:v>
      </x:c>
      <x:c r="O8" s="20" t="str">
        <x:v>HAuCl4</x:v>
      </x:c>
      <x:c r="P8" s="20" t="str">
        <x:v>Same base protocol as alkaline peptide experiments</x:v>
      </x:c>
      <x:c r="Q8" s="20" t="str">
        <x:v>Peptide self-reduction</x:v>
      </x:c>
      <x:c r="R8" s="20" t="n">
        <x:v>10</x:v>
      </x:c>
      <x:c r="S8" s="20" t="n">
        <x:v>25</x:v>
      </x:c>
      <x:c r="T8" s="20"/>
      <x:c r="U8" s="20" t="str">
        <x:v>No stirring; room temperature</x:v>
      </x:c>
      <x:c r="V8" s="20"/>
      <x:c r="W8" s="20"/>
      <x:c r="X8" s="20"/>
      <x:c r="Y8" s="20" t="n">
        <x:v>536</x:v>
      </x:c>
      <x:c r="Z8" s="20" t="n">
        <x:v>33.2</x:v>
      </x:c>
      <x:c r="AA8" s="20"/>
      <x:c r="AB8" s="20"/>
      <x:c r="AC8" s="20"/>
      <x:c r="AD8" s="20"/>
      <x:c r="AE8" s="20" t="str">
        <x:v>Mechanistic</x:v>
      </x:c>
      <x:c r="AF8" s="20" t="str">
        <x:v>Narrow SPR ~536 nm; mean diameter 79±6 nm; positive zeta potential</x:v>
      </x:c>
      <x:c r="AG8" s="20" t="str">
        <x:v>Main text p.7–8; Fig.11</x:v>
      </x:c>
      <x:c r="AH8" s="20" t="str">
        <x:v>https://doi.org/10.1021/acsomega.6b00140</x:v>
      </x:c>
      <x:c r="AI8" s="24" t="n">
        <x:f>ROUND(100*COUNTA(G8,J8,L8,R8,S8,T8,V8,X8,AA8,AC8)/10,0)</x:f>
        <x:v>40</x:v>
      </x:c>
      <x:c r="AJ8" s="20" t="str">
        <x:v>MECHANISTIC_ONLY</x:v>
      </x:c>
      <x:c r="AK8" s="20" t="str">
        <x:v>EXACT_FROM_UPLOADED_PRIMARY</x:v>
      </x:c>
      <x:c r="AL8" s="20" t="str">
        <x:v>Cross-regime peptide→gold mechanism; not an atomically precise AuNC training target.</x:v>
      </x:c>
      <x:c r="AM8" s="20" t="str">
        <x:v>2026-09-07</x:v>
      </x:c>
      <x:c r="AN8" s="20" t="str">
        <x:v>UPLOADED_PRIMARY_OR_REVIEW</x:v>
      </x:c>
    </x:row>
    <x:row r="9" ht="18" customHeight="1">
      <x:c r="A9" s="20" t="str">
        <x:v>R006</x:v>
      </x:c>
      <x:c r="B9" s="20" t="str">
        <x:v>S01</x:v>
      </x:c>
      <x:c r="C9" s="20" t="str">
        <x:v>B1 PEPTIDE_AUNP_MECHANISM</x:v>
      </x:c>
      <x:c r="D9" s="20" t="str">
        <x:v>DIRECT</x:v>
      </x:c>
      <x:c r="E9" s="20" t="str">
        <x:v>gold_nanoparticle</x:v>
      </x:c>
      <x:c r="F9" s="20" t="str">
        <x:v>AAAACA</x:v>
      </x:c>
      <x:c r="G9" s="20" t="str">
        <x:v>AAAACA</x:v>
      </x:c>
      <x:c r="H9" s="20" t="str">
        <x:v>L</x:v>
      </x:c>
      <x:c r="I9" s="20" t="str">
        <x:v>PEG10 required</x:v>
      </x:c>
      <x:c r="J9" s="20"/>
      <x:c r="K9" s="20"/>
      <x:c r="L9" s="20"/>
      <x:c r="M9" s="20"/>
      <x:c r="N9" s="20" t="str">
        <x:v>GNP formation</x:v>
      </x:c>
      <x:c r="O9" s="20" t="str">
        <x:v>HAuCl4</x:v>
      </x:c>
      <x:c r="P9" s="20" t="str">
        <x:v>PEG10 present</x:v>
      </x:c>
      <x:c r="Q9" s="20" t="str">
        <x:v>Peptide + PEG-assisted</x:v>
      </x:c>
      <x:c r="R9" s="20" t="n">
        <x:v>8</x:v>
      </x:c>
      <x:c r="S9" s="20" t="n">
        <x:v>25</x:v>
      </x:c>
      <x:c r="T9" s="20"/>
      <x:c r="U9" s="20" t="str">
        <x:v>Room temperature</x:v>
      </x:c>
      <x:c r="V9" s="20"/>
      <x:c r="W9" s="20"/>
      <x:c r="X9" s="20"/>
      <x:c r="Y9" s="20"/>
      <x:c r="Z9" s="20"/>
      <x:c r="AA9" s="20"/>
      <x:c r="AB9" s="20"/>
      <x:c r="AC9" s="20"/>
      <x:c r="AD9" s="20"/>
      <x:c r="AE9" s="20" t="str">
        <x:v>Mechanistic</x:v>
      </x:c>
      <x:c r="AF9" s="20" t="str">
        <x:v>Neutral peptide required PEG10; GNP synthesis at pH 8 and 11</x:v>
      </x:c>
      <x:c r="AG9" s="20" t="str">
        <x:v>Main text p.8 + SI</x:v>
      </x:c>
      <x:c r="AH9" s="20" t="str">
        <x:v>https://doi.org/10.1021/acsomega.6b00140</x:v>
      </x:c>
      <x:c r="AI9" s="24" t="n">
        <x:f>ROUND(100*COUNTA(G9,J9,L9,R9,S9,T9,V9,X9,AA9,AC9)/10,0)</x:f>
        <x:v>30</x:v>
      </x:c>
      <x:c r="AJ9" s="20" t="str">
        <x:v>MECHANISTIC_ONLY</x:v>
      </x:c>
      <x:c r="AK9" s="20" t="str">
        <x:v>EXACT_FROM_UPLOADED_PRIMARY</x:v>
      </x:c>
      <x:c r="AL9" s="20" t="str">
        <x:v>Cross-regime peptide→gold mechanism; not an atomically precise AuNC training target.</x:v>
      </x:c>
      <x:c r="AM9" s="20" t="str">
        <x:v>2026-09-07</x:v>
      </x:c>
      <x:c r="AN9" s="20" t="str">
        <x:v>UPLOADED_PRIMARY_OR_REVIEW</x:v>
      </x:c>
    </x:row>
    <x:row r="10" ht="18" customHeight="1">
      <x:c r="A10" s="20" t="str">
        <x:v>R007</x:v>
      </x:c>
      <x:c r="B10" s="20" t="str">
        <x:v>S01</x:v>
      </x:c>
      <x:c r="C10" s="20" t="str">
        <x:v>B1 PEPTIDE_AUNP_MECHANISM</x:v>
      </x:c>
      <x:c r="D10" s="20" t="str">
        <x:v>DIRECT</x:v>
      </x:c>
      <x:c r="E10" s="20" t="str">
        <x:v>gold_nanoparticle</x:v>
      </x:c>
      <x:c r="F10" s="20" t="str">
        <x:v>AAAECE</x:v>
      </x:c>
      <x:c r="G10" s="20" t="str">
        <x:v>AAAECE</x:v>
      </x:c>
      <x:c r="H10" s="20" t="str">
        <x:v>L</x:v>
      </x:c>
      <x:c r="I10" s="20" t="str">
        <x:v>PEG10 required</x:v>
      </x:c>
      <x:c r="J10" s="20"/>
      <x:c r="K10" s="20"/>
      <x:c r="L10" s="20"/>
      <x:c r="M10" s="20"/>
      <x:c r="N10" s="20" t="str">
        <x:v>GNP formation</x:v>
      </x:c>
      <x:c r="O10" s="20" t="str">
        <x:v>HAuCl4</x:v>
      </x:c>
      <x:c r="P10" s="20" t="str">
        <x:v>PEG10 present</x:v>
      </x:c>
      <x:c r="Q10" s="20" t="str">
        <x:v>Peptide + PEG-assisted</x:v>
      </x:c>
      <x:c r="R10" s="20" t="n">
        <x:v>7</x:v>
      </x:c>
      <x:c r="S10" s="20" t="n">
        <x:v>80</x:v>
      </x:c>
      <x:c r="T10" s="20"/>
      <x:c r="U10" s="20" t="str">
        <x:v>Heating required</x:v>
      </x:c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 t="str">
        <x:v>Mechanistic</x:v>
      </x:c>
      <x:c r="AF10" s="20" t="str">
        <x:v>Acidic peptide required PEG10 and 80°C; synthesis observed at pH 7 and 11</x:v>
      </x:c>
      <x:c r="AG10" s="20" t="str">
        <x:v>Main text p.8 + SI</x:v>
      </x:c>
      <x:c r="AH10" s="20" t="str">
        <x:v>https://doi.org/10.1021/acsomega.6b00140</x:v>
      </x:c>
      <x:c r="AI10" s="24" t="n">
        <x:f>ROUND(100*COUNTA(G10,J10,L10,R10,S10,T10,V10,X10,AA10,AC10)/10,0)</x:f>
        <x:v>30</x:v>
      </x:c>
      <x:c r="AJ10" s="20" t="str">
        <x:v>MECHANISTIC_ONLY</x:v>
      </x:c>
      <x:c r="AK10" s="20" t="str">
        <x:v>EXACT_FROM_UPLOADED_PRIMARY</x:v>
      </x:c>
      <x:c r="AL10" s="20" t="str">
        <x:v>Cross-regime peptide→gold mechanism; not an atomically precise AuNC training target.</x:v>
      </x:c>
      <x:c r="AM10" s="20" t="str">
        <x:v>2026-09-07</x:v>
      </x:c>
      <x:c r="AN10" s="20" t="str">
        <x:v>UPLOADED_PRIMARY_OR_REVIEW</x:v>
      </x:c>
    </x:row>
    <x:row r="11" ht="18" customHeight="1">
      <x:c r="A11" s="20" t="str">
        <x:v>R008</x:v>
      </x:c>
      <x:c r="B11" s="20" t="str">
        <x:v>S01</x:v>
      </x:c>
      <x:c r="C11" s="20" t="str">
        <x:v>B1 PEPTIDE_AUNP_MECHANISM</x:v>
      </x:c>
      <x:c r="D11" s="20" t="str">
        <x:v>DIRECT</x:v>
      </x:c>
      <x:c r="E11" s="20" t="str">
        <x:v>gold_nanoparticle</x:v>
      </x:c>
      <x:c r="F11" s="20" t="str">
        <x:v>Glutathione (GSH)</x:v>
      </x:c>
      <x:c r="G11" s="20" t="str">
        <x:v>γ-ECG</x:v>
      </x:c>
      <x:c r="H11" s="20" t="str">
        <x:v>L</x:v>
      </x:c>
      <x:c r="I11" s="20" t="str">
        <x:v>PEG10 required</x:v>
      </x:c>
      <x:c r="J11" s="20"/>
      <x:c r="K11" s="20"/>
      <x:c r="L11" s="20"/>
      <x:c r="M11" s="20"/>
      <x:c r="N11" s="20" t="str">
        <x:v>GNP formation</x:v>
      </x:c>
      <x:c r="O11" s="20" t="str">
        <x:v>HAuCl4</x:v>
      </x:c>
      <x:c r="P11" s="20" t="str">
        <x:v>PEG10 present</x:v>
      </x:c>
      <x:c r="Q11" s="20" t="str">
        <x:v>Peptide + PEG-assisted</x:v>
      </x:c>
      <x:c r="R11" s="20" t="n">
        <x:v>11</x:v>
      </x:c>
      <x:c r="S11" s="20" t="n">
        <x:v>80</x:v>
      </x:c>
      <x:c r="T11" s="20"/>
      <x:c r="U11" s="20" t="str">
        <x:v>Heating required</x:v>
      </x:c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 t="str">
        <x:v>Mechanistic</x:v>
      </x:c>
      <x:c r="AF11" s="20" t="str">
        <x:v>GSH required PEG10 + 80°C and produced GNPs only at pH 11 in this study</x:v>
      </x:c>
      <x:c r="AG11" s="20" t="str">
        <x:v>Main text p.8 + SI</x:v>
      </x:c>
      <x:c r="AH11" s="20" t="str">
        <x:v>https://doi.org/10.1021/acsomega.6b00140</x:v>
      </x:c>
      <x:c r="AI11" s="24" t="n">
        <x:f>ROUND(100*COUNTA(G11,J11,L11,R11,S11,T11,V11,X11,AA11,AC11)/10,0)</x:f>
        <x:v>30</x:v>
      </x:c>
      <x:c r="AJ11" s="20" t="str">
        <x:v>MECHANISTIC_ONLY</x:v>
      </x:c>
      <x:c r="AK11" s="20" t="str">
        <x:v>EXACT_FROM_UPLOADED_PRIMARY</x:v>
      </x:c>
      <x:c r="AL11" s="20" t="str">
        <x:v>Cross-regime peptide→gold mechanism; not an atomically precise AuNC training target.</x:v>
      </x:c>
      <x:c r="AM11" s="20" t="str">
        <x:v>2026-09-07</x:v>
      </x:c>
      <x:c r="AN11" s="20" t="str">
        <x:v>UPLOADED_PRIMARY_OR_REVIEW</x:v>
      </x:c>
    </x:row>
    <x:row r="12" ht="18" customHeight="1">
      <x:c r="A12" s="20" t="str">
        <x:v>R009</x:v>
      </x:c>
      <x:c r="B12" s="20" t="str">
        <x:v>S02</x:v>
      </x:c>
      <x:c r="C12" s="20" t="str">
        <x:v>B1 PEPTIDE_AUNP_MECHANISM</x:v>
      </x:c>
      <x:c r="D12" s="20" t="str">
        <x:v>DIRECT</x:v>
      </x:c>
      <x:c r="E12" s="20" t="str">
        <x:v>gold_bipyramid</x:v>
      </x:c>
      <x:c r="F12" s="20" t="str">
        <x:v>D-Cys-Phe</x:v>
      </x:c>
      <x:c r="G12" s="20" t="str">
        <x:v>CF</x:v>
      </x:c>
      <x:c r="H12" s="20" t="str">
        <x:v>D</x:v>
      </x:c>
      <x:c r="I12" s="20" t="str">
        <x:v>Chiral D peptide; SH-PEG surface stabilization</x:v>
      </x:c>
      <x:c r="J12" s="20"/>
      <x:c r="K12" s="20"/>
      <x:c r="L12" s="20"/>
      <x:c r="M12" s="20"/>
      <x:c r="N12" s="20" t="str">
        <x:v>Sea-cucumber-like spiked GBP; ~200×50 nm</x:v>
      </x:c>
      <x:c r="O12" s="20" t="str">
        <x:v>HAuCl4</x:v>
      </x:c>
      <x:c r="P12" s="20" t="str">
        <x:v>Seed-mediated growth with Cys-Phe</x:v>
      </x:c>
      <x:c r="Q12" s="20" t="str">
        <x:v>Ascorbic acid</x:v>
      </x:c>
      <x:c r="R12" s="20"/>
      <x:c r="S12" s="20"/>
      <x:c r="T12" s="20"/>
      <x:c r="U12" s="20" t="str">
        <x:v>~100 nm Au NBP seeds; aqueous growth</x:v>
      </x:c>
      <x:c r="V12" s="20"/>
      <x:c r="W12" s="20"/>
      <x:c r="X12" s="20"/>
      <x:c r="Y12" s="20" t="n">
        <x:v>536</x:v>
      </x:c>
      <x:c r="Z12" s="20"/>
      <x:c r="AA12" s="20" t="n">
        <x:v>808</x:v>
      </x:c>
      <x:c r="AB12" s="20" t="n">
        <x:v>0.8</x:v>
      </x:c>
      <x:c r="AC12" s="20" t="str">
        <x:v>&gt;45</x:v>
      </x:c>
      <x:c r="AD12" s="20" t="n">
        <x:v>5</x:v>
      </x:c>
      <x:c r="AE12" s="20" t="str">
        <x:v>Antibacterial PTT</x:v>
      </x:c>
      <x:c r="AF12" s="20" t="str">
        <x:v>D-form gave stronger bacterial binding and higher PTT response than L-form</x:v>
      </x:c>
      <x:c r="AG12" s="20" t="str">
        <x:v>Main text pp.2–4</x:v>
      </x:c>
      <x:c r="AH12" s="20" t="str">
        <x:v>https://doi.org/10.1039/d2sc03443c</x:v>
      </x:c>
      <x:c r="AI12" s="24" t="n">
        <x:f>ROUND(100*COUNTA(G12,J12,L12,R12,S12,T12,V12,X12,AA12,AC12)/10,0)</x:f>
        <x:v>30</x:v>
      </x:c>
      <x:c r="AJ12" s="20" t="str">
        <x:v>MECHANISTIC_ONLY</x:v>
      </x:c>
      <x:c r="AK12" s="20" t="str">
        <x:v>EXACT_FROM_UPLOADED_PRIMARY</x:v>
      </x:c>
      <x:c r="AL12" s="20" t="str">
        <x:v>Cross-regime peptide→gold mechanism; not an atomically precise AuNC training target.</x:v>
      </x:c>
      <x:c r="AM12" s="20" t="str">
        <x:v>2026-09-07</x:v>
      </x:c>
      <x:c r="AN12" s="20" t="str">
        <x:v>UPLOADED_PRIMARY_OR_REVIEW</x:v>
      </x:c>
    </x:row>
    <x:row r="13" ht="18" customHeight="1">
      <x:c r="A13" s="20" t="str">
        <x:v>R010</x:v>
      </x:c>
      <x:c r="B13" s="20" t="str">
        <x:v>S02</x:v>
      </x:c>
      <x:c r="C13" s="20" t="str">
        <x:v>B1 PEPTIDE_AUNP_MECHANISM</x:v>
      </x:c>
      <x:c r="D13" s="20" t="str">
        <x:v>DIRECT</x:v>
      </x:c>
      <x:c r="E13" s="20" t="str">
        <x:v>gold_bipyramid</x:v>
      </x:c>
      <x:c r="F13" s="20" t="str">
        <x:v>L-Cys-Phe</x:v>
      </x:c>
      <x:c r="G13" s="20" t="str">
        <x:v>CF</x:v>
      </x:c>
      <x:c r="H13" s="20" t="str">
        <x:v>L</x:v>
      </x:c>
      <x:c r="I13" s="20" t="str">
        <x:v>Chiral L peptide; SH-PEG surface stabilization</x:v>
      </x:c>
      <x:c r="J13" s="20"/>
      <x:c r="K13" s="20"/>
      <x:c r="L13" s="20"/>
      <x:c r="M13" s="20"/>
      <x:c r="N13" s="20" t="str">
        <x:v>Sea-cucumber-like spiked GBP; ~200×50 nm</x:v>
      </x:c>
      <x:c r="O13" s="20" t="str">
        <x:v>HAuCl4</x:v>
      </x:c>
      <x:c r="P13" s="20" t="str">
        <x:v>Seed-mediated growth with Cys-Phe</x:v>
      </x:c>
      <x:c r="Q13" s="20" t="str">
        <x:v>Ascorbic acid</x:v>
      </x:c>
      <x:c r="R13" s="20"/>
      <x:c r="S13" s="20"/>
      <x:c r="T13" s="20"/>
      <x:c r="U13" s="20" t="str">
        <x:v>~100 nm Au NBP seeds; aqueous growth</x:v>
      </x:c>
      <x:c r="V13" s="20"/>
      <x:c r="W13" s="20"/>
      <x:c r="X13" s="20"/>
      <x:c r="Y13" s="20" t="n">
        <x:v>536</x:v>
      </x:c>
      <x:c r="Z13" s="20"/>
      <x:c r="AA13" s="20" t="n">
        <x:v>808</x:v>
      </x:c>
      <x:c r="AB13" s="20" t="n">
        <x:v>0.8</x:v>
      </x:c>
      <x:c r="AC13" s="20" t="str">
        <x:v>&gt;45</x:v>
      </x:c>
      <x:c r="AD13" s="20" t="n">
        <x:v>5</x:v>
      </x:c>
      <x:c r="AE13" s="20" t="str">
        <x:v>Antibacterial PTT</x:v>
      </x:c>
      <x:c r="AF13" s="20" t="str">
        <x:v>L-form forms mirror-chiral GBP and has lower bacterial affinity than D-form</x:v>
      </x:c>
      <x:c r="AG13" s="20" t="str">
        <x:v>Main text pp.2–4</x:v>
      </x:c>
      <x:c r="AH13" s="20" t="str">
        <x:v>https://doi.org/10.1039/d2sc03443c</x:v>
      </x:c>
      <x:c r="AI13" s="24" t="n">
        <x:f>ROUND(100*COUNTA(G13,J13,L13,R13,S13,T13,V13,X13,AA13,AC13)/10,0)</x:f>
        <x:v>30</x:v>
      </x:c>
      <x:c r="AJ13" s="20" t="str">
        <x:v>MECHANISTIC_ONLY</x:v>
      </x:c>
      <x:c r="AK13" s="20" t="str">
        <x:v>EXACT_FROM_UPLOADED_PRIMARY</x:v>
      </x:c>
      <x:c r="AL13" s="20" t="str">
        <x:v>Cross-regime peptide→gold mechanism; not an atomically precise AuNC training target.</x:v>
      </x:c>
      <x:c r="AM13" s="20" t="str">
        <x:v>2026-09-07</x:v>
      </x:c>
      <x:c r="AN13" s="20" t="str">
        <x:v>UPLOADED_PRIMARY_OR_REVIEW</x:v>
      </x:c>
    </x:row>
    <x:row r="14" ht="18" customHeight="1">
      <x:c r="A14" s="20" t="str">
        <x:v>R011</x:v>
      </x:c>
      <x:c r="B14" s="20" t="str">
        <x:v>S03</x:v>
      </x:c>
      <x:c r="C14" s="20" t="str">
        <x:v>B1 PEPTIDE_AUNP_MECHANISM</x:v>
      </x:c>
      <x:c r="D14" s="20" t="str">
        <x:v>DIRECT</x:v>
      </x:c>
      <x:c r="E14" s="20" t="str">
        <x:v>gold_superstructure</x:v>
      </x:c>
      <x:c r="F14" s="20" t="str">
        <x:v>C18-(PEPAuM-ox)2</x:v>
      </x:c>
      <x:c r="G14" s="20" t="str">
        <x:v>AYSSGAPPMoxPPF</x:v>
      </x:c>
      <x:c r="H14" s="20" t="str">
        <x:v>L</x:v>
      </x:c>
      <x:c r="I14" s="20" t="str">
        <x:v>C18 tail; methionine oxidized to sulfoxide</x:v>
      </x:c>
      <x:c r="J14" s="20"/>
      <x:c r="K14" s="20"/>
      <x:c r="L14" s="20"/>
      <x:c r="M14" s="20"/>
      <x:c r="N14" s="20" t="str">
        <x:v>Single-helical superstructure; rod-like AuNP 16.6×9.6 nm</x:v>
      </x:c>
      <x:c r="O14" s="20" t="str">
        <x:v>Gold salt</x:v>
      </x:c>
      <x:c r="P14" s="20" t="str">
        <x:v>Peptide conjugate + assembly buffer</x:v>
      </x:c>
      <x:c r="Q14" s="20" t="str">
        <x:v>Reducing agent used</x:v>
      </x:c>
      <x:c r="R14" s="20"/>
      <x:c r="S14" s="20"/>
      <x:c r="T14" s="20" t="n">
        <x:v>15</x:v>
      </x:c>
      <x:c r="U14" s="20" t="str">
        <x:v>In-situ growth on peptide fibers</x:v>
      </x:c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 t="str">
        <x:v>Chiral assembly</x:v>
      </x:c>
      <x:c r="AF14" s="20" t="str">
        <x:v>Methionine oxidation alone switches product toward single helices under otherwise nearly identical synthesis conditions</x:v>
      </x:c>
      <x:c r="AG14" s="20" t="str">
        <x:v>Main text p.2; Fig.1–2</x:v>
      </x:c>
      <x:c r="AH14" s="20" t="str">
        <x:v>https://doi.org/10.1021/jacs.6b07322</x:v>
      </x:c>
      <x:c r="AI14" s="24" t="n">
        <x:f>ROUND(100*COUNTA(G14,J14,L14,R14,S14,T14,V14,X14,AA14,AC14)/10,0)</x:f>
        <x:v>20</x:v>
      </x:c>
      <x:c r="AJ14" s="20" t="str">
        <x:v>MECHANISTIC_ONLY</x:v>
      </x:c>
      <x:c r="AK14" s="20" t="str">
        <x:v>EXACT_FROM_UPLOADED_PRIMARY</x:v>
      </x:c>
      <x:c r="AL14" s="20" t="str">
        <x:v>Cross-regime peptide→gold mechanism; not an atomically precise AuNC training target.</x:v>
      </x:c>
      <x:c r="AM14" s="20" t="str">
        <x:v>2026-09-07</x:v>
      </x:c>
      <x:c r="AN14" s="20" t="str">
        <x:v>UPLOADED_PRIMARY_OR_REVIEW</x:v>
      </x:c>
    </x:row>
    <x:row r="15" ht="18" customHeight="1">
      <x:c r="A15" s="20" t="str">
        <x:v>R012</x:v>
      </x:c>
      <x:c r="B15" s="20" t="str">
        <x:v>S03</x:v>
      </x:c>
      <x:c r="C15" s="20" t="str">
        <x:v>B1 PEPTIDE_AUNP_MECHANISM</x:v>
      </x:c>
      <x:c r="D15" s="20" t="str">
        <x:v>DIRECT</x:v>
      </x:c>
      <x:c r="E15" s="20" t="str">
        <x:v>gold_superstructure</x:v>
      </x:c>
      <x:c r="F15" s="20" t="str">
        <x:v>C18-(PEPAu)2</x:v>
      </x:c>
      <x:c r="G15" s="20" t="str">
        <x:v>AYSSGAPPMPPF</x:v>
      </x:c>
      <x:c r="H15" s="20" t="str">
        <x:v>L</x:v>
      </x:c>
      <x:c r="I15" s="20" t="str">
        <x:v>C18 tail; unoxidized methionine</x:v>
      </x:c>
      <x:c r="J15" s="20"/>
      <x:c r="K15" s="20"/>
      <x:c r="L15" s="20"/>
      <x:c r="M15" s="20"/>
      <x:c r="N15" s="20" t="str">
        <x:v>Double-helical superstructure</x:v>
      </x:c>
      <x:c r="O15" s="20" t="str">
        <x:v>Gold salt</x:v>
      </x:c>
      <x:c r="P15" s="20" t="str">
        <x:v>Peptide conjugate + assembly buffer</x:v>
      </x:c>
      <x:c r="Q15" s="20" t="str">
        <x:v>Reducing agent used</x:v>
      </x:c>
      <x:c r="R15" s="20"/>
      <x:c r="S15" s="20"/>
      <x:c r="T15" s="20"/>
      <x:c r="U15" s="20" t="str">
        <x:v>In-situ growth on peptide fibers</x:v>
      </x:c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 t="str">
        <x:v>Chiral assembly</x:v>
      </x:c>
      <x:c r="AF15" s="20" t="str">
        <x:v>Unoxidized conjugate directs double-helical assembly; serves as paired comparator to oxidized peptide</x:v>
      </x:c>
      <x:c r="AG15" s="20" t="str">
        <x:v>Main text pp.1–2</x:v>
      </x:c>
      <x:c r="AH15" s="20" t="str">
        <x:v>https://doi.org/10.1021/jacs.6b07322</x:v>
      </x:c>
      <x:c r="AI15" s="24" t="n">
        <x:f>ROUND(100*COUNTA(G15,J15,L15,R15,S15,T15,V15,X15,AA15,AC15)/10,0)</x:f>
        <x:v>10</x:v>
      </x:c>
      <x:c r="AJ15" s="20" t="str">
        <x:v>MECHANISTIC_ONLY</x:v>
      </x:c>
      <x:c r="AK15" s="20" t="str">
        <x:v>EXACT_FROM_UPLOADED_PRIMARY</x:v>
      </x:c>
      <x:c r="AL15" s="20" t="str">
        <x:v>Cross-regime peptide→gold mechanism; not an atomically precise AuNC training target.</x:v>
      </x:c>
      <x:c r="AM15" s="20" t="str">
        <x:v>2026-09-07</x:v>
      </x:c>
      <x:c r="AN15" s="20" t="str">
        <x:v>UPLOADED_PRIMARY_OR_REVIEW</x:v>
      </x:c>
    </x:row>
    <x:row r="16" ht="18" customHeight="1">
      <x:c r="A16" s="20" t="str">
        <x:v>R013</x:v>
      </x:c>
      <x:c r="B16" s="20" t="str">
        <x:v>S04</x:v>
      </x:c>
      <x:c r="C16" s="20" t="str">
        <x:v>B1 PEPTIDE_AUNP_MECHANISM</x:v>
      </x:c>
      <x:c r="D16" s="20" t="str">
        <x:v>DIRECT</x:v>
      </x:c>
      <x:c r="E16" s="20" t="str">
        <x:v>gold_superstructure</x:v>
      </x:c>
      <x:c r="F16" s="20" t="str">
        <x:v>C12-L-PEPAu</x:v>
      </x:c>
      <x:c r="G16" s="20" t="str">
        <x:v>AYSSGAPPMPPF</x:v>
      </x:c>
      <x:c r="H16" s="20" t="str">
        <x:v>L</x:v>
      </x:c>
      <x:c r="I16" s="20" t="str">
        <x:v>C12 acyl tail</x:v>
      </x:c>
      <x:c r="J16" s="20"/>
      <x:c r="K16" s="20"/>
      <x:c r="L16" s="20" t="n">
        <x:v>5.74</x:v>
      </x:c>
      <x:c r="M16" s="20"/>
      <x:c r="N16" s="20" t="str">
        <x:v>Left-handed double helix</x:v>
      </x:c>
      <x:c r="O16" s="20" t="str">
        <x:v>Gold precursor</x:v>
      </x:c>
      <x:c r="P16" s="20" t="str">
        <x:v>Mixed with HEPES buffer</x:v>
      </x:c>
      <x:c r="Q16" s="20"/>
      <x:c r="R16" s="20"/>
      <x:c r="S16" s="20"/>
      <x:c r="T16" s="20"/>
      <x:c r="U16" s="20" t="str">
        <x:v>Peptide self-assembly + Au growth</x:v>
      </x:c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 t="str">
        <x:v>Chiral plasmonics</x:v>
      </x:c>
      <x:c r="AF16" s="20" t="str">
        <x:v>L-peptide gives left-handed helices; initial particles 5.74±0.75 nm</x:v>
      </x:c>
      <x:c r="AG16" s="20" t="str">
        <x:v>Main text pp.1–2</x:v>
      </x:c>
      <x:c r="AH16" s="20" t="str">
        <x:v>https://doi.org/10.1021/nl4013776</x:v>
      </x:c>
      <x:c r="AI16" s="24" t="n">
        <x:f>ROUND(100*COUNTA(G16,J16,L16,R16,S16,T16,V16,X16,AA16,AC16)/10,0)</x:f>
        <x:v>20</x:v>
      </x:c>
      <x:c r="AJ16" s="20" t="str">
        <x:v>MECHANISTIC_ONLY</x:v>
      </x:c>
      <x:c r="AK16" s="20" t="str">
        <x:v>EXACT_FROM_UPLOADED_PRIMARY</x:v>
      </x:c>
      <x:c r="AL16" s="20" t="str">
        <x:v>Cross-regime peptide→gold mechanism; not an atomically precise AuNC training target.</x:v>
      </x:c>
      <x:c r="AM16" s="20" t="str">
        <x:v>2026-09-07</x:v>
      </x:c>
      <x:c r="AN16" s="20" t="str">
        <x:v>UPLOADED_PRIMARY_OR_REVIEW</x:v>
      </x:c>
    </x:row>
    <x:row r="17" ht="18" customHeight="1">
      <x:c r="A17" s="20" t="str">
        <x:v>R014</x:v>
      </x:c>
      <x:c r="B17" s="20" t="str">
        <x:v>S04</x:v>
      </x:c>
      <x:c r="C17" s="20" t="str">
        <x:v>B1 PEPTIDE_AUNP_MECHANISM</x:v>
      </x:c>
      <x:c r="D17" s="20" t="str">
        <x:v>DIRECT</x:v>
      </x:c>
      <x:c r="E17" s="20" t="str">
        <x:v>gold_superstructure</x:v>
      </x:c>
      <x:c r="F17" s="20" t="str">
        <x:v>C12-D-PEPAu</x:v>
      </x:c>
      <x:c r="G17" s="20" t="str">
        <x:v>AYSSGAPPMPPF</x:v>
      </x:c>
      <x:c r="H17" s="20" t="str">
        <x:v>D</x:v>
      </x:c>
      <x:c r="I17" s="20" t="str">
        <x:v>C12 acyl tail</x:v>
      </x:c>
      <x:c r="J17" s="20"/>
      <x:c r="K17" s="20"/>
      <x:c r="L17" s="20" t="n">
        <x:v>5.25</x:v>
      </x:c>
      <x:c r="M17" s="20"/>
      <x:c r="N17" s="20" t="str">
        <x:v>Right-handed double helix</x:v>
      </x:c>
      <x:c r="O17" s="20" t="str">
        <x:v>Gold precursor</x:v>
      </x:c>
      <x:c r="P17" s="20" t="str">
        <x:v>Mixed with HEPES buffer</x:v>
      </x:c>
      <x:c r="Q17" s="20"/>
      <x:c r="R17" s="20"/>
      <x:c r="S17" s="20"/>
      <x:c r="T17" s="20"/>
      <x:c r="U17" s="20" t="str">
        <x:v>Peptide self-assembly + Au growth</x:v>
      </x:c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 t="str">
        <x:v>Chiral plasmonics</x:v>
      </x:c>
      <x:c r="AF17" s="20" t="str">
        <x:v>D-peptide gives right-handed helices; initial particles 5.25±0.79 nm</x:v>
      </x:c>
      <x:c r="AG17" s="20" t="str">
        <x:v>Main text pp.1–2</x:v>
      </x:c>
      <x:c r="AH17" s="20" t="str">
        <x:v>https://doi.org/10.1021/nl4013776</x:v>
      </x:c>
      <x:c r="AI17" s="24" t="n">
        <x:f>ROUND(100*COUNTA(G17,J17,L17,R17,S17,T17,V17,X17,AA17,AC17)/10,0)</x:f>
        <x:v>20</x:v>
      </x:c>
      <x:c r="AJ17" s="20" t="str">
        <x:v>MECHANISTIC_ONLY</x:v>
      </x:c>
      <x:c r="AK17" s="20" t="str">
        <x:v>EXACT_FROM_UPLOADED_PRIMARY</x:v>
      </x:c>
      <x:c r="AL17" s="20" t="str">
        <x:v>Cross-regime peptide→gold mechanism; not an atomically precise AuNC training target.</x:v>
      </x:c>
      <x:c r="AM17" s="20" t="str">
        <x:v>2026-09-07</x:v>
      </x:c>
      <x:c r="AN17" s="20" t="str">
        <x:v>UPLOADED_PRIMARY_OR_REVIEW</x:v>
      </x:c>
    </x:row>
    <x:row r="18" ht="18" customHeight="1">
      <x:c r="A18" s="20" t="str">
        <x:v>R015</x:v>
      </x:c>
      <x:c r="B18" s="20" t="str">
        <x:v>S14</x:v>
      </x:c>
      <x:c r="C18" s="20" t="str">
        <x:v>A1 DIRECT_PEPTIDE_ATOMIC_AUNC</x:v>
      </x:c>
      <x:c r="D18" s="20" t="str">
        <x:v>DIRECT</x:v>
      </x:c>
      <x:c r="E18" s="20" t="str">
        <x:v>atomically_precise_AuNC</x:v>
      </x:c>
      <x:c r="F18" s="20" t="str">
        <x:v>Glutathione (SG)</x:v>
      </x:c>
      <x:c r="G18" s="20" t="str">
        <x:v>γ-ECG</x:v>
      </x:c>
      <x:c r="H18" s="20" t="str">
        <x:v>L</x:v>
      </x:c>
      <x:c r="I18" s="20" t="str">
        <x:v>Thiolate ligand</x:v>
      </x:c>
      <x:c r="J18" s="20" t="n">
        <x:v>22</x:v>
      </x:c>
      <x:c r="K18" s="20" t="n">
        <x:v>18</x:v>
      </x:c>
      <x:c r="L18" s="20" t="n">
        <x:v>1.5</x:v>
      </x:c>
      <x:c r="M18" s="20" t="n">
        <x:v>2.01</x:v>
      </x:c>
      <x:c r="N18" s="20" t="str">
        <x:v>Atomically precise Au22(SG)18</x:v>
      </x:c>
      <x:c r="O18" s="20" t="str">
        <x:v>HAuCl4</x:v>
      </x:c>
      <x:c r="P18" s="20" t="str">
        <x:v>20 mM HAuCl4 12.5 mL + 50 mM GSH 7.5 mL in 180 mL water</x:v>
      </x:c>
      <x:c r="Q18" s="20" t="str">
        <x:v>NaBH4</x:v>
      </x:c>
      <x:c r="R18" s="20" t="n">
        <x:v>12</x:v>
      </x:c>
      <x:c r="S18" s="20" t="n">
        <x:v>25</x:v>
      </x:c>
      <x:c r="T18" s="20" t="n">
        <x:v>0.5</x:v>
      </x:c>
      <x:c r="U18" s="20" t="str">
        <x:v>500 rpm after NaBH4; then acidification</x:v>
      </x:c>
      <x:c r="V18" s="20" t="n">
        <x:v>925</x:v>
      </x:c>
      <x:c r="W18" s="20" t="str">
        <x:v>925–1300 tail</x:v>
      </x:c>
      <x:c r="X18" s="20" t="n">
        <x:v>0.16</x:v>
      </x:c>
      <x:c r="Y18" s="20" t="n">
        <x:v>515</x:v>
      </x:c>
      <x:c r="Z18" s="20"/>
      <x:c r="AA18" s="20" t="n">
        <x:v>808</x:v>
      </x:c>
      <x:c r="AB18" s="20"/>
      <x:c r="AC18" s="20"/>
      <x:c r="AD18" s="20"/>
      <x:c r="AE18" s="20" t="str">
        <x:v>NIR-II imaging / bioactivity</x:v>
      </x:c>
      <x:c r="AF18" s="20" t="str">
        <x:v>Atomic-precision Au22; pH later shifted to 2.5 and sealed/stirred 8 h for size focusing/purification</x:v>
      </x:c>
      <x:c r="AG18" s="20" t="str">
        <x:v>Results p.2 + Methods p.13</x:v>
      </x:c>
      <x:c r="AH18" s="20" t="str">
        <x:v>https://doi.org/10.1126/sciadv.adh7828</x:v>
      </x:c>
      <x:c r="AI18" s="24" t="n">
        <x:f>ROUND(100*COUNTA(G18,J18,L18,R18,S18,T18,V18,X18,AA18,AC18)/10,0)</x:f>
        <x:v>90</x:v>
      </x:c>
      <x:c r="AJ18" s="20" t="str">
        <x:v>TRAIN_CORE</x:v>
      </x:c>
      <x:c r="AK18" s="20" t="str">
        <x:v>EXACT_FROM_UPLOADED_PRIMARY</x:v>
      </x:c>
      <x:c r="AL18" s="20" t="str">
        <x:v>Atomic record; keep same-paper records grouped in validation.</x:v>
      </x:c>
      <x:c r="AM18" s="20" t="str">
        <x:v>2026-09-07</x:v>
      </x:c>
      <x:c r="AN18" s="20" t="str">
        <x:v>UPLOADED_PRIMARY_OR_REVIEW</x:v>
      </x:c>
    </x:row>
    <x:row r="19" ht="18" customHeight="1">
      <x:c r="A19" s="20" t="str">
        <x:v>R016</x:v>
      </x:c>
      <x:c r="B19" s="20" t="str">
        <x:v>S14</x:v>
      </x:c>
      <x:c r="C19" s="20" t="str">
        <x:v>A1 DIRECT_PEPTIDE_ATOMIC_AUNC</x:v>
      </x:c>
      <x:c r="D19" s="20" t="str">
        <x:v>DIRECT</x:v>
      </x:c>
      <x:c r="E19" s="20" t="str">
        <x:v>atomically_precise_AuNC</x:v>
      </x:c>
      <x:c r="F19" s="20" t="str">
        <x:v>Glutathione (SG)</x:v>
      </x:c>
      <x:c r="G19" s="20" t="str">
        <x:v>γ-ECG</x:v>
      </x:c>
      <x:c r="H19" s="20" t="str">
        <x:v>L</x:v>
      </x:c>
      <x:c r="I19" s="20" t="str">
        <x:v>Single Cu atom doping</x:v>
      </x:c>
      <x:c r="J19" s="20" t="n">
        <x:v>21</x:v>
      </x:c>
      <x:c r="K19" s="20" t="n">
        <x:v>18</x:v>
      </x:c>
      <x:c r="L19" s="20" t="n">
        <x:v>1.5</x:v>
      </x:c>
      <x:c r="M19" s="20"/>
      <x:c r="N19" s="20" t="str">
        <x:v>Au21Cu1(SG)18</x:v>
      </x:c>
      <x:c r="O19" s="20" t="str">
        <x:v>HAuCl4 + Cu2+</x:v>
      </x:c>
      <x:c r="P19" s="20" t="str">
        <x:v>Same Au22 method; Cu2+ added</x:v>
      </x:c>
      <x:c r="Q19" s="20" t="str">
        <x:v>NaBH4</x:v>
      </x:c>
      <x:c r="R19" s="20" t="n">
        <x:v>12</x:v>
      </x:c>
      <x:c r="S19" s="20" t="n">
        <x:v>25</x:v>
      </x:c>
      <x:c r="T19" s="20" t="n">
        <x:v>8.5</x:v>
      </x:c>
      <x:c r="U19" s="20" t="str">
        <x:v>500 rpm 30 min; pH 2.5; sealed 200 rpm 8 h</x:v>
      </x:c>
      <x:c r="V19" s="20"/>
      <x:c r="W19" s="20"/>
      <x:c r="X19" s="20"/>
      <x:c r="Y19" s="20"/>
      <x:c r="Z19" s="20"/>
      <x:c r="AA19" s="20" t="n">
        <x:v>808</x:v>
      </x:c>
      <x:c r="AB19" s="20"/>
      <x:c r="AC19" s="20"/>
      <x:c r="AD19" s="20"/>
      <x:c r="AE19" s="20" t="str">
        <x:v>NIR-II imaging / nanozyme</x:v>
      </x:c>
      <x:c r="AF19" s="20" t="str">
        <x:v>Cu single-atom substitution lowers bandgap 1.33→1.28 eV and strongly increases enzyme-mimetic activity</x:v>
      </x:c>
      <x:c r="AG19" s="20" t="str">
        <x:v>Results pp.1–2 + Methods p.13</x:v>
      </x:c>
      <x:c r="AH19" s="20" t="str">
        <x:v>https://doi.org/10.1126/sciadv.adh7828</x:v>
      </x:c>
      <x:c r="AI19" s="24" t="n">
        <x:f>ROUND(100*COUNTA(G19,J19,L19,R19,S19,T19,V19,X19,AA19,AC19)/10,0)</x:f>
        <x:v>70</x:v>
      </x:c>
      <x:c r="AJ19" s="20" t="str">
        <x:v>TRAIN_CORE</x:v>
      </x:c>
      <x:c r="AK19" s="20" t="str">
        <x:v>EXACT_FROM_UPLOADED_PRIMARY</x:v>
      </x:c>
      <x:c r="AL19" s="20" t="str">
        <x:v>Atomic record; keep same-paper records grouped in validation.</x:v>
      </x:c>
      <x:c r="AM19" s="20" t="str">
        <x:v>2026-09-07</x:v>
      </x:c>
      <x:c r="AN19" s="20" t="str">
        <x:v>UPLOADED_PRIMARY_OR_REVIEW</x:v>
      </x:c>
    </x:row>
    <x:row r="20" ht="18" customHeight="1">
      <x:c r="A20" s="20" t="str">
        <x:v>R017</x:v>
      </x:c>
      <x:c r="B20" s="20" t="str">
        <x:v>S10</x:v>
      </x:c>
      <x:c r="C20" s="20" t="str">
        <x:v>A1 DIRECT_PEPTIDE_ATOMIC_AUNC</x:v>
      </x:c>
      <x:c r="D20" s="20" t="str">
        <x:v>DIRECT</x:v>
      </x:c>
      <x:c r="E20" s="20" t="str">
        <x:v>atomically_precise_AuNC</x:v>
      </x:c>
      <x:c r="F20" s="20" t="str">
        <x:v>Glutathione (SG)</x:v>
      </x:c>
      <x:c r="G20" s="20" t="str">
        <x:v>γ-ECG</x:v>
      </x:c>
      <x:c r="H20" s="20" t="str">
        <x:v>L</x:v>
      </x:c>
      <x:c r="I20" s="20" t="str">
        <x:v>Thiolate ligand</x:v>
      </x:c>
      <x:c r="J20" s="20" t="n">
        <x:v>25</x:v>
      </x:c>
      <x:c r="K20" s="20" t="n">
        <x:v>18</x:v>
      </x:c>
      <x:c r="L20" s="20" t="str">
        <x:v>&lt;2</x:v>
      </x:c>
      <x:c r="M20" s="20" t="n">
        <x:v>3.2</x:v>
      </x:c>
      <x:c r="N20" s="20" t="str">
        <x:v>Au25(SG)18; 13-Au core + six Au2(SG)3 shell motifs</x:v>
      </x:c>
      <x:c r="O20" s="20" t="str">
        <x:v>Not fully specified in main paper</x:v>
      </x:c>
      <x:c r="P20" s="20" t="str">
        <x:v>Main paper refers to prior method / SI</x:v>
      </x:c>
      <x:c r="Q20" s="20" t="str">
        <x:v>Not fully specified</x:v>
      </x:c>
      <x:c r="R20" s="20"/>
      <x:c r="S20" s="20"/>
      <x:c r="T20" s="20"/>
      <x:c r="U20" s="20" t="str">
        <x:v>See Supporting Information</x:v>
      </x:c>
      <x:c r="V20" s="20"/>
      <x:c r="W20" s="20" t="str">
        <x:v>1100–1350</x:v>
      </x:c>
      <x:c r="X20" s="20"/>
      <x:c r="Y20" s="20"/>
      <x:c r="Z20" s="20"/>
      <x:c r="AA20" s="20"/>
      <x:c r="AB20" s="20"/>
      <x:c r="AC20" s="20"/>
      <x:c r="AD20" s="20"/>
      <x:c r="AE20" s="20" t="str">
        <x:v>NIR-II imaging</x:v>
      </x:c>
      <x:c r="AF20" s="20" t="str">
        <x:v>Atomic-precision Au25 with strong NIR-II emission; exact synthesis must be taken from SI/primary synthesis method</x:v>
      </x:c>
      <x:c r="AG20" s="20" t="str">
        <x:v>Main text pp.1–2; Experimental points to SI</x:v>
      </x:c>
      <x:c r="AH20" s="20" t="str">
        <x:v>https://doi.org/10.1002/adma.201901015</x:v>
      </x:c>
      <x:c r="AI20" s="24" t="n">
        <x:f>ROUND(100*COUNTA(G20,J20,L20,R20,S20,T20,V20,X20,AA20,AC20)/10,0)</x:f>
        <x:v>30</x:v>
      </x:c>
      <x:c r="AJ20" s="20" t="str">
        <x:v>QC_HOLD</x:v>
      </x:c>
      <x:c r="AK20" s="20" t="str">
        <x:v>EXACT_LIGAND_ID</x:v>
      </x:c>
      <x:c r="AL20" s="20" t="str">
        <x:v>Atomic Au25(SG)18, but exact synthesis details require Supporting Information / prior method.</x:v>
      </x:c>
      <x:c r="AM20" s="20" t="str">
        <x:v>2026-09-07</x:v>
      </x:c>
      <x:c r="AN20" s="20" t="str">
        <x:v>UPLOADED_PRIMARY_OR_REVIEW</x:v>
      </x:c>
    </x:row>
    <x:row r="21" ht="18" customHeight="1">
      <x:c r="A21" s="20" t="str">
        <x:v>R018</x:v>
      </x:c>
      <x:c r="B21" s="20" t="str">
        <x:v>S11</x:v>
      </x:c>
      <x:c r="C21" s="20" t="str">
        <x:v>C1 AUNC_PTT_BENCHMARK</x:v>
      </x:c>
      <x:c r="D21" s="20" t="str">
        <x:v>DIRECT</x:v>
      </x:c>
      <x:c r="E21" s="20" t="str">
        <x:v>atomically_precise_AuNC</x:v>
      </x:c>
      <x:c r="F21" s="20" t="str">
        <x:v>Phosphorylcholine-functionalized Au25</x:v>
      </x:c>
      <x:c r="G21" s="20" t="str">
        <x:v>N/A</x:v>
      </x:c>
      <x:c r="H21" s="20" t="str">
        <x:v>N/A</x:v>
      </x:c>
      <x:c r="I21" s="20" t="str">
        <x:v>PC surface coating</x:v>
      </x:c>
      <x:c r="J21" s="20" t="n">
        <x:v>25</x:v>
      </x:c>
      <x:c r="K21" s="20"/>
      <x:c r="L21" s="20" t="str">
        <x:v>~2</x:v>
      </x:c>
      <x:c r="M21" s="20"/>
      <x:c r="N21" s="20" t="str">
        <x:v>Molecular Au25 cluster</x:v>
      </x:c>
      <x:c r="O21" s="20" t="str">
        <x:v>Au25 precursor/system</x:v>
      </x:c>
      <x:c r="P21" s="20" t="str">
        <x:v>25 mg/mL AuPC aqueous solution</x:v>
      </x:c>
      <x:c r="Q21" s="20" t="str">
        <x:v>N/A</x:v>
      </x:c>
      <x:c r="R21" s="20"/>
      <x:c r="S21" s="20"/>
      <x:c r="T21" s="20"/>
      <x:c r="U21" s="20" t="str">
        <x:v>Benchmark material</x:v>
      </x:c>
      <x:c r="V21" s="20" t="n">
        <x:v>1090</x:v>
      </x:c>
      <x:c r="W21" s="20" t="str">
        <x:v>900–1500</x:v>
      </x:c>
      <x:c r="X21" s="20" t="n">
        <x:v>0.38</x:v>
      </x:c>
      <x:c r="Y21" s="20"/>
      <x:c r="Z21" s="20"/>
      <x:c r="AA21" s="20" t="n">
        <x:v>808</x:v>
      </x:c>
      <x:c r="AB21" s="20" t="n">
        <x:v>0.3</x:v>
      </x:c>
      <x:c r="AC21" s="20" t="n">
        <x:v>70</x:v>
      </x:c>
      <x:c r="AD21" s="20" t="n">
        <x:v>10</x:v>
      </x:c>
      <x:c r="AE21" s="20" t="str">
        <x:v>Cancer PTT benchmark</x:v>
      </x:c>
      <x:c r="AF21" s="20" t="str">
        <x:v>In vitro: ~70°C from room temperature within 10 min under 808 nm, 0.3 W/cm²</x:v>
      </x:c>
      <x:c r="AG21" s="20" t="str">
        <x:v>Main text p.4; Fig.4</x:v>
      </x:c>
      <x:c r="AH21" s="20" t="str">
        <x:v>https://doi.org/10.1073/pnas.2318265121</x:v>
      </x:c>
      <x:c r="AI21" s="24" t="n">
        <x:f>ROUND(100*COUNTA(G21,J21,L21,R21,S21,T21,V21,X21,AA21,AC21)/10,0)</x:f>
        <x:v>70</x:v>
      </x:c>
      <x:c r="AJ21" s="20" t="str">
        <x:v>BENCHMARK_ONLY</x:v>
      </x:c>
      <x:c r="AK21" s="20" t="str">
        <x:v>NOT_APPLICABLE</x:v>
      </x:c>
      <x:c r="AL21" s="20" t="str">
        <x:v>Non-peptide AuNC biomedical/PTT benchmark; do not train peptide-sequence model.</x:v>
      </x:c>
      <x:c r="AM21" s="20" t="str">
        <x:v>2026-09-07</x:v>
      </x:c>
      <x:c r="AN21" s="20" t="str">
        <x:v>UPLOADED_PRIMARY_OR_REVIEW</x:v>
      </x:c>
    </x:row>
    <x:row r="22" ht="18" customHeight="1">
      <x:c r="A22" s="20" t="str">
        <x:v>R019</x:v>
      </x:c>
      <x:c r="B22" s="20" t="str">
        <x:v>S11</x:v>
      </x:c>
      <x:c r="C22" s="20" t="str">
        <x:v>C1 AUNC_PTT_BENCHMARK</x:v>
      </x:c>
      <x:c r="D22" s="20" t="str">
        <x:v>DIRECT</x:v>
      </x:c>
      <x:c r="E22" s="20" t="str">
        <x:v>atomically_precise_AuNC</x:v>
      </x:c>
      <x:c r="F22" s="20" t="str">
        <x:v>Phosphorylcholine-functionalized Au25</x:v>
      </x:c>
      <x:c r="G22" s="20" t="str">
        <x:v>N/A</x:v>
      </x:c>
      <x:c r="H22" s="20" t="str">
        <x:v>N/A</x:v>
      </x:c>
      <x:c r="I22" s="20" t="str">
        <x:v>PC surface coating</x:v>
      </x:c>
      <x:c r="J22" s="20" t="n">
        <x:v>25</x:v>
      </x:c>
      <x:c r="K22" s="20"/>
      <x:c r="L22" s="20" t="str">
        <x:v>~2</x:v>
      </x:c>
      <x:c r="M22" s="20"/>
      <x:c r="N22" s="20" t="str">
        <x:v>Molecular Au25 cluster</x:v>
      </x:c>
      <x:c r="O22" s="20" t="str">
        <x:v>Au25 precursor/system</x:v>
      </x:c>
      <x:c r="P22" s="20" t="str">
        <x:v>20–40 µL of 25 mg/mL intratumorally</x:v>
      </x:c>
      <x:c r="Q22" s="20" t="str">
        <x:v>N/A</x:v>
      </x:c>
      <x:c r="R22" s="20"/>
      <x:c r="S22" s="20"/>
      <x:c r="T22" s="20"/>
      <x:c r="U22" s="20" t="str">
        <x:v>4T1 tumor, intratumoral injection</x:v>
      </x:c>
      <x:c r="V22" s="20" t="n">
        <x:v>1090</x:v>
      </x:c>
      <x:c r="W22" s="20" t="str">
        <x:v>900–1500</x:v>
      </x:c>
      <x:c r="X22" s="20" t="n">
        <x:v>0.38</x:v>
      </x:c>
      <x:c r="Y22" s="20"/>
      <x:c r="Z22" s="20"/>
      <x:c r="AA22" s="20" t="n">
        <x:v>808</x:v>
      </x:c>
      <x:c r="AB22" s="20" t="n">
        <x:v>0.3</x:v>
      </x:c>
      <x:c r="AC22" s="20" t="n">
        <x:v>60</x:v>
      </x:c>
      <x:c r="AD22" s="20" t="n">
        <x:v>30</x:v>
      </x:c>
      <x:c r="AE22" s="20" t="str">
        <x:v>Cancer PTT benchmark</x:v>
      </x:c>
      <x:c r="AF22" s="20" t="str">
        <x:v>In vivo: ~53°C at 3 min, rising to ~60°C; 94.4% 60-day relative survival reported</x:v>
      </x:c>
      <x:c r="AG22" s="20" t="str">
        <x:v>Main text pp.4–6; Fig.5</x:v>
      </x:c>
      <x:c r="AH22" s="20" t="str">
        <x:v>https://doi.org/10.1073/pnas.2318265121</x:v>
      </x:c>
      <x:c r="AI22" s="24" t="n">
        <x:f>ROUND(100*COUNTA(G22,J22,L22,R22,S22,T22,V22,X22,AA22,AC22)/10,0)</x:f>
        <x:v>70</x:v>
      </x:c>
      <x:c r="AJ22" s="20" t="str">
        <x:v>BENCHMARK_ONLY</x:v>
      </x:c>
      <x:c r="AK22" s="20" t="str">
        <x:v>NOT_APPLICABLE</x:v>
      </x:c>
      <x:c r="AL22" s="20" t="str">
        <x:v>Non-peptide AuNC biomedical/PTT benchmark; do not train peptide-sequence model.</x:v>
      </x:c>
      <x:c r="AM22" s="20" t="str">
        <x:v>2026-09-07</x:v>
      </x:c>
      <x:c r="AN22" s="20" t="str">
        <x:v>UPLOADED_PRIMARY_OR_REVIEW</x:v>
      </x:c>
    </x:row>
    <x:row r="23" ht="18" customHeight="1">
      <x:c r="A23" s="20" t="str">
        <x:v>R020</x:v>
      </x:c>
      <x:c r="B23" s="20" t="str">
        <x:v>S13</x:v>
      </x:c>
      <x:c r="C23" s="20" t="str">
        <x:v>C2 AUNC_BIOMEDICAL_BENCHMARK</x:v>
      </x:c>
      <x:c r="D23" s="20" t="str">
        <x:v>DIRECT</x:v>
      </x:c>
      <x:c r="E23" s="20" t="str">
        <x:v>atomically_precise_AuNC</x:v>
      </x:c>
      <x:c r="F23" s="20" t="str">
        <x:v>Phosphorylcholine-functionalized Au25</x:v>
      </x:c>
      <x:c r="G23" s="20" t="str">
        <x:v>N/A</x:v>
      </x:c>
      <x:c r="H23" s="20" t="str">
        <x:v>N/A</x:v>
      </x:c>
      <x:c r="I23" s="20" t="str">
        <x:v>PC surface coating</x:v>
      </x:c>
      <x:c r="J23" s="20" t="n">
        <x:v>25</x:v>
      </x:c>
      <x:c r="K23" s="20"/>
      <x:c r="L23" s="20"/>
      <x:c r="M23" s="20"/>
      <x:c r="N23" s="20" t="str">
        <x:v>Au25-PC molecular cluster</x:v>
      </x:c>
      <x:c r="O23" s="20" t="str">
        <x:v>Au25 precursor/system</x:v>
      </x:c>
      <x:c r="P23" s="20" t="str">
        <x:v>Surface-functionalized with PC</x:v>
      </x:c>
      <x:c r="Q23" s="20" t="str">
        <x:v>N/A</x:v>
      </x:c>
      <x:c r="R23" s="20"/>
      <x:c r="S23" s="20"/>
      <x:c r="T23" s="20"/>
      <x:c r="U23" s="20" t="str">
        <x:v>Subcutaneous injection</x:v>
      </x:c>
      <x:c r="V23" s="20"/>
      <x:c r="W23" s="20" t="str">
        <x:v>1000–3000 imaging window</x:v>
      </x:c>
      <x:c r="X23" s="20"/>
      <x:c r="Y23" s="20"/>
      <x:c r="Z23" s="20"/>
      <x:c r="AA23" s="20"/>
      <x:c r="AB23" s="20"/>
      <x:c r="AC23" s="20"/>
      <x:c r="AD23" s="20"/>
      <x:c r="AE23" s="20" t="str">
        <x:v>Lymph-node NIR-II imaging</x:v>
      </x:c>
      <x:c r="AF23" s="20" t="str">
        <x:v>Super-stealth behavior; optimal LN imaging ~0.5–1 h with rapid renal clearance</x:v>
      </x:c>
      <x:c r="AG23" s="20" t="str">
        <x:v>Abstract / main text p.1</x:v>
      </x:c>
      <x:c r="AH23" s="20" t="str">
        <x:v>https://doi.org/10.1038/s41467-022-33341-6</x:v>
      </x:c>
      <x:c r="AI23" s="24" t="n">
        <x:f>ROUND(100*COUNTA(G23,J23,L23,R23,S23,T23,V23,X23,AA23,AC23)/10,0)</x:f>
        <x:v>20</x:v>
      </x:c>
      <x:c r="AJ23" s="20" t="str">
        <x:v>BENCHMARK_ONLY</x:v>
      </x:c>
      <x:c r="AK23" s="20" t="str">
        <x:v>NOT_APPLICABLE</x:v>
      </x:c>
      <x:c r="AL23" s="20" t="str">
        <x:v>Non-peptide AuNC biomedical/PTT benchmark; do not train peptide-sequence model.</x:v>
      </x:c>
      <x:c r="AM23" s="20" t="str">
        <x:v>2026-09-07</x:v>
      </x:c>
      <x:c r="AN23" s="20" t="str">
        <x:v>UPLOADED_PRIMARY_OR_REVIEW</x:v>
      </x:c>
    </x:row>
    <x:row r="24" ht="18" customHeight="1">
      <x:c r="A24" s="20" t="str">
        <x:v>R021</x:v>
      </x:c>
      <x:c r="B24" s="20" t="str">
        <x:v>S12</x:v>
      </x:c>
      <x:c r="C24" s="20" t="str">
        <x:v>D1 METHOD_REFERENCE</x:v>
      </x:c>
      <x:c r="D24" s="20" t="str">
        <x:v>REVIEW-DERIVED</x:v>
      </x:c>
      <x:c r="E24" s="20" t="str">
        <x:v>atomically_precise_AuNC</x:v>
      </x:c>
      <x:c r="F24" s="20" t="str">
        <x:v>Glutathione (GSH)</x:v>
      </x:c>
      <x:c r="G24" s="20" t="str">
        <x:v>γ-ECG</x:v>
      </x:c>
      <x:c r="H24" s="20" t="str">
        <x:v>L</x:v>
      </x:c>
      <x:c r="I24" s="20" t="str">
        <x:v>Review table entry</x:v>
      </x:c>
      <x:c r="J24" s="20" t="n">
        <x:v>25</x:v>
      </x:c>
      <x:c r="K24" s="20" t="n">
        <x:v>18</x:v>
      </x:c>
      <x:c r="L24" s="20"/>
      <x:c r="M24" s="20"/>
      <x:c r="N24" s="20" t="str">
        <x:v>Au25(GSH)18</x:v>
      </x:c>
      <x:c r="O24" s="20" t="str">
        <x:v>N/A</x:v>
      </x:c>
      <x:c r="P24" s="20" t="str">
        <x:v>Review-derived optical entry</x:v>
      </x:c>
      <x:c r="Q24" s="20" t="str">
        <x:v>N/A</x:v>
      </x:c>
      <x:c r="R24" s="20"/>
      <x:c r="S24" s="20"/>
      <x:c r="T24" s="20"/>
      <x:c r="U24" s="20" t="str">
        <x:v>Primary paper required</x:v>
      </x:c>
      <x:c r="V24" s="20" t="n">
        <x:v>1120</x:v>
      </x:c>
      <x:c r="W24" s="20" t="str">
        <x:v>900–1500</x:v>
      </x:c>
      <x:c r="X24" s="20" t="n">
        <x:v>0.13</x:v>
      </x:c>
      <x:c r="Y24" s="20"/>
      <x:c r="Z24" s="20"/>
      <x:c r="AA24" s="20" t="n">
        <x:v>808</x:v>
      </x:c>
      <x:c r="AB24" s="20"/>
      <x:c r="AC24" s="20"/>
      <x:c r="AD24" s="20"/>
      <x:c r="AE24" s="20" t="str">
        <x:v>Imaging benchmark</x:v>
      </x:c>
      <x:c r="AF24" s="20" t="str">
        <x:v>Review table lists Au25(GSH)18 with NIR-II emission and low PLQY; primary paper must be extracted before training</x:v>
      </x:c>
      <x:c r="AG24" s="20" t="str">
        <x:v>Chem. Rev. Table 1</x:v>
      </x:c>
      <x:c r="AH24" s="20" t="str">
        <x:v>https://doi.org/10.1021/acs.chemrev.4c00835</x:v>
      </x:c>
      <x:c r="AI24" s="24" t="n">
        <x:f>ROUND(100*COUNTA(G24,J24,L24,R24,S24,T24,V24,X24,AA24,AC24)/10,0)</x:f>
        <x:v>50</x:v>
      </x:c>
      <x:c r="AJ24" s="20" t="str">
        <x:v>REVIEW_LEAD</x:v>
      </x:c>
      <x:c r="AK24" s="20" t="str">
        <x:v>REVIEW_DERIVED</x:v>
      </x:c>
      <x:c r="AL24" s="20" t="str">
        <x:v>Primary paper must be extracted before model training.</x:v>
      </x:c>
      <x:c r="AM24" s="20" t="str">
        <x:v>2026-09-07</x:v>
      </x:c>
      <x:c r="AN24" s="20" t="str">
        <x:v>UPLOADED_PRIMARY_OR_REVIEW</x:v>
      </x:c>
    </x:row>
    <x:row r="25" ht="18" customHeight="1">
      <x:c r="A25" s="20" t="str">
        <x:v>R022</x:v>
      </x:c>
      <x:c r="B25" s="20" t="str">
        <x:v>S12</x:v>
      </x:c>
      <x:c r="C25" s="20" t="str">
        <x:v>D1 METHOD_REFERENCE</x:v>
      </x:c>
      <x:c r="D25" s="20" t="str">
        <x:v>REVIEW-DERIVED</x:v>
      </x:c>
      <x:c r="E25" s="20" t="str">
        <x:v>atomically_precise_AuNC</x:v>
      </x:c>
      <x:c r="F25" s="20" t="str">
        <x:v>4-mercaptobenzoic acid (MBA)</x:v>
      </x:c>
      <x:c r="G25" s="20" t="str">
        <x:v>N/A</x:v>
      </x:c>
      <x:c r="H25" s="20" t="str">
        <x:v>N/A</x:v>
      </x:c>
      <x:c r="I25" s="20" t="str">
        <x:v>Review table entry</x:v>
      </x:c>
      <x:c r="J25" s="20" t="n">
        <x:v>44</x:v>
      </x:c>
      <x:c r="K25" s="20" t="n">
        <x:v>26</x:v>
      </x:c>
      <x:c r="L25" s="20"/>
      <x:c r="M25" s="20"/>
      <x:c r="N25" s="20" t="str">
        <x:v>Au44(MBA)26</x:v>
      </x:c>
      <x:c r="O25" s="20" t="str">
        <x:v>N/A</x:v>
      </x:c>
      <x:c r="P25" s="20" t="str">
        <x:v>Review-derived optical/PTT entry</x:v>
      </x:c>
      <x:c r="Q25" s="20" t="str">
        <x:v>N/A</x:v>
      </x:c>
      <x:c r="R25" s="20"/>
      <x:c r="S25" s="20"/>
      <x:c r="T25" s="20"/>
      <x:c r="U25" s="20" t="str">
        <x:v>Primary paper required</x:v>
      </x:c>
      <x:c r="V25" s="20" t="n">
        <x:v>1080</x:v>
      </x:c>
      <x:c r="W25" s="20" t="str">
        <x:v>~1080 and 1280</x:v>
      </x:c>
      <x:c r="X25" s="20" t="n">
        <x:v>4.5</x:v>
      </x:c>
      <x:c r="Y25" s="20"/>
      <x:c r="Z25" s="20"/>
      <x:c r="AA25" s="20" t="n">
        <x:v>808</x:v>
      </x:c>
      <x:c r="AB25" s="20"/>
      <x:c r="AC25" s="20"/>
      <x:c r="AD25" s="20"/>
      <x:c r="AE25" s="20" t="str">
        <x:v>PTT / theranostics</x:v>
      </x:c>
      <x:c r="AF25" s="20" t="str">
        <x:v>Review identifies Au44(MBA)26 as high-PCE PTT-capable cluster; not peptide-templated and must remain a benchmark</x:v>
      </x:c>
      <x:c r="AG25" s="20" t="str">
        <x:v>Chem. Rev. Table 1 + PTT section</x:v>
      </x:c>
      <x:c r="AH25" s="20" t="str">
        <x:v>https://doi.org/10.1021/acs.chemrev.4c00835</x:v>
      </x:c>
      <x:c r="AI25" s="24" t="n">
        <x:f>ROUND(100*COUNTA(G25,J25,L25,R25,S25,T25,V25,X25,AA25,AC25)/10,0)</x:f>
        <x:v>50</x:v>
      </x:c>
      <x:c r="AJ25" s="20" t="str">
        <x:v>REVIEW_LEAD</x:v>
      </x:c>
      <x:c r="AK25" s="20" t="str">
        <x:v>REVIEW_DERIVED</x:v>
      </x:c>
      <x:c r="AL25" s="20" t="str">
        <x:v>Primary paper must be extracted before model training.</x:v>
      </x:c>
      <x:c r="AM25" s="20" t="str">
        <x:v>2026-09-07</x:v>
      </x:c>
      <x:c r="AN25" s="20" t="str">
        <x:v>UPLOADED_PRIMARY_OR_REVIEW</x:v>
      </x:c>
    </x:row>
    <x:row r="26" ht="18" customHeight="1">
      <x:c r="A26" s="20" t="str">
        <x:v>R023</x:v>
      </x:c>
      <x:c r="B26" s="20" t="str">
        <x:v>W01</x:v>
      </x:c>
      <x:c r="C26" s="20" t="str">
        <x:v>A2 DIRECT_PEPTIDE_NONPRECISE_AUNC</x:v>
      </x:c>
      <x:c r="D26" s="20" t="str">
        <x:v>DIRECT</x:v>
      </x:c>
      <x:c r="E26" s="20" t="str">
        <x:v>ultrasmall_AuNC_unknown_nuclearity</x:v>
      </x:c>
      <x:c r="F26" s="20" t="str">
        <x:v>SV polypeptide — blue AuNC</x:v>
      </x:c>
      <x:c r="G26" s="20" t="str">
        <x:v>CCYGGPKKKRKVG</x:v>
      </x:c>
      <x:c r="H26" s="20" t="str">
        <x:v>L</x:v>
      </x:c>
      <x:c r="I26" s="20" t="str">
        <x:v>NH2- / -COOH</x:v>
      </x:c>
      <x:c r="J26" s="20"/>
      <x:c r="K26" s="20"/>
      <x:c r="L26" s="20" t="str">
        <x:v>&lt;2</x:v>
      </x:c>
      <x:c r="M26" s="20"/>
      <x:c r="N26" s="20" t="str">
        <x:v>Blue-emitting peptide-templated AuNC</x:v>
      </x:c>
      <x:c r="O26" s="20" t="str">
        <x:v>HAuCl4</x:v>
      </x:c>
      <x:c r="P26" s="20" t="str">
        <x:v>Same SV peptide; synthesis conditions optimized separately from red product</x:v>
      </x:c>
      <x:c r="Q26" s="20" t="str">
        <x:v>Peptide-templated / conditions dependent</x:v>
      </x:c>
      <x:c r="R26" s="20"/>
      <x:c r="S26" s="20"/>
      <x:c r="T26" s="20"/>
      <x:c r="U26" s="20" t="str">
        <x:v>Light, pH, Au:peptide ratio, time and temperature were optimization variables</x:v>
      </x:c>
      <x:c r="V26" s="20" t="n">
        <x:v>405</x:v>
      </x:c>
      <x:c r="W26" s="20" t="str">
        <x:v>λex 320 / λem 405</x:v>
      </x:c>
      <x:c r="X26" s="20"/>
      <x:c r="Y26" s="20"/>
      <x:c r="Z26" s="20"/>
      <x:c r="AA26" s="20"/>
      <x:c r="AB26" s="20"/>
      <x:c r="AC26" s="20"/>
      <x:c r="AD26" s="20"/>
      <x:c r="AE26" s="20" t="str">
        <x:v>Cell-nucleus multimodal imaging</x:v>
      </x:c>
      <x:c r="AF26" s="20" t="str">
        <x:v>The same exact peptide produced a blue AuNC under one synthesis condition set and a red AuNC under another, proving synthesis context is indispensable.</x:v>
      </x:c>
      <x:c r="AG26" s="20" t="str">
        <x:v>ACS Applied Bio Materials abstract + SI listing</x:v>
      </x:c>
      <x:c r="AH26" s="20" t="str">
        <x:v>https://doi.org/10.1021/acsabm.9b01078</x:v>
      </x:c>
      <x:c r="AI26" s="24" t="n">
        <x:f>ROUND(100*COUNTA(G26,J26,L26,R26,S26,T26,V26,X26,AA26,AC26)/10,0)</x:f>
        <x:v>30</x:v>
      </x:c>
      <x:c r="AJ26" s="20" t="str">
        <x:v>QC_HOLD</x:v>
      </x:c>
      <x:c r="AK26" s="20" t="str">
        <x:v>EXACT_FROM_PRIMARY</x:v>
      </x:c>
      <x:c r="AL26" s="20" t="str">
        <x:v>Exact numerical synthesis condition set still needs full main-text/SI extraction.</x:v>
      </x:c>
      <x:c r="AM26" s="20" t="str">
        <x:v>2026-09-07</x:v>
      </x:c>
      <x:c r="AN26" s="20" t="str">
        <x:v>WEB_PRIMARY</x:v>
      </x:c>
    </x:row>
    <x:row r="27" ht="18" customHeight="1">
      <x:c r="A27" s="20" t="str">
        <x:v>R024</x:v>
      </x:c>
      <x:c r="B27" s="20" t="str">
        <x:v>W01</x:v>
      </x:c>
      <x:c r="C27" s="20" t="str">
        <x:v>A2 DIRECT_PEPTIDE_NONPRECISE_AUNC</x:v>
      </x:c>
      <x:c r="D27" s="20" t="str">
        <x:v>DIRECT</x:v>
      </x:c>
      <x:c r="E27" s="20" t="str">
        <x:v>ultrasmall_AuNC_unknown_nuclearity</x:v>
      </x:c>
      <x:c r="F27" s="20" t="str">
        <x:v>SV polypeptide — red AuNC</x:v>
      </x:c>
      <x:c r="G27" s="20" t="str">
        <x:v>CCYGGPKKKRKVG</x:v>
      </x:c>
      <x:c r="H27" s="20" t="str">
        <x:v>L</x:v>
      </x:c>
      <x:c r="I27" s="20" t="str">
        <x:v>NH2- / -COOH</x:v>
      </x:c>
      <x:c r="J27" s="20"/>
      <x:c r="K27" s="20"/>
      <x:c r="L27" s="20" t="str">
        <x:v>&lt;2</x:v>
      </x:c>
      <x:c r="M27" s="20"/>
      <x:c r="N27" s="20" t="str">
        <x:v>Red-emitting peptide-templated AuNC</x:v>
      </x:c>
      <x:c r="O27" s="20" t="str">
        <x:v>HAuCl4</x:v>
      </x:c>
      <x:c r="P27" s="20" t="str">
        <x:v>Same SV peptide; synthesis conditions optimized separately from blue product</x:v>
      </x:c>
      <x:c r="Q27" s="20" t="str">
        <x:v>Peptide-templated / conditions dependent</x:v>
      </x:c>
      <x:c r="R27" s="20"/>
      <x:c r="S27" s="20"/>
      <x:c r="T27" s="20"/>
      <x:c r="U27" s="20" t="str">
        <x:v>Light, pH, Au:peptide ratio, time and temperature were optimization variables</x:v>
      </x:c>
      <x:c r="V27" s="20" t="n">
        <x:v>657</x:v>
      </x:c>
      <x:c r="W27" s="20" t="str">
        <x:v>λex 560 / λem 657</x:v>
      </x:c>
      <x:c r="X27" s="20"/>
      <x:c r="Y27" s="20"/>
      <x:c r="Z27" s="20"/>
      <x:c r="AA27" s="20"/>
      <x:c r="AB27" s="20"/>
      <x:c r="AC27" s="20"/>
      <x:c r="AD27" s="20"/>
      <x:c r="AE27" s="20" t="str">
        <x:v>Cell-nucleus multimodal imaging</x:v>
      </x:c>
      <x:c r="AF27" s="20" t="str">
        <x:v>Paired with R023: identical peptide sequence can yield sharply different optical outcomes when the synthesis environment changes.</x:v>
      </x:c>
      <x:c r="AG27" s="20" t="str">
        <x:v>ACS Applied Bio Materials abstract + SI listing</x:v>
      </x:c>
      <x:c r="AH27" s="20" t="str">
        <x:v>https://doi.org/10.1021/acsabm.9b01078</x:v>
      </x:c>
      <x:c r="AI27" s="24" t="n">
        <x:f>ROUND(100*COUNTA(G27,J27,L27,R27,S27,T27,V27,X27,AA27,AC27)/10,0)</x:f>
        <x:v>30</x:v>
      </x:c>
      <x:c r="AJ27" s="20" t="str">
        <x:v>QC_HOLD</x:v>
      </x:c>
      <x:c r="AK27" s="20" t="str">
        <x:v>EXACT_FROM_PRIMARY</x:v>
      </x:c>
      <x:c r="AL27" s="20" t="str">
        <x:v>Exact numerical synthesis condition set still needs full main-text/SI extraction.</x:v>
      </x:c>
      <x:c r="AM27" s="20" t="str">
        <x:v>2026-09-07</x:v>
      </x:c>
      <x:c r="AN27" s="20" t="str">
        <x:v>WEB_PRIMARY</x:v>
      </x:c>
    </x:row>
    <x:row r="28" ht="18" customHeight="1">
      <x:c r="A28" s="20" t="str">
        <x:v>R025</x:v>
      </x:c>
      <x:c r="B28" s="20" t="str">
        <x:v>W02</x:v>
      </x:c>
      <x:c r="C28" s="20" t="str">
        <x:v>A2 DIRECT_PEPTIDE_NONPRECISE_AUNC</x:v>
      </x:c>
      <x:c r="D28" s="20" t="str">
        <x:v>DIRECT</x:v>
      </x:c>
      <x:c r="E28" s="20" t="str">
        <x:v>ultrasmall_AuNC_unknown_nuclearity</x:v>
      </x:c>
      <x:c r="F28" s="20" t="str">
        <x:v>Cyclodecapeptide-templated AuNC</x:v>
      </x:c>
      <x:c r="G28" s="20" t="str">
        <x:v>Cyclodecapeptide: 1 Tyr + 2 Cys; exact sequence pending</x:v>
      </x:c>
      <x:c r="H28" s="20" t="str">
        <x:v>L</x:v>
      </x:c>
      <x:c r="I28" s="20" t="str">
        <x:v>Cyclic peptide</x:v>
      </x:c>
      <x:c r="J28" s="20"/>
      <x:c r="K28" s="20"/>
      <x:c r="L28" s="20"/>
      <x:c r="M28" s="20"/>
      <x:c r="N28" s="20" t="str">
        <x:v>Red-fluorescent CP-AuNC</x:v>
      </x:c>
      <x:c r="O28" s="20" t="str">
        <x:v>HAuCl4</x:v>
      </x:c>
      <x:c r="P28" s="20" t="str">
        <x:v>100 µL 25 mM HAuCl4 + 1 mL 2 mM cyclodecapeptide</x:v>
      </x:c>
      <x:c r="Q28" s="20" t="str">
        <x:v>Peptide biomineralization / alkaline condition</x:v>
      </x:c>
      <x:c r="R28" s="20"/>
      <x:c r="S28" s="20" t="n">
        <x:v>37</x:v>
      </x:c>
      <x:c r="T28" s="20" t="n">
        <x:v>15</x:v>
      </x:c>
      <x:c r="U28" s="20" t="str">
        <x:v>Vigorous stirring; NaOH 75 µL 0.5 M added after 2 min; sealed 37°C</x:v>
      </x:c>
      <x:c r="V28" s="20"/>
      <x:c r="W28" s="20" t="str">
        <x:v>Red fluorescence; exact peak to extract</x:v>
      </x:c>
      <x:c r="X28" s="20"/>
      <x:c r="Y28" s="20"/>
      <x:c r="Z28" s="20"/>
      <x:c r="AA28" s="20"/>
      <x:c r="AB28" s="20"/>
      <x:c r="AC28" s="20"/>
      <x:c r="AD28" s="20"/>
      <x:c r="AE28" s="20" t="str">
        <x:v>Dual fluorescence/MR imaging after Gd3+ functionalization</x:v>
      </x:c>
      <x:c r="AF28" s="20" t="str">
        <x:v>Direct designed cyclic peptide acts as AuNC template and later Gd3+ chelator; exact peptide sequence must be recovered from structure figure/SI.</x:v>
      </x:c>
      <x:c r="AG28" s="20" t="str">
        <x:v>RSC Supporting Information synthesis</x:v>
      </x:c>
      <x:c r="AH28" s="20" t="str">
        <x:v>https://doi.org/10.1039/C3TB20440E</x:v>
      </x:c>
      <x:c r="AI28" s="24" t="n">
        <x:f>ROUND(100*COUNTA(G28,J28,L28,R28,S28,T28,V28,X28,AA28,AC28)/10,0)</x:f>
        <x:v>30</x:v>
      </x:c>
      <x:c r="AJ28" s="20" t="str">
        <x:v>QC_HOLD</x:v>
      </x:c>
      <x:c r="AK28" s="20" t="str">
        <x:v>INCOMPLETE_SEQUENCE</x:v>
      </x:c>
      <x:c r="AL28" s="20" t="str">
        <x:v>Exact cyclodecapeptide sequence not recovered from searchable text.</x:v>
      </x:c>
      <x:c r="AM28" s="20" t="str">
        <x:v>2026-09-07</x:v>
      </x:c>
      <x:c r="AN28" s="20" t="str">
        <x:v>WEB_PRIMARY+SI</x:v>
      </x:c>
    </x:row>
    <x:row r="29" ht="18" customHeight="1">
      <x:c r="A29" s="20" t="str">
        <x:v>R026</x:v>
      </x:c>
      <x:c r="B29" s="20" t="str">
        <x:v>W03</x:v>
      </x:c>
      <x:c r="C29" s="20" t="str">
        <x:v>A1 DIRECT_PEPTIDE_ATOMIC_AUNC</x:v>
      </x:c>
      <x:c r="D29" s="20" t="str">
        <x:v>DIRECT</x:v>
      </x:c>
      <x:c r="E29" s="20" t="str">
        <x:v>atomically_precise_AuNC</x:v>
      </x:c>
      <x:c r="F29" s="20" t="str">
        <x:v>CCYJNP5 peptide</x:v>
      </x:c>
      <x:c r="G29" s="20" t="str">
        <x:v>CCYLQLQAEER</x:v>
      </x:c>
      <x:c r="H29" s="20" t="str">
        <x:v>L</x:v>
      </x:c>
      <x:c r="I29" s="20" t="str">
        <x:v>C-terminal amide (-NH2)</x:v>
      </x:c>
      <x:c r="J29" s="20" t="n">
        <x:v>21</x:v>
      </x:c>
      <x:c r="K29" s="20"/>
      <x:c r="L29" s="20" t="n">
        <x:v>2</x:v>
      </x:c>
      <x:c r="M29" s="20"/>
      <x:c r="N29" s="20" t="str">
        <x:v>Peptide-conjugated Au21 nanocluster</x:v>
      </x:c>
      <x:c r="O29" s="20" t="str">
        <x:v>HAuCl4</x:v>
      </x:c>
      <x:c r="P29" s="20" t="str">
        <x:v>1 mL 4.428 mM HAuCl4 + 1 mL CCYJNP5; optimized peptide:HAuCl4 = 1:1</x:v>
      </x:c>
      <x:c r="Q29" s="20" t="str">
        <x:v>Peptide self-reduction via Tyr under alkaline pH</x:v>
      </x:c>
      <x:c r="R29" s="20" t="n">
        <x:v>11.5</x:v>
      </x:c>
      <x:c r="S29" s="20" t="n">
        <x:v>25</x:v>
      </x:c>
      <x:c r="T29" s="20" t="n">
        <x:v>18</x:v>
      </x:c>
      <x:c r="U29" s="20" t="str">
        <x:v>Magnetic stirring; 130 µL 1 M NaOH; dialysis MWCO 8000 for 12 h</x:v>
      </x:c>
      <x:c r="V29" s="20" t="n">
        <x:v>640</x:v>
      </x:c>
      <x:c r="W29" s="20" t="str">
        <x:v>λex 380 / λem 640</x:v>
      </x:c>
      <x:c r="X29" s="20" t="n">
        <x:v>2.86</x:v>
      </x:c>
      <x:c r="Y29" s="20"/>
      <x:c r="Z29" s="20"/>
      <x:c r="AA29" s="20"/>
      <x:c r="AB29" s="20"/>
      <x:c r="AC29" s="20"/>
      <x:c r="AD29" s="20"/>
      <x:c r="AE29" s="20" t="str">
        <x:v>FGFR2-targeted tumor-cell imaging</x:v>
      </x:c>
      <x:c r="AF29" s="20" t="str">
        <x:v>MALDI-TOF indicated 21 Au atoms; CCY motif is required for strong fluorescence; ~33% Au(I) at surface.</x:v>
      </x:c>
      <x:c r="AG29" s="20" t="str">
        <x:v>RSC Adv. main text, Methods + Results</x:v>
      </x:c>
      <x:c r="AH29" s="20" t="str">
        <x:v>https://doi.org/10.1039/C5RA20113F</x:v>
      </x:c>
      <x:c r="AI29" s="24" t="n">
        <x:f>ROUND(100*COUNTA(G29,J29,L29,R29,S29,T29,V29,X29,AA29,AC29)/10,0)</x:f>
        <x:v>80</x:v>
      </x:c>
      <x:c r="AJ29" s="20" t="str">
        <x:v>TRAIN_CORE</x:v>
      </x:c>
      <x:c r="AK29" s="20" t="str">
        <x:v>EXACT_FROM_PRIMARY</x:v>
      </x:c>
      <x:c r="AL29" s="20" t="str">
        <x:v>High-value atomic sequence+synthesis+optical record. Group with all same-paper variants in validation.</x:v>
      </x:c>
      <x:c r="AM29" s="20" t="str">
        <x:v>2026-09-07</x:v>
      </x:c>
      <x:c r="AN29" s="20" t="str">
        <x:v>WEB_PRIMARY</x:v>
      </x:c>
    </x:row>
    <x:row r="30" ht="18" customHeight="1">
      <x:c r="A30" s="20" t="str">
        <x:v>R027</x:v>
      </x:c>
      <x:c r="B30" s="20" t="str">
        <x:v>W04</x:v>
      </x:c>
      <x:c r="C30" s="20" t="str">
        <x:v>A1 DIRECT_PEPTIDE_ATOMIC_AUNC</x:v>
      </x:c>
      <x:c r="D30" s="20" t="str">
        <x:v>DIRECT</x:v>
      </x:c>
      <x:c r="E30" s="20" t="str">
        <x:v>atomically_precise_AuNC</x:v>
      </x:c>
      <x:c r="F30" s="20" t="str">
        <x:v>Integrin-targeting peptide Au cluster</x:v>
      </x:c>
      <x:c r="G30" s="20" t="str">
        <x:v>CONFLICT: CGPDGRDGRDGPDGR (Materials) | CCGPDGRDGRDGRDGR (Results)</x:v>
      </x:c>
      <x:c r="H30" s="20" t="str">
        <x:v>L</x:v>
      </x:c>
      <x:c r="I30" s="20" t="str">
        <x:v>N- and C-termini reported NH2-/ -COOH</x:v>
      </x:c>
      <x:c r="J30" s="20" t="n">
        <x:v>7</x:v>
      </x:c>
      <x:c r="K30" s="20" t="n">
        <x:v>5</x:v>
      </x:c>
      <x:c r="L30" s="20" t="n">
        <x:v>2.85</x:v>
      </x:c>
      <x:c r="M30" s="20"/>
      <x:c r="N30" s="20" t="str">
        <x:v>Au7Peptide5 inferred from MALDI-TOF</x:v>
      </x:c>
      <x:c r="O30" s="20" t="str">
        <x:v>HAuCl4</x:v>
      </x:c>
      <x:c r="P30" s="20" t="str">
        <x:v>6 mg peptide in 1 mL water + 40 µL 25 mM HAuCl4</x:v>
      </x:c>
      <x:c r="Q30" s="20" t="str">
        <x:v>Peptide biomimetic mineralization; NaOH-assisted</x:v>
      </x:c>
      <x:c r="R30" s="20"/>
      <x:c r="S30" s="20" t="n">
        <x:v>55</x:v>
      </x:c>
      <x:c r="T30" s="20" t="n">
        <x:v>12</x:v>
      </x:c>
      <x:c r="U30" s="20" t="str">
        <x:v>5 min after Au addition: 200 µL 0.5 M NaOH; MWCO 3 kDa purification</x:v>
      </x:c>
      <x:c r="V30" s="20" t="n">
        <x:v>420</x:v>
      </x:c>
      <x:c r="W30" s="20" t="str">
        <x:v>λex 330 / λem 420</x:v>
      </x:c>
      <x:c r="X30" s="20"/>
      <x:c r="Y30" s="20"/>
      <x:c r="Z30" s="20"/>
      <x:c r="AA30" s="20"/>
      <x:c r="AB30" s="20"/>
      <x:c r="AC30" s="20"/>
      <x:c r="AD30" s="20"/>
      <x:c r="AE30" s="20" t="str">
        <x:v>Tumor-selective enzyme-like catalysis / apoptosis</x:v>
      </x:c>
      <x:c r="AF30" s="20" t="str">
        <x:v>MALDI peaks assigned Au7SxNay; Au7Peptide5 inferred. HRTEM-derived ~2.85±0.55 nm may be beam-affected.</x:v>
      </x:c>
      <x:c r="AG30" s="20" t="str">
        <x:v>Nanomaterials Methods 2.1–2.3 and Results 3.1</x:v>
      </x:c>
      <x:c r="AH30" s="20" t="str">
        <x:v>https://doi.org/10.3390/nano8121040</x:v>
      </x:c>
      <x:c r="AI30" s="24" t="n">
        <x:f>ROUND(100*COUNTA(G30,J30,L30,R30,S30,T30,V30,X30,AA30,AC30)/10,0)</x:f>
        <x:v>60</x:v>
      </x:c>
      <x:c r="AJ30" s="20" t="str">
        <x:v>QC_HOLD</x:v>
      </x:c>
      <x:c r="AK30" s="20" t="str">
        <x:v>SOURCE_CONFLICT</x:v>
      </x:c>
      <x:c r="AL30" s="20" t="str">
        <x:v>Critical sequence inconsistency inside the primary article; verify typeset PDF/author correction before encoding sequence.</x:v>
      </x:c>
      <x:c r="AM30" s="20" t="str">
        <x:v>2026-09-07</x:v>
      </x:c>
      <x:c r="AN30" s="20" t="str">
        <x:v>WEB_PRIMARY</x:v>
      </x:c>
    </x:row>
    <x:row r="31" ht="18" customHeight="1">
      <x:c r="A31" s="20" t="str">
        <x:v>R028</x:v>
      </x:c>
      <x:c r="B31" s="20" t="str">
        <x:v>W05</x:v>
      </x:c>
      <x:c r="C31" s="20" t="str">
        <x:v>A1 DIRECT_PEPTIDE_ATOMIC_AUNC</x:v>
      </x:c>
      <x:c r="D31" s="20" t="str">
        <x:v>DIRECT</x:v>
      </x:c>
      <x:c r="E31" s="20" t="str">
        <x:v>atomically_precise_AuNC</x:v>
      </x:c>
      <x:c r="F31" s="20" t="str">
        <x:v>Sv peptide</x:v>
      </x:c>
      <x:c r="G31" s="20" t="str">
        <x:v>CCYGGPKKKRKPG</x:v>
      </x:c>
      <x:c r="H31" s="20" t="str">
        <x:v>L</x:v>
      </x:c>
      <x:c r="I31" s="20" t="str">
        <x:v>NH2- / -COOH</x:v>
      </x:c>
      <x:c r="J31" s="20" t="n">
        <x:v>25</x:v>
      </x:c>
      <x:c r="K31" s="20" t="n">
        <x:v>9</x:v>
      </x:c>
      <x:c r="L31" s="20"/>
      <x:c r="M31" s="20"/>
      <x:c r="N31" s="20" t="str">
        <x:v>Au25Sv9</x:v>
      </x:c>
      <x:c r="O31" s="20" t="str">
        <x:v>HAuCl4</x:v>
      </x:c>
      <x:c r="P31" s="20" t="str">
        <x:v>Original study reports designed tridecapeptide Sv; exact protocol requires final primary extraction</x:v>
      </x:c>
      <x:c r="Q31" s="20" t="str">
        <x:v>Peptide-templated</x:v>
      </x:c>
      <x:c r="R31" s="20" t="n">
        <x:v>10</x:v>
      </x:c>
      <x:c r="S31" s="20"/>
      <x:c r="T31" s="20" t="n">
        <x:v>15</x:v>
      </x:c>
      <x:c r="U31" s="20" t="str">
        <x:v>Sealed/dark protocol reported in source family; verify exact reagent quantities before training synthesis model</x:v>
      </x:c>
      <x:c r="V31" s="20" t="n">
        <x:v>645</x:v>
      </x:c>
      <x:c r="W31" s="20" t="str">
        <x:v>Red fluorescence; emission peak ~645</x:v>
      </x:c>
      <x:c r="X31" s="20"/>
      <x:c r="Y31" s="20"/>
      <x:c r="Z31" s="20"/>
      <x:c r="AA31" s="20"/>
      <x:c r="AB31" s="20"/>
      <x:c r="AC31" s="20"/>
      <x:c r="AD31" s="20"/>
      <x:c r="AE31" s="20" t="str">
        <x:v>Chronic lymphocytic leukemia therapy</x:v>
      </x:c>
      <x:c r="AF31" s="20" t="str">
        <x:v>Atomic Au25Sv9 binds/inhibits thioredoxin reductase 1 and increases oxidative stress in CLL cells.</x:v>
      </x:c>
      <x:c r="AG31" s="20" t="str">
        <x:v>Science Bulletin primary article / PubMed</x:v>
      </x:c>
      <x:c r="AH31" s="20" t="str">
        <x:v>https://doi.org/10.1016/j.scib.2017.03.024</x:v>
      </x:c>
      <x:c r="AI31" s="24" t="n">
        <x:f>ROUND(100*COUNTA(G31,J31,L31,R31,S31,T31,V31,X31,AA31,AC31)/10,0)</x:f>
        <x:v>50</x:v>
      </x:c>
      <x:c r="AJ31" s="20" t="str">
        <x:v>TRAIN_STRUCTURE_ONLY</x:v>
      </x:c>
      <x:c r="AK31" s="20" t="str">
        <x:v>EXACT_FROM_2017_PRIMARY</x:v>
      </x:c>
      <x:c r="AL31" s="20" t="str">
        <x:v>Do not merge with 2020 SV variant CCYGGPKKKRKVG; sequence-cluster leakage risk is high.</x:v>
      </x:c>
      <x:c r="AM31" s="20" t="str">
        <x:v>2026-09-07</x:v>
      </x:c>
      <x:c r="AN31" s="20" t="str">
        <x:v>WEB_PRIMARY</x:v>
      </x:c>
    </x:row>
    <x:row r="32" ht="18" customHeight="1">
      <x:c r="A32" s="20" t="str">
        <x:v>R029</x:v>
      </x:c>
      <x:c r="B32" s="20" t="str">
        <x:v>W06</x:v>
      </x:c>
      <x:c r="C32" s="20" t="str">
        <x:v>A2 DIRECT_PEPTIDE_NONPRECISE_AUNC</x:v>
      </x:c>
      <x:c r="D32" s="20" t="str">
        <x:v>DIRECT</x:v>
      </x:c>
      <x:c r="E32" s="20" t="str">
        <x:v>ultrasmall_AuNC_unknown_nuclearity</x:v>
      </x:c>
      <x:c r="F32" s="20" t="str">
        <x:v>DGEAGC oligopeptide</x:v>
      </x:c>
      <x:c r="G32" s="20" t="str">
        <x:v>DGEAGC</x:v>
      </x:c>
      <x:c r="H32" s="20" t="str">
        <x:v>L</x:v>
      </x:c>
      <x:c r="I32" s="20" t="str">
        <x:v>None</x:v>
      </x:c>
      <x:c r="J32" s="20"/>
      <x:c r="K32" s="20"/>
      <x:c r="L32" s="20" t="n">
        <x:v>1.3</x:v>
      </x:c>
      <x:c r="M32" s="20"/>
      <x:c r="N32" s="20" t="str">
        <x:v>Monodispersed ultrasmall peptide-protected AuNC</x:v>
      </x:c>
      <x:c r="O32" s="20" t="str">
        <x:v>HAuCl4</x:v>
      </x:c>
      <x:c r="P32" s="20" t="str">
        <x:v>68 µL HAuCl4 0.2 g/mL + 1.0 mL peptide 50 mg/mL + 17.6 mL water</x:v>
      </x:c>
      <x:c r="Q32" s="20" t="str">
        <x:v>Thermal reduction</x:v>
      </x:c>
      <x:c r="R32" s="20"/>
      <x:c r="S32" s="20" t="n">
        <x:v>70</x:v>
      </x:c>
      <x:c r="T32" s="20" t="n">
        <x:v>2</x:v>
      </x:c>
      <x:c r="U32" s="20" t="str">
        <x:v>Vigorous stirring RT 5 min, then 70°C for 2 h; PAGE purification used for characterization</x:v>
      </x:c>
      <x:c r="V32" s="20" t="n">
        <x:v>600</x:v>
      </x:c>
      <x:c r="W32" s="20" t="str">
        <x:v>λex 400 / λem 600</x:v>
      </x:c>
      <x:c r="X32" s="20"/>
      <x:c r="Y32" s="20" t="n">
        <x:v>400</x:v>
      </x:c>
      <x:c r="Z32" s="20"/>
      <x:c r="AA32" s="20"/>
      <x:c r="AB32" s="20"/>
      <x:c r="AC32" s="20"/>
      <x:c r="AD32" s="20"/>
      <x:c r="AE32" s="20" t="str">
        <x:v>Peroxidase mimic / cell imaging</x:v>
      </x:c>
      <x:c r="AF32" s="20" t="str">
        <x:v>Straightforward one-pot sequence+synthesis+size+optical record; article introduction contains a DGECGC typo but Methods specify DGEAGC.</x:v>
      </x:c>
      <x:c r="AG32" s="20" t="str">
        <x:v>Molecules 2023 Methods 3.1/3.3 + Results 2.1</x:v>
      </x:c>
      <x:c r="AH32" s="20" t="str">
        <x:v>https://doi.org/10.3390/molecules28010070</x:v>
      </x:c>
      <x:c r="AI32" s="24" t="n">
        <x:f>ROUND(100*COUNTA(G32,J32,L32,R32,S32,T32,V32,X32,AA32,AC32)/10,0)</x:f>
        <x:v>50</x:v>
      </x:c>
      <x:c r="AJ32" s="20" t="str">
        <x:v>TRAIN_OPTICAL_SIZE</x:v>
      </x:c>
      <x:c r="AK32" s="20" t="str">
        <x:v>EXACT_FROM_METHODS</x:v>
      </x:c>
      <x:c r="AL32" s="20" t="str">
        <x:v>Use DGEAGC from Materials/Methods; record introduction typo DGECGC in QC log.</x:v>
      </x:c>
      <x:c r="AM32" s="20" t="str">
        <x:v>2026-09-07</x:v>
      </x:c>
      <x:c r="AN32" s="20" t="str">
        <x:v>WEB_PRIMARY</x:v>
      </x:c>
    </x:row>
    <x:row r="33" ht="18" customHeight="1">
      <x:c r="A33" s="20" t="str">
        <x:v>R030</x:v>
      </x:c>
      <x:c r="B33" s="20" t="str">
        <x:v>W07</x:v>
      </x:c>
      <x:c r="C33" s="20" t="str">
        <x:v>A2 DIRECT_PEPTIDE_NONPRECISE_AUNC</x:v>
      </x:c>
      <x:c r="D33" s="20" t="str">
        <x:v>DIRECT</x:v>
      </x:c>
      <x:c r="E33" s="20" t="str">
        <x:v>ultrasmall_AuNC_unknown_nuclearity</x:v>
      </x:c>
      <x:c r="F33" s="20" t="str">
        <x:v>Cyclic RGD peptide</x:v>
      </x:c>
      <x:c r="G33" s="20" t="str">
        <x:v>c(RGD) / c(RGDyE) family; exact sequence requires SI verification</x:v>
      </x:c>
      <x:c r="H33" s="20" t="str">
        <x:v>L</x:v>
      </x:c>
      <x:c r="I33" s="20" t="str">
        <x:v>Cyclic peptide</x:v>
      </x:c>
      <x:c r="J33" s="20"/>
      <x:c r="K33" s="20"/>
      <x:c r="L33" s="20"/>
      <x:c r="M33" s="20"/>
      <x:c r="N33" s="20" t="str">
        <x:v>RGD-conjugated AuNC</x:v>
      </x:c>
      <x:c r="O33" s="20" t="str">
        <x:v>Chloraurate</x:v>
      </x:c>
      <x:c r="P33" s="20" t="str">
        <x:v>Cyclic RGD used as both reducing and protecting agent</x:v>
      </x:c>
      <x:c r="Q33" s="20" t="str">
        <x:v>Peptide self-reduction under alkaline condition</x:v>
      </x:c>
      <x:c r="R33" s="20"/>
      <x:c r="S33" s="20" t="n">
        <x:v>25</x:v>
      </x:c>
      <x:c r="T33" s="20" t="n">
        <x:v>0.25</x:v>
      </x:c>
      <x:c r="U33" s="20" t="str">
        <x:v>Direct alkaline synthesis; complete in 15 min at room temperature</x:v>
      </x:c>
      <x:c r="V33" s="20"/>
      <x:c r="W33" s="20" t="str">
        <x:v>Fluorescent; exact λ from full paper/SI to extract</x:v>
      </x:c>
      <x:c r="X33" s="20"/>
      <x:c r="Y33" s="20"/>
      <x:c r="Z33" s="20"/>
      <x:c r="AA33" s="20"/>
      <x:c r="AB33" s="20"/>
      <x:c r="AC33" s="20"/>
      <x:c r="AD33" s="20"/>
      <x:c r="AE33" s="20" t="str">
        <x:v>αvβ3-positive melanoma A375 imaging</x:v>
      </x:c>
      <x:c r="AF33" s="20" t="str">
        <x:v>Very fast direct peptide-AuNC synthesis; exact cyclic peptide identity/condition optimization resides in SI.</x:v>
      </x:c>
      <x:c r="AG33" s="20" t="str">
        <x:v>Bioconjugate Chemistry abstract + SI description</x:v>
      </x:c>
      <x:c r="AH33" s="20" t="str">
        <x:v>https://doi.org/10.1021/bc500505c</x:v>
      </x:c>
      <x:c r="AI33" s="24" t="n">
        <x:f>ROUND(100*COUNTA(G33,J33,L33,R33,S33,T33,V33,X33,AA33,AC33)/10,0)</x:f>
        <x:v>30</x:v>
      </x:c>
      <x:c r="AJ33" s="20" t="str">
        <x:v>QC_HOLD</x:v>
      </x:c>
      <x:c r="AK33" s="20" t="str">
        <x:v>PARTIAL_SEQUENCE</x:v>
      </x:c>
      <x:c r="AL33" s="20" t="str">
        <x:v>Acquire SI/full text before model training.</x:v>
      </x:c>
      <x:c r="AM33" s="20" t="str">
        <x:v>2026-09-07</x:v>
      </x:c>
      <x:c r="AN33" s="20" t="str">
        <x:v>WEB_PRIMARY</x:v>
      </x:c>
    </x:row>
    <x:row r="34" ht="18" customHeight="1">
      <x:c r="A34" s="20" t="str">
        <x:v>R031</x:v>
      </x:c>
      <x:c r="B34" s="20" t="str">
        <x:v>W08</x:v>
      </x:c>
      <x:c r="C34" s="20" t="str">
        <x:v>C1 AUNC_PTT_BENCHMARK</x:v>
      </x:c>
      <x:c r="D34" s="20" t="str">
        <x:v>DIRECT</x:v>
      </x:c>
      <x:c r="E34" s="20" t="str">
        <x:v>ultrasmall_AuNC_unknown_nuclearity</x:v>
      </x:c>
      <x:c r="F34" s="20" t="str">
        <x:v>LHRH analogue-functionalized AuNC</x:v>
      </x:c>
      <x:c r="G34" s="20" t="str">
        <x:v>LHRHa; exact sequence pending primary full text</x:v>
      </x:c>
      <x:c r="H34" s="20" t="str">
        <x:v>L</x:v>
      </x:c>
      <x:c r="I34" s="20" t="str">
        <x:v>Post-synthesis peptide functionalization</x:v>
      </x:c>
      <x:c r="J34" s="20"/>
      <x:c r="K34" s="20"/>
      <x:c r="L34" s="20"/>
      <x:c r="M34" s="20"/>
      <x:c r="N34" s="20" t="str">
        <x:v>PEI-modified AuNC + LHRHa nanosystem</x:v>
      </x:c>
      <x:c r="O34" s="20"/>
      <x:c r="P34" s="20" t="str">
        <x:v>PEI-AuNC combined with LHRH analogue</x:v>
      </x:c>
      <x:c r="Q34" s="20"/>
      <x:c r="R34" s="20"/>
      <x:c r="S34" s="20"/>
      <x:c r="T34" s="20"/>
      <x:c r="U34" s="20" t="str">
        <x:v>Post-functionalized targeting nanosystem</x:v>
      </x:c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 t="str">
        <x:v>Targeted prostate-cancer FL/CT + PTT</x:v>
      </x:c>
      <x:c r="AF34" s="20" t="str">
        <x:v>Useful peptide-functionalized AuNC PTT benchmark, but not a peptide-templated atomic-nuclearity training record.</x:v>
      </x:c>
      <x:c r="AG34" s="20" t="str">
        <x:v>J. Mater. Chem. B abstract</x:v>
      </x:c>
      <x:c r="AH34" s="20" t="str">
        <x:v>https://doi.org/10.1039/D2TB00531J</x:v>
      </x:c>
      <x:c r="AI34" s="24" t="n">
        <x:f>ROUND(100*COUNTA(G34,J34,L34,R34,S34,T34,V34,X34,AA34,AC34)/10,0)</x:f>
        <x:v>10</x:v>
      </x:c>
      <x:c r="AJ34" s="20" t="str">
        <x:v>BENCHMARK_ONLY</x:v>
      </x:c>
      <x:c r="AK34" s="20" t="str">
        <x:v>INCOMPLETE_SEQUENCE</x:v>
      </x:c>
      <x:c r="AL34" s="20" t="str">
        <x:v>Need exact LHRHa identity and laser/PCE/heating data from full primary paper.</x:v>
      </x:c>
      <x:c r="AM34" s="20" t="str">
        <x:v>2026-09-07</x:v>
      </x:c>
      <x:c r="AN34" s="20" t="str">
        <x:v>WEB_PRIMARY</x:v>
      </x:c>
    </x:row>
    <x:row r="35" ht="18" customHeight="1">
      <x:c r="A35" s="20" t="str">
        <x:v>R032</x:v>
      </x:c>
      <x:c r="B35" s="20" t="str">
        <x:v>W09</x:v>
      </x:c>
      <x:c r="C35" s="20" t="str">
        <x:v>A2 DIRECT_PEPTIDE_NONPRECISE_AUNC</x:v>
      </x:c>
      <x:c r="D35" s="20" t="str">
        <x:v>DIRECT</x:v>
      </x:c>
      <x:c r="E35" s="20" t="str">
        <x:v>ultrasmall_AuNC_unknown_nuclearity</x:v>
      </x:c>
      <x:c r="F35" s="20" t="str">
        <x:v>CMMMMM peptide</x:v>
      </x:c>
      <x:c r="G35" s="20" t="str">
        <x:v>CMMMMM</x:v>
      </x:c>
      <x:c r="H35" s="20" t="str">
        <x:v>L</x:v>
      </x:c>
      <x:c r="I35" s="20" t="str">
        <x:v>None</x:v>
      </x:c>
      <x:c r="J35" s="20"/>
      <x:c r="K35" s="20"/>
      <x:c r="L35" s="20"/>
      <x:c r="M35" s="20"/>
      <x:c r="N35" s="20" t="str">
        <x:v>Peptide-coated fluorescent AuNC</x:v>
      </x:c>
      <x:c r="O35" s="20" t="str">
        <x:v>Gold precursor; exact SI protocol pending</x:v>
      </x:c>
      <x:c r="P35" s="20" t="str">
        <x:v>Screened peptide synthesis</x:v>
      </x:c>
      <x:c r="Q35" s="20"/>
      <x:c r="R35" s="20"/>
      <x:c r="S35" s="20"/>
      <x:c r="T35" s="20"/>
      <x:c r="U35" s="20" t="str">
        <x:v>Exact synthesis conditions in Supporting Information</x:v>
      </x:c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str">
        <x:v>Protein/serum discrimination</x:v>
      </x:c>
      <x:c r="AF35" s="20" t="str">
        <x:v>CMMMMM-AuNC fluorescence intensity was 230% higher than CYYYYY comparator; &gt;90% fluorescence remained after 60 min UV vs &lt;30% for CYYYYY.</x:v>
      </x:c>
      <x:c r="AG35" s="20" t="str">
        <x:v>Analytical Chemistry abstract</x:v>
      </x:c>
      <x:c r="AH35" s="20" t="str">
        <x:v>https://doi.org/10.1021/acs.analchem.9b03463</x:v>
      </x:c>
      <x:c r="AI35" s="24" t="n">
        <x:f>ROUND(100*COUNTA(G35,J35,L35,R35,S35,T35,V35,X35,AA35,AC35)/10,0)</x:f>
        <x:v>10</x:v>
      </x:c>
      <x:c r="AJ35" s="20" t="str">
        <x:v>QC_HOLD</x:v>
      </x:c>
      <x:c r="AK35" s="20" t="str">
        <x:v>EXACT_FROM_PRIMARY</x:v>
      </x:c>
      <x:c r="AL35" s="20" t="str">
        <x:v>Strong sequence-effect pair, but exact synthesis variables must be extracted before training.</x:v>
      </x:c>
      <x:c r="AM35" s="20" t="str">
        <x:v>2026-09-07</x:v>
      </x:c>
      <x:c r="AN35" s="20" t="str">
        <x:v>WEB_PRIMARY</x:v>
      </x:c>
    </x:row>
    <x:row r="36" ht="18" customHeight="1">
      <x:c r="A36" s="20" t="str">
        <x:v>R033</x:v>
      </x:c>
      <x:c r="B36" s="20" t="str">
        <x:v>W09</x:v>
      </x:c>
      <x:c r="C36" s="20" t="str">
        <x:v>A2 DIRECT_PEPTIDE_NONPRECISE_AUNC</x:v>
      </x:c>
      <x:c r="D36" s="20" t="str">
        <x:v>DIRECT</x:v>
      </x:c>
      <x:c r="E36" s="20" t="str">
        <x:v>ultrasmall_AuNC_unknown_nuclearity</x:v>
      </x:c>
      <x:c r="F36" s="20" t="str">
        <x:v>CYYYYY comparator</x:v>
      </x:c>
      <x:c r="G36" s="20" t="str">
        <x:v>CYYYYY</x:v>
      </x:c>
      <x:c r="H36" s="20" t="str">
        <x:v>L</x:v>
      </x:c>
      <x:c r="I36" s="20" t="str">
        <x:v>None</x:v>
      </x:c>
      <x:c r="J36" s="20"/>
      <x:c r="K36" s="20"/>
      <x:c r="L36" s="20"/>
      <x:c r="M36" s="20"/>
      <x:c r="N36" s="20" t="str">
        <x:v>Comparator peptide-coated AuNC</x:v>
      </x:c>
      <x:c r="O36" s="20" t="str">
        <x:v>Gold precursor; exact SI protocol pending</x:v>
      </x:c>
      <x:c r="P36" s="20" t="str">
        <x:v>Comparator peptide synthesis</x:v>
      </x:c>
      <x:c r="Q36" s="20"/>
      <x:c r="R36" s="20"/>
      <x:c r="S36" s="20"/>
      <x:c r="T36" s="20"/>
      <x:c r="U36" s="20" t="str">
        <x:v>Exact synthesis conditions in Supporting Information</x:v>
      </x:c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 t="str">
        <x:v>Comparator for fluorescence/stability</x:v>
      </x:c>
      <x:c r="AF36" s="20" t="str">
        <x:v>Matched comparator to CMMMMM; lower fluorescence and markedly poorer UV photostability.</x:v>
      </x:c>
      <x:c r="AG36" s="20" t="str">
        <x:v>Analytical Chemistry abstract</x:v>
      </x:c>
      <x:c r="AH36" s="20" t="str">
        <x:v>https://doi.org/10.1021/acs.analchem.9b03463</x:v>
      </x:c>
      <x:c r="AI36" s="24" t="n">
        <x:f>ROUND(100*COUNTA(G36,J36,L36,R36,S36,T36,V36,X36,AA36,AC36)/10,0)</x:f>
        <x:v>10</x:v>
      </x:c>
      <x:c r="AJ36" s="20" t="str">
        <x:v>QC_HOLD</x:v>
      </x:c>
      <x:c r="AK36" s="20" t="str">
        <x:v>EXACT_FROM_PRIMARY</x:v>
      </x:c>
      <x:c r="AL36" s="20" t="str">
        <x:v>Paired comparator is highly informative once SI synthesis variables are obtained.</x:v>
      </x:c>
      <x:c r="AM36" s="20" t="str">
        <x:v>2026-09-07</x:v>
      </x:c>
      <x:c r="AN36" s="20" t="str">
        <x:v>WEB_PRIMARY</x:v>
      </x:c>
    </x:row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conditionalFormatting sqref="AI4:AI3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J4:AJ36">
    <x:cfRule type="expression" dxfId="1" priority="2">
      <x:formula>LEFT(AJ4,5)="TRAIN"</x:formula>
    </x:cfRule>
    <x:cfRule type="expression" dxfId="2" priority="3">
      <x:formula>AJ4="QC_HOLD"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24dbc5ec6b43f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70" hidden="0" customWidth="1"/>
    <x:col min="4" max="4" width="32" hidden="0" customWidth="1"/>
    <x:col min="5" max="5" width="44" hidden="0" customWidth="1"/>
    <x:col min="6" max="6" width="34" hidden="0" customWidth="1"/>
    <x:col min="7" max="7" width="42" hidden="0" customWidth="1"/>
    <x:col min="8" max="8" width="20" hidden="0" customWidth="1"/>
    <x:col min="9" max="9" width="40" hidden="0" customWidth="1"/>
    <x:col min="10" max="10" width="36" hidden="0" customWidth="1"/>
    <x:col min="11" max="11" width="10" hidden="0" customWidth="1"/>
    <x:col min="12" max="12" width="30" hidden="0" customWidth="1"/>
  </x:cols>
  <x:sheetData>
    <x:row r="1" ht="28" customHeight="1">
      <x:c r="A1" s="30" t="str">
        <x:v>PepAuDB v0.2 — Web-Researched Primary Literature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 ht="18" customHeight="1"/>
    <x:row r="3" ht="32" customHeight="1">
      <x:c r="A3" s="35" t="str">
        <x:v>Source_Key</x:v>
      </x:c>
      <x:c r="B3" s="35" t="str">
        <x:v>Year</x:v>
      </x:c>
      <x:c r="C3" s="35" t="str">
        <x:v>Paper</x:v>
      </x:c>
      <x:c r="D3" s="35" t="str">
        <x:v>Journal</x:v>
      </x:c>
      <x:c r="E3" s="35" t="str">
        <x:v>DOI_URL</x:v>
      </x:c>
      <x:c r="F3" s="35" t="str">
        <x:v>Evidence_Role</x:v>
      </x:c>
      <x:c r="G3" s="35" t="str">
        <x:v>Exact_Peptide_Data</x:v>
      </x:c>
      <x:c r="H3" s="35" t="str">
        <x:v>Atomic_Nuclearity</x:v>
      </x:c>
      <x:c r="I3" s="35" t="str">
        <x:v>Synthesis_Data_Status</x:v>
      </x:c>
      <x:c r="J3" s="35" t="str">
        <x:v>Current_Use</x:v>
      </x:c>
      <x:c r="K3" s="35" t="str">
        <x:v>Priority</x:v>
      </x:c>
      <x:c r="L3" s="35" t="str">
        <x:v>Acquisition_Status</x:v>
      </x:c>
    </x:row>
    <x:row r="4" ht="18" customHeight="1">
      <x:c r="A4" s="20" t="str">
        <x:v>W01</x:v>
      </x:c>
      <x:c r="B4" s="20" t="n">
        <x:v>2020</x:v>
      </x:c>
      <x:c r="C4" s="20" t="str">
        <x:v>Polypeptide-Templated Au Nanoclusters with Red and Blue Fluorescence Emissions for Multimodal Imaging of Cell Nuclei</x:v>
      </x:c>
      <x:c r="D4" s="20" t="str">
        <x:v>ACS Applied Bio Materials</x:v>
      </x:c>
      <x:c r="E4" s="20" t="str">
        <x:v>https://doi.org/10.1021/acsabm.9b01078</x:v>
      </x:c>
      <x:c r="F4" s="20" t="str">
        <x:v>Direct peptide-templated AuNC</x:v>
      </x:c>
      <x:c r="G4" s="20" t="str">
        <x:v>CCYGGPKKKRKVG</x:v>
      </x:c>
      <x:c r="H4" s="20" t="str">
        <x:v>Not in abstract</x:v>
      </x:c>
      <x:c r="I4" s="20" t="str">
        <x:v>Optimization variables known; exact values still needed</x:v>
      </x:c>
      <x:c r="J4" s="20" t="str">
        <x:v>Paired same-sequence optical outcome records</x:v>
      </x:c>
      <x:c r="K4" s="20" t="str">
        <x:v>P0</x:v>
      </x:c>
      <x:c r="L4" s="20" t="str">
        <x:v>PARTIAL — acquire full main text/SI</x:v>
      </x:c>
    </x:row>
    <x:row r="5" ht="18" customHeight="1">
      <x:c r="A5" s="20" t="str">
        <x:v>W02</x:v>
      </x:c>
      <x:c r="B5" s="20" t="n">
        <x:v>2013</x:v>
      </x:c>
      <x:c r="C5" s="20" t="str">
        <x:v>One-pot synthesis of Gd3+-functionalized gold nanoclusters for dual-mode fluorescence/MR imaging</x:v>
      </x:c>
      <x:c r="D5" s="20" t="str">
        <x:v>Journal of Materials Chemistry B</x:v>
      </x:c>
      <x:c r="E5" s="20" t="str">
        <x:v>https://doi.org/10.1039/C3TB20440E</x:v>
      </x:c>
      <x:c r="F5" s="20" t="str">
        <x:v>Direct cyclic-peptide AuNC</x:v>
      </x:c>
      <x:c r="G5" s="20" t="str">
        <x:v>Cyclodecapeptide; exact sequence pending</x:v>
      </x:c>
      <x:c r="H5" s="20" t="str">
        <x:v>Not recovered</x:v>
      </x:c>
      <x:c r="I5" s="20" t="str">
        <x:v>SI synthesis extracted</x:v>
      </x:c>
      <x:c r="J5" s="20" t="str">
        <x:v>Synthesis-context record; sequence on QC hold</x:v>
      </x:c>
      <x:c r="K5" s="20" t="str">
        <x:v>P0</x:v>
      </x:c>
      <x:c r="L5" s="20" t="str">
        <x:v>PARTIAL — sequence structure needs recovery</x:v>
      </x:c>
    </x:row>
    <x:row r="6" ht="18" customHeight="1">
      <x:c r="A6" s="20" t="str">
        <x:v>W03</x:v>
      </x:c>
      <x:c r="B6" s="20" t="n">
        <x:v>2016</x:v>
      </x:c>
      <x:c r="C6" s="20" t="str">
        <x:v>One-step synthesis of peptide conjugated gold nanoclusters for high-expression FGFR2 targeting and imaging</x:v>
      </x:c>
      <x:c r="D6" s="20" t="str">
        <x:v>RSC Advances</x:v>
      </x:c>
      <x:c r="E6" s="20" t="str">
        <x:v>https://doi.org/10.1039/C5RA20113F</x:v>
      </x:c>
      <x:c r="F6" s="20" t="str">
        <x:v>Direct atomic peptide-AuNC</x:v>
      </x:c>
      <x:c r="G6" s="20" t="str">
        <x:v>CCYLQLQAEER-NH2</x:v>
      </x:c>
      <x:c r="H6" s="20" t="str">
        <x:v>Au21</x:v>
      </x:c>
      <x:c r="I6" s="20" t="str">
        <x:v>Main-text synthesis and optimization extracted</x:v>
      </x:c>
      <x:c r="J6" s="20" t="str">
        <x:v>TRAIN_CORE atomic record</x:v>
      </x:c>
      <x:c r="K6" s="20" t="str">
        <x:v>P0</x:v>
      </x:c>
      <x:c r="L6" s="20" t="str">
        <x:v>ACQUIRED FROM FULL HTML</x:v>
      </x:c>
    </x:row>
    <x:row r="7" ht="18" customHeight="1">
      <x:c r="A7" s="20" t="str">
        <x:v>W04</x:v>
      </x:c>
      <x:c r="B7" s="20" t="n">
        <x:v>2018</x:v>
      </x:c>
      <x:c r="C7" s="20" t="str">
        <x:v>Peptide-Templated Gold Clusters as Enzyme-Like Catalyst Boost Intracellular Oxidative Pressure and Induce Tumor-Specific Cell Apoptosis</x:v>
      </x:c>
      <x:c r="D7" s="20" t="str">
        <x:v>Nanomaterials</x:v>
      </x:c>
      <x:c r="E7" s="20" t="str">
        <x:v>https://doi.org/10.3390/nano8121040</x:v>
      </x:c>
      <x:c r="F7" s="20" t="str">
        <x:v>Direct atomic peptide-AuNC</x:v>
      </x:c>
      <x:c r="G7" s="20" t="str">
        <x:v>Primary text contains conflicting sequences</x:v>
      </x:c>
      <x:c r="H7" s="20" t="str">
        <x:v>Au7Peptide5 inferred</x:v>
      </x:c>
      <x:c r="I7" s="20" t="str">
        <x:v>Full synthesis extracted</x:v>
      </x:c>
      <x:c r="J7" s="20" t="str">
        <x:v>Atomic record held for sequence QC</x:v>
      </x:c>
      <x:c r="K7" s="20" t="str">
        <x:v>P0</x:v>
      </x:c>
      <x:c r="L7" s="20" t="str">
        <x:v>ACQUIRED — sequence conflict unresolved</x:v>
      </x:c>
    </x:row>
    <x:row r="8" ht="18" customHeight="1">
      <x:c r="A8" s="20" t="str">
        <x:v>W05</x:v>
      </x:c>
      <x:c r="B8" s="20" t="n">
        <x:v>2017</x:v>
      </x:c>
      <x:c r="C8" s="20" t="str">
        <x:v>Au nanoclusters suppress chronic lymphocytic leukaemia cells by inhibiting thioredoxin reductase 1</x:v>
      </x:c>
      <x:c r="D8" s="20" t="str">
        <x:v>Science Bulletin</x:v>
      </x:c>
      <x:c r="E8" s="20" t="str">
        <x:v>https://doi.org/10.1016/j.scib.2017.03.024</x:v>
      </x:c>
      <x:c r="F8" s="20" t="str">
        <x:v>Direct atomic peptide-AuNC cancer therapy</x:v>
      </x:c>
      <x:c r="G8" s="20" t="str">
        <x:v>CCYGGPKKKRKPG</x:v>
      </x:c>
      <x:c r="H8" s="20" t="str">
        <x:v>Au25Sv9</x:v>
      </x:c>
      <x:c r="I8" s="20" t="str">
        <x:v>Protocol only partially recovered</x:v>
      </x:c>
      <x:c r="J8" s="20" t="str">
        <x:v>TRAIN_STRUCTURE_ONLY</x:v>
      </x:c>
      <x:c r="K8" s="20" t="str">
        <x:v>P0</x:v>
      </x:c>
      <x:c r="L8" s="20" t="str">
        <x:v>PARTIAL — obtain full primary PDF</x:v>
      </x:c>
    </x:row>
    <x:row r="9" ht="18" customHeight="1">
      <x:c r="A9" s="20" t="str">
        <x:v>W06</x:v>
      </x:c>
      <x:c r="B9" s="20" t="n">
        <x:v>2023</x:v>
      </x:c>
      <x:c r="C9" s="20" t="str">
        <x:v>An Oligopeptide-Protected Ultrasmall Gold Nanocluster with Peroxidase-Mimicking and Cellular-Imaging Capacities</x:v>
      </x:c>
      <x:c r="D9" s="20" t="str">
        <x:v>Molecules</x:v>
      </x:c>
      <x:c r="E9" s="20" t="str">
        <x:v>https://doi.org/10.3390/molecules28010070</x:v>
      </x:c>
      <x:c r="F9" s="20" t="str">
        <x:v>Direct peptide-AuNC</x:v>
      </x:c>
      <x:c r="G9" s="20" t="str">
        <x:v>DGEAGC</x:v>
      </x:c>
      <x:c r="H9" s="20" t="str">
        <x:v>Unknown</x:v>
      </x:c>
      <x:c r="I9" s="20" t="str">
        <x:v>Full synthesis extracted</x:v>
      </x:c>
      <x:c r="J9" s="20" t="str">
        <x:v>TRAIN_OPTICAL_SIZE</x:v>
      </x:c>
      <x:c r="K9" s="20" t="str">
        <x:v>P1</x:v>
      </x:c>
      <x:c r="L9" s="20" t="str">
        <x:v>ACQUIRED OPEN ACCESS</x:v>
      </x:c>
    </x:row>
    <x:row r="10" ht="18" customHeight="1">
      <x:c r="A10" s="20" t="str">
        <x:v>W07</x:v>
      </x:c>
      <x:c r="B10" s="20" t="n">
        <x:v>2015</x:v>
      </x:c>
      <x:c r="C10" s="20" t="str">
        <x:v>Rapid Synthesis of Cyclic RGD Conjugated Gold Nanoclusters for Targeting and Fluorescence Imaging of Melanoma A375 Cells</x:v>
      </x:c>
      <x:c r="D10" s="20" t="str">
        <x:v>Bioconjugate Chemistry</x:v>
      </x:c>
      <x:c r="E10" s="20" t="str">
        <x:v>https://doi.org/10.1021/bc500505c</x:v>
      </x:c>
      <x:c r="F10" s="20" t="str">
        <x:v>Direct cyclic-peptide AuNC</x:v>
      </x:c>
      <x:c r="G10" s="20" t="str">
        <x:v>c(RGD) family; exact SI identity pending</x:v>
      </x:c>
      <x:c r="H10" s="20" t="str">
        <x:v>Unknown</x:v>
      </x:c>
      <x:c r="I10" s="20" t="str">
        <x:v>15 min RT alkaline synthesis known</x:v>
      </x:c>
      <x:c r="J10" s="20" t="str">
        <x:v>QC_HOLD until SI</x:v>
      </x:c>
      <x:c r="K10" s="20" t="str">
        <x:v>P1</x:v>
      </x:c>
      <x:c r="L10" s="20" t="str">
        <x:v>PARTIAL — SI/full text needed</x:v>
      </x:c>
    </x:row>
    <x:row r="11" ht="18" customHeight="1">
      <x:c r="A11" s="20" t="str">
        <x:v>W08</x:v>
      </x:c>
      <x:c r="B11" s="20" t="n">
        <x:v>2022</x:v>
      </x:c>
      <x:c r="C11" s="20" t="str">
        <x:v>AuNCs-LHRHa nano-system for FL/CT dual-mode imaging and photothermal therapy of targeted prostate cancer</x:v>
      </x:c>
      <x:c r="D11" s="20" t="str">
        <x:v>Journal of Materials Chemistry B</x:v>
      </x:c>
      <x:c r="E11" s="20" t="str">
        <x:v>https://doi.org/10.1039/D2TB00531J</x:v>
      </x:c>
      <x:c r="F11" s="20" t="str">
        <x:v>Peptide-functionalized AuNC PTT</x:v>
      </x:c>
      <x:c r="G11" s="20" t="str">
        <x:v>LHRH analogue; exact sequence pending</x:v>
      </x:c>
      <x:c r="H11" s="20" t="str">
        <x:v>Unknown</x:v>
      </x:c>
      <x:c r="I11" s="20" t="str">
        <x:v>PTT details incomplete</x:v>
      </x:c>
      <x:c r="J11" s="20" t="str">
        <x:v>PTT BENCHMARK_ONLY</x:v>
      </x:c>
      <x:c r="K11" s="20" t="str">
        <x:v>P0</x:v>
      </x:c>
      <x:c r="L11" s="20" t="str">
        <x:v>PARTIAL — full text needed</x:v>
      </x:c>
    </x:row>
    <x:row r="12" ht="18" customHeight="1">
      <x:c r="A12" s="20" t="str">
        <x:v>W09</x:v>
      </x:c>
      <x:c r="B12" s="20" t="n">
        <x:v>2019</x:v>
      </x:c>
      <x:c r="C12" s="20" t="str">
        <x:v>Ultrahighly Efficient and Stable Fluorescent Gold Nanoclusters Coated with Screened Peptides of Unique Sequences</x:v>
      </x:c>
      <x:c r="D12" s="20" t="str">
        <x:v>Analytical Chemistry</x:v>
      </x:c>
      <x:c r="E12" s="20" t="str">
        <x:v>https://doi.org/10.1021/acs.analchem.9b03463</x:v>
      </x:c>
      <x:c r="F12" s="20" t="str">
        <x:v>Direct peptide sequence comparison</x:v>
      </x:c>
      <x:c r="G12" s="20" t="str">
        <x:v>CMMMMM vs CYYYYY</x:v>
      </x:c>
      <x:c r="H12" s="20" t="str">
        <x:v>Unknown</x:v>
      </x:c>
      <x:c r="I12" s="20" t="str">
        <x:v>SI protocol still needed</x:v>
      </x:c>
      <x:c r="J12" s="20" t="str">
        <x:v>High-value paired sequence effect</x:v>
      </x:c>
      <x:c r="K12" s="20" t="str">
        <x:v>P0</x:v>
      </x:c>
      <x:c r="L12" s="20" t="str">
        <x:v>PARTIAL — SI needed</x:v>
      </x:c>
    </x:row>
    <x:row r="13" ht="18" customHeight="1">
      <x:c r="A13" s="20" t="str">
        <x:v>W10</x:v>
      </x:c>
      <x:c r="B13" s="20" t="n">
        <x:v>2022</x:v>
      </x:c>
      <x:c r="C13" s="20" t="str">
        <x:v>Real-time fluorescence dynamics in one-step synthesis of gold nanoclusters coupling with peptide motifs</x:v>
      </x:c>
      <x:c r="D13" s="20" t="str">
        <x:v>Colloids and Surfaces B: Biointerfaces</x:v>
      </x:c>
      <x:c r="E13" s="20" t="str">
        <x:v>https://doi.org/10.1016/j.colsurfb.2022.112820</x:v>
      </x:c>
      <x:c r="F13" s="20" t="str">
        <x:v>Direct multi-sequence peptide library</x:v>
      </x:c>
      <x:c r="G13" s="20" t="str">
        <x:v>7 explicit designed peptide sequences</x:v>
      </x:c>
      <x:c r="H13" s="20" t="str">
        <x:v>Unknown</x:v>
      </x:c>
      <x:c r="I13" s="20" t="str">
        <x:v>Full protocol/outcome mapping needed</x:v>
      </x:c>
      <x:c r="J13" s="20" t="str">
        <x:v>Highest-value sequence-panel acquisition</x:v>
      </x:c>
      <x:c r="K13" s="20" t="str">
        <x:v>P0</x:v>
      </x:c>
      <x:c r="L13" s="20" t="str">
        <x:v>TO ACQUIRE FULL TEXT</x:v>
      </x:c>
    </x:row>
    <x:row r="14" ht="18" customHeight="1">
      <x:c r="A14" s="20" t="str">
        <x:v>W11</x:v>
      </x:c>
      <x:c r="B14" s="20" t="n">
        <x:v>2025</x:v>
      </x:c>
      <x:c r="C14" s="20" t="str">
        <x:v>Molecular engineering of gold nanocluster properties via peptide ligand charge state and topological modulation</x:v>
      </x:c>
      <x:c r="D14" s="20" t="str">
        <x:v>Nanoscale Advances</x:v>
      </x:c>
      <x:c r="E14" s="20" t="str">
        <x:v>https://doi.org/10.1039/D5NA00324E</x:v>
      </x:c>
      <x:c r="F14" s="20" t="str">
        <x:v>Theory / TD-DFT</x:v>
      </x:c>
      <x:c r="G14" s="20" t="str">
        <x:v>CMM,CYY,CLL,CFF,CWW,CAA,CKK + topology/charge variants</x:v>
      </x:c>
      <x:c r="H14" s="20" t="str">
        <x:v>Model Au10(SR)8</x:v>
      </x:c>
      <x:c r="I14" s="20" t="str">
        <x:v>Computational study</x:v>
      </x:c>
      <x:c r="J14" s="20" t="str">
        <x:v>THEORY_ONLY / feature design</x:v>
      </x:c>
      <x:c r="K14" s="20" t="str">
        <x:v>P1</x:v>
      </x:c>
      <x:c r="L14" s="20" t="str">
        <x:v>OPEN ACCESS THEORY</x:v>
      </x:c>
    </x:row>
    <x:row r="15" ht="18" customHeight="1">
      <x:c r="A15" s="20" t="str">
        <x:v>W12</x:v>
      </x:c>
      <x:c r="B15" s="20" t="n">
        <x:v>2026</x:v>
      </x:c>
      <x:c r="C15" s="20" t="str">
        <x:v>Peptide-Coupled Gold Nanoclusters: Syntheses, Properties, and Bioapplications</x:v>
      </x:c>
      <x:c r="D15" s="20" t="str">
        <x:v>Rare Metals</x:v>
      </x:c>
      <x:c r="E15" s="20" t="str">
        <x:v>https://doi.org/10.1002/rar2.70267</x:v>
      </x:c>
      <x:c r="F15" s="20" t="str">
        <x:v>2026 review / literature map</x:v>
      </x:c>
      <x:c r="G15" s="20" t="str">
        <x:v>Multiple peptide families</x:v>
      </x:c>
      <x:c r="H15" s="20" t="str">
        <x:v>Review</x:v>
      </x:c>
      <x:c r="I15" s="20" t="str">
        <x:v>Review</x:v>
      </x:c>
      <x:c r="J15" s="20" t="str">
        <x:v>Reference mining + project rationale</x:v>
      </x:c>
      <x:c r="K15" s="20" t="str">
        <x:v>P0</x:v>
      </x:c>
      <x:c r="L15" s="20" t="str">
        <x:v>OPEN ACCESS REVIEW</x:v>
      </x:c>
    </x:row>
    <x:row r="16" ht="18" customHeight="1">
      <x:c r="A16" s="20" t="str">
        <x:v>W13</x:v>
      </x:c>
      <x:c r="B16" s="20" t="n">
        <x:v>2026</x:v>
      </x:c>
      <x:c r="C16" s="20" t="str">
        <x:v>Peptide and Drug-Protected Gold Nanoclusters as Promising Biomaterials: Synthesis, Properties, and Applications</x:v>
      </x:c>
      <x:c r="D16" s="20" t="str">
        <x:v>Aggregate</x:v>
      </x:c>
      <x:c r="E16" s="20" t="str">
        <x:v>https://doi.org/10.1002/agt2.70269</x:v>
      </x:c>
      <x:c r="F16" s="20" t="str">
        <x:v>2026 review / atomic peptide-AuNC map</x:v>
      </x:c>
      <x:c r="G16" s="20" t="str">
        <x:v>Extensive sequence table</x:v>
      </x:c>
      <x:c r="H16" s="20" t="str">
        <x:v>Review</x:v>
      </x:c>
      <x:c r="I16" s="20" t="str">
        <x:v>Review</x:v>
      </x:c>
      <x:c r="J16" s="20" t="str">
        <x:v>Sequence library + primary-paper mining</x:v>
      </x:c>
      <x:c r="K16" s="20" t="str">
        <x:v>P0</x:v>
      </x:c>
      <x:c r="L16" s="20" t="str">
        <x:v>OPEN ACCESS REVIEW</x:v>
      </x:c>
    </x:row>
    <x:row r="17" ht="18" customHeight="1">
      <x:c r="A17" s="20" t="str">
        <x:v>W14</x:v>
      </x:c>
      <x:c r="B17" s="20" t="n">
        <x:v>2005</x:v>
      </x:c>
      <x:c r="C17" s="20" t="str">
        <x:v>Large-scale synthesis of thiolated Au25 clusters via ligand exchange reactions of phosphine-stabilized Au11 clusters</x:v>
      </x:c>
      <x:c r="D17" s="20" t="str">
        <x:v>JACS</x:v>
      </x:c>
      <x:c r="E17" s="20" t="str">
        <x:v>https://doi.org/10.1021/ja053915s</x:v>
      </x:c>
      <x:c r="F17" s="20" t="str">
        <x:v>Canonical Au25(GSH) synthesis</x:v>
      </x:c>
      <x:c r="G17" s="20" t="str">
        <x:v>GSH</x:v>
      </x:c>
      <x:c r="H17" s="20" t="str">
        <x:v>Au25(SG)18</x:v>
      </x:c>
      <x:c r="I17" s="20" t="str">
        <x:v>Abstract/review route known; SI needed</x:v>
      </x:c>
      <x:c r="J17" s="20" t="str">
        <x:v>Synthesis-mechanism reference</x:v>
      </x:c>
      <x:c r="K17" s="20" t="str">
        <x:v>P1</x:v>
      </x:c>
      <x:c r="L17" s="20" t="str">
        <x:v>TO ACQUIRE SI</x:v>
      </x:c>
    </x:row>
    <x:row r="18" ht="18" customHeight="1">
      <x:c r="A18" s="20" t="str">
        <x:v>W15</x:v>
      </x:c>
      <x:c r="B18" s="20" t="n">
        <x:v>2015</x:v>
      </x:c>
      <x:c r="C18" s="20" t="str">
        <x:v>Green synthesis of peptide-templated gold nanoclusters as fluorescence probes for protein kinase activity</x:v>
      </x:c>
      <x:c r="D18" s="20" t="str">
        <x:v>Chemical Communications</x:v>
      </x:c>
      <x:c r="E18" s="20" t="str">
        <x:v>https://doi.org/10.1039/C5CC02280K</x:v>
      </x:c>
      <x:c r="F18" s="20" t="str">
        <x:v>Direct peptide-templated AuNC</x:v>
      </x:c>
      <x:c r="G18" s="20" t="str">
        <x:v>Sequence in SI</x:v>
      </x:c>
      <x:c r="H18" s="20" t="str">
        <x:v>Unknown</x:v>
      </x:c>
      <x:c r="I18" s="20" t="str">
        <x:v>SI available but not yet extracted</x:v>
      </x:c>
      <x:c r="J18" s="20" t="str">
        <x:v>Potential direct training data</x:v>
      </x:c>
      <x:c r="K18" s="20" t="str">
        <x:v>P1</x:v>
      </x:c>
      <x:c r="L18" s="20" t="str">
        <x:v>TO EXTRACT SI</x:v>
      </x:c>
    </x:row>
    <x:row r="19" ht="18" customHeight="1">
      <x:c r="A19" s="20" t="str">
        <x:v>W16</x:v>
      </x:c>
      <x:c r="B19" s="20" t="n">
        <x:v>2023</x:v>
      </x:c>
      <x:c r="C19" s="20" t="str">
        <x:v>Engineering of Tripeptide-Stabilized Gold Nanoclusters with Inherent Photosensitizing Property for Bioimaging and Photodynamic Therapy</x:v>
      </x:c>
      <x:c r="D19" s="20" t="str">
        <x:v>ACS Sustainable Chemistry &amp; Engineering</x:v>
      </x:c>
      <x:c r="E19" s="20" t="str">
        <x:v>https://doi.org/10.1021/acssuschemeng.2c04857</x:v>
      </x:c>
      <x:c r="F19" s="20" t="str">
        <x:v>Direct short-peptide therapeutic AuNC</x:v>
      </x:c>
      <x:c r="G19" s="20" t="str">
        <x:v>Tripeptide variants; primary extraction needed</x:v>
      </x:c>
      <x:c r="H19" s="20" t="str">
        <x:v>Unknown</x:v>
      </x:c>
      <x:c r="I19" s="20" t="str">
        <x:v>Not yet extracted</x:v>
      </x:c>
      <x:c r="J19" s="20" t="str">
        <x:v>Therapy-property expansion</x:v>
      </x:c>
      <x:c r="K19" s="20" t="str">
        <x:v>P1</x:v>
      </x:c>
      <x:c r="L19" s="20" t="str">
        <x:v>TO ACQUIRE/EXTRACT</x:v>
      </x:c>
    </x:row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L1"/>
  </x:mergeCells>
  <x:conditionalFormatting sqref="K4:K19">
    <x:cfRule type="expression" dxfId="3" priority="1">
      <x:formula>K4="P0"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e3da03f9614dc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28" hidden="0" customWidth="1"/>
    <x:col min="5" max="5" width="46" hidden="0" customWidth="1"/>
    <x:col min="6" max="6" width="10" hidden="0" customWidth="1"/>
    <x:col min="7" max="7" width="10" hidden="0" customWidth="1"/>
    <x:col min="8" max="8" width="12" hidden="0" customWidth="1"/>
    <x:col min="9" max="9" width="26" hidden="0" customWidth="1"/>
    <x:col min="10" max="10" width="62" hidden="0" customWidth="1"/>
  </x:cols>
  <x:sheetData>
    <x:row r="1" ht="28" customHeight="1">
      <x:c r="A1" s="30" t="str">
        <x:v>Peptide Sequence Library — Exact, Partial, Review-Derived and Theory Candidates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18" customHeight="1"/>
    <x:row r="3" ht="32" customHeight="1">
      <x:c r="A3" s="35" t="str">
        <x:v>Seq_ID</x:v>
      </x:c>
      <x:c r="B3" s="35" t="str">
        <x:v>Sequence</x:v>
      </x:c>
      <x:c r="C3" s="35" t="str">
        <x:v>Source_Key</x:v>
      </x:c>
      <x:c r="D3" s="35" t="str">
        <x:v>Source_Evidence</x:v>
      </x:c>
      <x:c r="E3" s="35" t="str">
        <x:v>Role_or_Motif</x:v>
      </x:c>
      <x:c r="F3" s="35" t="str">
        <x:v>Ex_nm</x:v>
      </x:c>
      <x:c r="G3" s="35" t="str">
        <x:v>Em_nm</x:v>
      </x:c>
      <x:c r="H3" s="35" t="str">
        <x:v>PLQY_pct</x:v>
      </x:c>
      <x:c r="I3" s="35" t="str">
        <x:v>Training_Status</x:v>
      </x:c>
      <x:c r="J3" s="35" t="str">
        <x:v>Notes</x:v>
      </x:c>
    </x:row>
    <x:row r="4" ht="18" customHeight="1">
      <x:c r="A4" s="20" t="str">
        <x:v>Q001</x:v>
      </x:c>
      <x:c r="B4" s="20" t="str">
        <x:v>γ-ECG</x:v>
      </x:c>
      <x:c r="C4" s="20" t="str">
        <x:v>S14/S10</x:v>
      </x:c>
      <x:c r="D4" s="20" t="str">
        <x:v>UPLOADED PRIMARY</x:v>
      </x:c>
      <x:c r="E4" s="20" t="str">
        <x:v>Glutathione; thiol-rich atomic AuNC ligand</x:v>
      </x:c>
      <x:c r="F4" s="20" t="n">
        <x:v>808</x:v>
      </x:c>
      <x:c r="G4" s="20" t="n">
        <x:v>925</x:v>
      </x:c>
      <x:c r="H4" s="20" t="n">
        <x:v>0.16</x:v>
      </x:c>
      <x:c r="I4" s="20" t="str">
        <x:v>TRAINABLE IN SOURCE CONTEXT</x:v>
      </x:c>
      <x:c r="J4" s="20" t="str">
        <x:v>Au22(SG)18 direct atomic record; other GSH clusters must remain separate by nuclearity/protocol.</x:v>
      </x:c>
    </x:row>
    <x:row r="5" ht="18" customHeight="1">
      <x:c r="A5" s="20" t="str">
        <x:v>Q002</x:v>
      </x:c>
      <x:c r="B5" s="20" t="str">
        <x:v>CCYLQLQAEER</x:v>
      </x:c>
      <x:c r="C5" s="20" t="str">
        <x:v>W03</x:v>
      </x:c>
      <x:c r="D5" s="20" t="str">
        <x:v>WEB PRIMARY</x:v>
      </x:c>
      <x:c r="E5" s="20" t="str">
        <x:v>CCY mineralization + FGFR2-targeting JNP5</x:v>
      </x:c>
      <x:c r="F5" s="20" t="n">
        <x:v>380</x:v>
      </x:c>
      <x:c r="G5" s="20" t="n">
        <x:v>640</x:v>
      </x:c>
      <x:c r="H5" s="20" t="n">
        <x:v>2.86</x:v>
      </x:c>
      <x:c r="I5" s="20" t="str">
        <x:v>TRAIN_CORE</x:v>
      </x:c>
      <x:c r="J5" s="20" t="str">
        <x:v>Au21; one of the strongest current sequence+synthesis+atomic-property records.</x:v>
      </x:c>
    </x:row>
    <x:row r="6" ht="18" customHeight="1">
      <x:c r="A6" s="20" t="str">
        <x:v>Q003</x:v>
      </x:c>
      <x:c r="B6" s="20" t="str">
        <x:v>CCYGGPKKKRKVG</x:v>
      </x:c>
      <x:c r="C6" s="20" t="str">
        <x:v>W01</x:v>
      </x:c>
      <x:c r="D6" s="20" t="str">
        <x:v>WEB PRIMARY</x:v>
      </x:c>
      <x:c r="E6" s="20" t="str">
        <x:v>CCY mineralization + nuclear localization</x:v>
      </x:c>
      <x:c r="F6" s="20" t="n">
        <x:v>320</x:v>
      </x:c>
      <x:c r="G6" s="20" t="n">
        <x:v>405</x:v>
      </x:c>
      <x:c r="H6" s="20"/>
      <x:c r="I6" s="20" t="str">
        <x:v>QC_HOLD</x:v>
      </x:c>
      <x:c r="J6" s="20" t="str">
        <x:v>Same peptide also yields red λex/λem 560/657 under different conditions.</x:v>
      </x:c>
    </x:row>
    <x:row r="7" ht="18" customHeight="1">
      <x:c r="A7" s="20" t="str">
        <x:v>Q004</x:v>
      </x:c>
      <x:c r="B7" s="20" t="str">
        <x:v>CCYGGPKKKRKVG</x:v>
      </x:c>
      <x:c r="C7" s="20" t="str">
        <x:v>W01</x:v>
      </x:c>
      <x:c r="D7" s="20" t="str">
        <x:v>WEB PRIMARY</x:v>
      </x:c>
      <x:c r="E7" s="20" t="str">
        <x:v>Same sequence, alternate synthesis context</x:v>
      </x:c>
      <x:c r="F7" s="20" t="n">
        <x:v>560</x:v>
      </x:c>
      <x:c r="G7" s="20" t="n">
        <x:v>657</x:v>
      </x:c>
      <x:c r="H7" s="20"/>
      <x:c r="I7" s="20" t="str">
        <x:v>QC_HOLD</x:v>
      </x:c>
      <x:c r="J7" s="20" t="str">
        <x:v>Paired condition-dependent optical outcome; exact condition set required.</x:v>
      </x:c>
    </x:row>
    <x:row r="8" ht="18" customHeight="1">
      <x:c r="A8" s="20" t="str">
        <x:v>Q005</x:v>
      </x:c>
      <x:c r="B8" s="20" t="str">
        <x:v>CCYGGPKKKRKPG</x:v>
      </x:c>
      <x:c r="C8" s="20" t="str">
        <x:v>W05</x:v>
      </x:c>
      <x:c r="D8" s="20" t="str">
        <x:v>WEB PRIMARY</x:v>
      </x:c>
      <x:c r="E8" s="20" t="str">
        <x:v>Positively charged Sv cancer-therapeutic peptide</x:v>
      </x:c>
      <x:c r="F8" s="20"/>
      <x:c r="G8" s="20" t="n">
        <x:v>645</x:v>
      </x:c>
      <x:c r="H8" s="20"/>
      <x:c r="I8" s="20" t="str">
        <x:v>TRAIN_STRUCTURE_ONLY</x:v>
      </x:c>
      <x:c r="J8" s="20" t="str">
        <x:v>Au25Sv9. Treat as distinct from CCYGGPKKKRKVG and cluster sequences together during validation.</x:v>
      </x:c>
    </x:row>
    <x:row r="9" ht="18" customHeight="1">
      <x:c r="A9" s="20" t="str">
        <x:v>Q006</x:v>
      </x:c>
      <x:c r="B9" s="20" t="str">
        <x:v>DGEAGC</x:v>
      </x:c>
      <x:c r="C9" s="20" t="str">
        <x:v>W06</x:v>
      </x:c>
      <x:c r="D9" s="20" t="str">
        <x:v>WEB PRIMARY</x:v>
      </x:c>
      <x:c r="E9" s="20" t="str">
        <x:v>Biofunctional DGEA + terminal GC cluster-binding motif</x:v>
      </x:c>
      <x:c r="F9" s="20" t="n">
        <x:v>400</x:v>
      </x:c>
      <x:c r="G9" s="20" t="n">
        <x:v>600</x:v>
      </x:c>
      <x:c r="H9" s="20"/>
      <x:c r="I9" s="20" t="str">
        <x:v>TRAIN_OPTICAL_SIZE</x:v>
      </x:c>
      <x:c r="J9" s="20" t="str">
        <x:v>~1.3 nm; Methods specify DGEAGC despite an intro typo.</x:v>
      </x:c>
    </x:row>
    <x:row r="10" ht="18" customHeight="1">
      <x:c r="A10" s="20" t="str">
        <x:v>Q007</x:v>
      </x:c>
      <x:c r="B10" s="20" t="str">
        <x:v>CMMMMM</x:v>
      </x:c>
      <x:c r="C10" s="20" t="str">
        <x:v>W09</x:v>
      </x:c>
      <x:c r="D10" s="20" t="str">
        <x:v>WEB PRIMARY</x:v>
      </x:c>
      <x:c r="E10" s="20" t="str">
        <x:v>Cys-Met-rich screened fluorescence/stability peptide</x:v>
      </x:c>
      <x:c r="F10" s="20"/>
      <x:c r="G10" s="20"/>
      <x:c r="H10" s="20"/>
      <x:c r="I10" s="20" t="str">
        <x:v>QC_HOLD</x:v>
      </x:c>
      <x:c r="J10" s="20" t="str">
        <x:v>230% fluorescence increase vs CYYYYY; SI synthesis needed.</x:v>
      </x:c>
    </x:row>
    <x:row r="11" ht="18" customHeight="1">
      <x:c r="A11" s="20" t="str">
        <x:v>Q008</x:v>
      </x:c>
      <x:c r="B11" s="20" t="str">
        <x:v>CYYYYY</x:v>
      </x:c>
      <x:c r="C11" s="20" t="str">
        <x:v>W09</x:v>
      </x:c>
      <x:c r="D11" s="20" t="str">
        <x:v>WEB PRIMARY</x:v>
      </x:c>
      <x:c r="E11" s="20" t="str">
        <x:v>Cys-Tyr comparator</x:v>
      </x:c>
      <x:c r="F11" s="20"/>
      <x:c r="G11" s="20"/>
      <x:c r="H11" s="20"/>
      <x:c r="I11" s="20" t="str">
        <x:v>QC_HOLD</x:v>
      </x:c>
      <x:c r="J11" s="20" t="str">
        <x:v>Matched comparator to CMMMMM.</x:v>
      </x:c>
    </x:row>
    <x:row r="12" ht="18" customHeight="1">
      <x:c r="A12" s="20" t="str">
        <x:v>Q009</x:v>
      </x:c>
      <x:c r="B12" s="20" t="str">
        <x:v>KFFAAKCCYKFFAAKCCYKFFAAK</x:v>
      </x:c>
      <x:c r="C12" s="20" t="str">
        <x:v>W10</x:v>
      </x:c>
      <x:c r="D12" s="20" t="str">
        <x:v>ABSTRACT/REVIEW-DERIVED PRIMARY LEAD</x:v>
      </x:c>
      <x:c r="E12" s="20" t="str">
        <x:v>Repeated self-assembly + CCY motifs</x:v>
      </x:c>
      <x:c r="F12" s="20"/>
      <x:c r="G12" s="20"/>
      <x:c r="H12" s="20"/>
      <x:c r="I12" s="20" t="str">
        <x:v>PRIMARY_OUTCOME_NEEDED</x:v>
      </x:c>
      <x:c r="J12" s="20" t="str">
        <x:v>Part of 2022 seven-sequence motif library.</x:v>
      </x:c>
    </x:row>
    <x:row r="13" ht="18" customHeight="1">
      <x:c r="A13" s="20" t="str">
        <x:v>Q010</x:v>
      </x:c>
      <x:c r="B13" s="20" t="str">
        <x:v>CCY</x:v>
      </x:c>
      <x:c r="C13" s="20" t="str">
        <x:v>W10</x:v>
      </x:c>
      <x:c r="D13" s="20" t="str">
        <x:v>ABSTRACT/REVIEW-DERIVED PRIMARY LEAD</x:v>
      </x:c>
      <x:c r="E13" s="20" t="str">
        <x:v>Minimal Au-binding/reducing motif</x:v>
      </x:c>
      <x:c r="F13" s="20"/>
      <x:c r="G13" s="20"/>
      <x:c r="H13" s="20"/>
      <x:c r="I13" s="20" t="str">
        <x:v>PRIMARY_OUTCOME_NEEDED</x:v>
      </x:c>
      <x:c r="J13" s="20" t="str">
        <x:v>Part of 2022 sequence library.</x:v>
      </x:c>
    </x:row>
    <x:row r="14" ht="18" customHeight="1">
      <x:c r="A14" s="20" t="str">
        <x:v>Q011</x:v>
      </x:c>
      <x:c r="B14" s="20" t="str">
        <x:v>KFFAAK</x:v>
      </x:c>
      <x:c r="C14" s="20" t="str">
        <x:v>W10</x:v>
      </x:c>
      <x:c r="D14" s="20" t="str">
        <x:v>ABSTRACT/REVIEW-DERIVED PRIMARY LEAD</x:v>
      </x:c>
      <x:c r="E14" s="20" t="str">
        <x:v>Self-assembly control motif</x:v>
      </x:c>
      <x:c r="F14" s="20"/>
      <x:c r="G14" s="20"/>
      <x:c r="H14" s="20"/>
      <x:c r="I14" s="20" t="str">
        <x:v>PRIMARY_OUTCOME_NEEDED</x:v>
      </x:c>
      <x:c r="J14" s="20" t="str">
        <x:v>Likely negative/control behavior is especially valuable.</x:v>
      </x:c>
    </x:row>
    <x:row r="15" ht="18" customHeight="1">
      <x:c r="A15" s="20" t="str">
        <x:v>Q012</x:v>
      </x:c>
      <x:c r="B15" s="20" t="str">
        <x:v>CCYKFFAAKKFFAAK</x:v>
      </x:c>
      <x:c r="C15" s="20" t="str">
        <x:v>W10</x:v>
      </x:c>
      <x:c r="D15" s="20" t="str">
        <x:v>ABSTRACT/REVIEW-DERIVED PRIMARY LEAD</x:v>
      </x:c>
      <x:c r="E15" s="20" t="str">
        <x:v>CCY + fibril-forming motif</x:v>
      </x:c>
      <x:c r="F15" s="20"/>
      <x:c r="G15" s="20"/>
      <x:c r="H15" s="20"/>
      <x:c r="I15" s="20" t="str">
        <x:v>PRIMARY_OUTCOME_NEEDED</x:v>
      </x:c>
      <x:c r="J15" s="20" t="str">
        <x:v>Acquire full per-sequence outcomes.</x:v>
      </x:c>
    </x:row>
    <x:row r="16" ht="18" customHeight="1">
      <x:c r="A16" s="20" t="str">
        <x:v>Q013</x:v>
      </x:c>
      <x:c r="B16" s="20" t="str">
        <x:v>KFFAAKCCYKFFAAK</x:v>
      </x:c>
      <x:c r="C16" s="20" t="str">
        <x:v>W10</x:v>
      </x:c>
      <x:c r="D16" s="20" t="str">
        <x:v>ABSTRACT/REVIEW-DERIVED PRIMARY LEAD</x:v>
      </x:c>
      <x:c r="E16" s="20" t="str">
        <x:v>Interleaved motif architecture</x:v>
      </x:c>
      <x:c r="F16" s="20"/>
      <x:c r="G16" s="20"/>
      <x:c r="H16" s="20"/>
      <x:c r="I16" s="20" t="str">
        <x:v>PRIMARY_OUTCOME_NEEDED</x:v>
      </x:c>
      <x:c r="J16" s="20" t="str">
        <x:v>Acquire full per-sequence outcomes.</x:v>
      </x:c>
    </x:row>
    <x:row r="17" ht="18" customHeight="1">
      <x:c r="A17" s="20" t="str">
        <x:v>Q014</x:v>
      </x:c>
      <x:c r="B17" s="20" t="str">
        <x:v>CCYKFFAAKYCC</x:v>
      </x:c>
      <x:c r="C17" s="20" t="str">
        <x:v>W10</x:v>
      </x:c>
      <x:c r="D17" s="20" t="str">
        <x:v>ABSTRACT/REVIEW-DERIVED PRIMARY LEAD</x:v>
      </x:c>
      <x:c r="E17" s="20" t="str">
        <x:v>Two Cys-rich termini / motif positioning</x:v>
      </x:c>
      <x:c r="F17" s="20"/>
      <x:c r="G17" s="20"/>
      <x:c r="H17" s="20"/>
      <x:c r="I17" s="20" t="str">
        <x:v>PRIMARY_OUTCOME_NEEDED</x:v>
      </x:c>
      <x:c r="J17" s="20" t="str">
        <x:v>Position-specific design value.</x:v>
      </x:c>
    </x:row>
    <x:row r="18" ht="18" customHeight="1">
      <x:c r="A18" s="20" t="str">
        <x:v>Q015</x:v>
      </x:c>
      <x:c r="B18" s="20" t="str">
        <x:v>CCYKFFAAK</x:v>
      </x:c>
      <x:c r="C18" s="20" t="str">
        <x:v>W10</x:v>
      </x:c>
      <x:c r="D18" s="20" t="str">
        <x:v>ABSTRACT/REVIEW-DERIVED PRIMARY LEAD</x:v>
      </x:c>
      <x:c r="E18" s="20" t="str">
        <x:v>CCY + KFFAAK minimal combined motif</x:v>
      </x:c>
      <x:c r="F18" s="20"/>
      <x:c r="G18" s="20"/>
      <x:c r="H18" s="20"/>
      <x:c r="I18" s="20" t="str">
        <x:v>PRIMARY_OUTCOME_NEEDED</x:v>
      </x:c>
      <x:c r="J18" s="20" t="str">
        <x:v>Acquire full per-sequence outcomes.</x:v>
      </x:c>
    </x:row>
    <x:row r="19" ht="18" customHeight="1">
      <x:c r="A19" s="20" t="str">
        <x:v>Q016</x:v>
      </x:c>
      <x:c r="B19" s="20" t="str">
        <x:v>CMM</x:v>
      </x:c>
      <x:c r="C19" s="20" t="str">
        <x:v>W11</x:v>
      </x:c>
      <x:c r="D19" s="20" t="str">
        <x:v>THEORY</x:v>
      </x:c>
      <x:c r="E19" s="20" t="str">
        <x:v>Met-rich tripeptide</x:v>
      </x:c>
      <x:c r="F19" s="20"/>
      <x:c r="G19" s="20"/>
      <x:c r="H19" s="20"/>
      <x:c r="I19" s="20" t="str">
        <x:v>THEORY_ONLY</x:v>
      </x:c>
      <x:c r="J19" s="20" t="str">
        <x:v>TD-DFT feature prior; do not mix with experimental labels.</x:v>
      </x:c>
    </x:row>
    <x:row r="20" ht="18" customHeight="1">
      <x:c r="A20" s="20" t="str">
        <x:v>Q017</x:v>
      </x:c>
      <x:c r="B20" s="20" t="str">
        <x:v>CYY</x:v>
      </x:c>
      <x:c r="C20" s="20" t="str">
        <x:v>W11</x:v>
      </x:c>
      <x:c r="D20" s="20" t="str">
        <x:v>THEORY</x:v>
      </x:c>
      <x:c r="E20" s="20" t="str">
        <x:v>Tyr-rich tripeptide</x:v>
      </x:c>
      <x:c r="F20" s="20"/>
      <x:c r="G20" s="20"/>
      <x:c r="H20" s="20"/>
      <x:c r="I20" s="20" t="str">
        <x:v>THEORY_ONLY</x:v>
      </x:c>
      <x:c r="J20" s="20" t="str">
        <x:v>Charge state/topology studied computationally.</x:v>
      </x:c>
    </x:row>
    <x:row r="21" ht="18" customHeight="1">
      <x:c r="A21" s="20" t="str">
        <x:v>Q018</x:v>
      </x:c>
      <x:c r="B21" s="20" t="str">
        <x:v>CLL</x:v>
      </x:c>
      <x:c r="C21" s="20" t="str">
        <x:v>W11</x:v>
      </x:c>
      <x:c r="D21" s="20" t="str">
        <x:v>THEORY</x:v>
      </x:c>
      <x:c r="E21" s="20" t="str">
        <x:v>Leu-rich tripeptide</x:v>
      </x:c>
      <x:c r="F21" s="20"/>
      <x:c r="G21" s="20"/>
      <x:c r="H21" s="20"/>
      <x:c r="I21" s="20" t="str">
        <x:v>THEORY_ONLY</x:v>
      </x:c>
      <x:c r="J21" s="20" t="str">
        <x:v>Theory prior.</x:v>
      </x:c>
    </x:row>
    <x:row r="22" ht="18" customHeight="1">
      <x:c r="A22" s="20" t="str">
        <x:v>Q019</x:v>
      </x:c>
      <x:c r="B22" s="20" t="str">
        <x:v>CFF</x:v>
      </x:c>
      <x:c r="C22" s="20" t="str">
        <x:v>W11</x:v>
      </x:c>
      <x:c r="D22" s="20" t="str">
        <x:v>THEORY</x:v>
      </x:c>
      <x:c r="E22" s="20" t="str">
        <x:v>Phe-rich tripeptide</x:v>
      </x:c>
      <x:c r="F22" s="20"/>
      <x:c r="G22" s="20"/>
      <x:c r="H22" s="20"/>
      <x:c r="I22" s="20" t="str">
        <x:v>THEORY_ONLY</x:v>
      </x:c>
      <x:c r="J22" s="20" t="str">
        <x:v>Theory prior.</x:v>
      </x:c>
    </x:row>
    <x:row r="23" ht="18" customHeight="1">
      <x:c r="A23" s="20" t="str">
        <x:v>Q020</x:v>
      </x:c>
      <x:c r="B23" s="20" t="str">
        <x:v>CWW</x:v>
      </x:c>
      <x:c r="C23" s="20" t="str">
        <x:v>W11</x:v>
      </x:c>
      <x:c r="D23" s="20" t="str">
        <x:v>THEORY</x:v>
      </x:c>
      <x:c r="E23" s="20" t="str">
        <x:v>Trp-rich tripeptide</x:v>
      </x:c>
      <x:c r="F23" s="20"/>
      <x:c r="G23" s="20"/>
      <x:c r="H23" s="20"/>
      <x:c r="I23" s="20" t="str">
        <x:v>THEORY_ONLY</x:v>
      </x:c>
      <x:c r="J23" s="20" t="str">
        <x:v>Theory prior.</x:v>
      </x:c>
    </x:row>
    <x:row r="24" ht="18" customHeight="1">
      <x:c r="A24" s="20" t="str">
        <x:v>Q021</x:v>
      </x:c>
      <x:c r="B24" s="20" t="str">
        <x:v>CAA</x:v>
      </x:c>
      <x:c r="C24" s="20" t="str">
        <x:v>W11</x:v>
      </x:c>
      <x:c r="D24" s="20" t="str">
        <x:v>THEORY</x:v>
      </x:c>
      <x:c r="E24" s="20" t="str">
        <x:v>Ala-rich tripeptide</x:v>
      </x:c>
      <x:c r="F24" s="20"/>
      <x:c r="G24" s="20"/>
      <x:c r="H24" s="20"/>
      <x:c r="I24" s="20" t="str">
        <x:v>THEORY_ONLY</x:v>
      </x:c>
      <x:c r="J24" s="20" t="str">
        <x:v>Theory prior.</x:v>
      </x:c>
    </x:row>
    <x:row r="25" ht="18" customHeight="1">
      <x:c r="A25" s="20" t="str">
        <x:v>Q022</x:v>
      </x:c>
      <x:c r="B25" s="20" t="str">
        <x:v>CKK</x:v>
      </x:c>
      <x:c r="C25" s="20" t="str">
        <x:v>W11</x:v>
      </x:c>
      <x:c r="D25" s="20" t="str">
        <x:v>THEORY</x:v>
      </x:c>
      <x:c r="E25" s="20" t="str">
        <x:v>Lys-rich tripeptide</x:v>
      </x:c>
      <x:c r="F25" s="20"/>
      <x:c r="G25" s="20"/>
      <x:c r="H25" s="20"/>
      <x:c r="I25" s="20" t="str">
        <x:v>THEORY_ONLY</x:v>
      </x:c>
      <x:c r="J25" s="20" t="str">
        <x:v>Theory prior.</x:v>
      </x:c>
    </x:row>
    <x:row r="26" ht="18" customHeight="1">
      <x:c r="A26" s="20" t="str">
        <x:v>Q023</x:v>
      </x:c>
      <x:c r="B26" s="20" t="str">
        <x:v>RGDC</x:v>
      </x:c>
      <x:c r="C26" s="20" t="str">
        <x:v>W13</x:v>
      </x:c>
      <x:c r="D26" s="20" t="str">
        <x:v>2026 REVIEW-DERIVED</x:v>
      </x:c>
      <x:c r="E26" s="20" t="str">
        <x:v>PDT sensitizer peptide-AuNC</x:v>
      </x:c>
      <x:c r="F26" s="20" t="n">
        <x:v>500</x:v>
      </x:c>
      <x:c r="G26" s="20" t="n">
        <x:v>770</x:v>
      </x:c>
      <x:c r="H26" s="20" t="n">
        <x:v>4</x:v>
      </x:c>
      <x:c r="I26" s="20" t="str">
        <x:v>PRIMARY_REQUIRED</x:v>
      </x:c>
      <x:c r="J26" s="20" t="str">
        <x:v>Promising therapy sequence; primary paper must be acquired.</x:v>
      </x:c>
    </x:row>
    <x:row r="27" ht="18" customHeight="1">
      <x:c r="A27" s="20" t="str">
        <x:v>Q024</x:v>
      </x:c>
      <x:c r="B27" s="20" t="str">
        <x:v>cRGDyC</x:v>
      </x:c>
      <x:c r="C27" s="20" t="str">
        <x:v>W13</x:v>
      </x:c>
      <x:c r="D27" s="20" t="str">
        <x:v>2026 REVIEW-DERIVED</x:v>
      </x:c>
      <x:c r="E27" s="20" t="str">
        <x:v>Cyclic RGD radiosensitizer</x:v>
      </x:c>
      <x:c r="F27" s="20" t="n">
        <x:v>385</x:v>
      </x:c>
      <x:c r="G27" s="20" t="n">
        <x:v>485</x:v>
      </x:c>
      <x:c r="H27" s="20" t="n">
        <x:v>3.4</x:v>
      </x:c>
      <x:c r="I27" s="20" t="str">
        <x:v>PRIMARY_REQUIRED</x:v>
      </x:c>
      <x:c r="J27" s="20" t="str">
        <x:v>Do not confuse with 2015 cRGD imaging paper until primary identity is resolved.</x:v>
      </x:c>
    </x:row>
    <x:row r="28" ht="18" customHeight="1">
      <x:c r="A28" s="20" t="str">
        <x:v>Q025</x:v>
      </x:c>
      <x:c r="B28" s="20" t="str">
        <x:v>GGCGG</x:v>
      </x:c>
      <x:c r="C28" s="20" t="str">
        <x:v>W13</x:v>
      </x:c>
      <x:c r="D28" s="20" t="str">
        <x:v>2026 REVIEW-DERIVED</x:v>
      </x:c>
      <x:c r="E28" s="20" t="str">
        <x:v>αvβ3 imaging peptide-AuNC</x:v>
      </x:c>
      <x:c r="F28" s="20" t="n">
        <x:v>400</x:v>
      </x:c>
      <x:c r="G28" s="20" t="n">
        <x:v>775</x:v>
      </x:c>
      <x:c r="H28" s="20" t="n">
        <x:v>5.6</x:v>
      </x:c>
      <x:c r="I28" s="20" t="str">
        <x:v>PRIMARY_REQUIRED</x:v>
      </x:c>
      <x:c r="J28" s="20" t="str">
        <x:v>Short sequence, high relevance to motif design.</x:v>
      </x:c>
    </x:row>
    <x:row r="29" ht="18" customHeight="1">
      <x:c r="A29" s="20" t="str">
        <x:v>Q026</x:v>
      </x:c>
      <x:c r="B29" s="20" t="str">
        <x:v>RRCRR</x:v>
      </x:c>
      <x:c r="C29" s="20" t="str">
        <x:v>W13</x:v>
      </x:c>
      <x:c r="D29" s="20" t="str">
        <x:v>2026 REVIEW-DERIVED</x:v>
      </x:c>
      <x:c r="E29" s="20" t="str">
        <x:v>Cationic Cys-containing αvβ3 imaging system</x:v>
      </x:c>
      <x:c r="F29" s="20" t="n">
        <x:v>340</x:v>
      </x:c>
      <x:c r="G29" s="20" t="n">
        <x:v>760</x:v>
      </x:c>
      <x:c r="H29" s="20" t="n">
        <x:v>1.8</x:v>
      </x:c>
      <x:c r="I29" s="20" t="str">
        <x:v>PRIMARY_REQUIRED</x:v>
      </x:c>
      <x:c r="J29" s="20" t="str">
        <x:v>Primary source needed.</x:v>
      </x:c>
    </x:row>
    <x:row r="30" ht="18" customHeight="1">
      <x:c r="A30" s="20" t="str">
        <x:v>Q027</x:v>
      </x:c>
      <x:c r="B30" s="20" t="str">
        <x:v>EEECEEE</x:v>
      </x:c>
      <x:c r="C30" s="20" t="str">
        <x:v>W13</x:v>
      </x:c>
      <x:c r="D30" s="20" t="str">
        <x:v>2026 REVIEW-DERIVED</x:v>
      </x:c>
      <x:c r="E30" s="20" t="str">
        <x:v>Anionic Cys-containing αvβ3 imaging system</x:v>
      </x:c>
      <x:c r="F30" s="20" t="n">
        <x:v>380</x:v>
      </x:c>
      <x:c r="G30" s="20" t="n">
        <x:v>740</x:v>
      </x:c>
      <x:c r="H30" s="20" t="n">
        <x:v>7.9</x:v>
      </x:c>
      <x:c r="I30" s="20" t="str">
        <x:v>PRIMARY_REQUIRED</x:v>
      </x:c>
      <x:c r="J30" s="20" t="str">
        <x:v>Strong charge-composition contrast with RRCRR.</x:v>
      </x:c>
    </x:row>
    <x:row r="31" ht="18" customHeight="1">
      <x:c r="A31" s="20" t="str">
        <x:v>Q028</x:v>
      </x:c>
      <x:c r="B31" s="20" t="str">
        <x:v>CCYRGRKKRRQRRR</x:v>
      </x:c>
      <x:c r="C31" s="20" t="str">
        <x:v>W13</x:v>
      </x:c>
      <x:c r="D31" s="20" t="str">
        <x:v>2026 REVIEW-DERIVED</x:v>
      </x:c>
      <x:c r="E31" s="20" t="str">
        <x:v>CCY + cell-penetrating/nuclear localization motif</x:v>
      </x:c>
      <x:c r="F31" s="20" t="n">
        <x:v>502</x:v>
      </x:c>
      <x:c r="G31" s="20" t="n">
        <x:v>677</x:v>
      </x:c>
      <x:c r="H31" s="20" t="n">
        <x:v>11</x:v>
      </x:c>
      <x:c r="I31" s="20" t="str">
        <x:v>PRIMARY_REQUIRED</x:v>
      </x:c>
      <x:c r="J31" s="20" t="str">
        <x:v>High QY review entry; excellent acquisition priority.</x:v>
      </x:c>
    </x:row>
    <x:row r="32" ht="18" customHeight="1">
      <x:c r="A32" s="20" t="str">
        <x:v>Q029</x:v>
      </x:c>
      <x:c r="B32" s="20" t="str">
        <x:v>HHHHHHLLLLGCCYGRKKRRQRRR</x:v>
      </x:c>
      <x:c r="C32" s="20" t="str">
        <x:v>W13</x:v>
      </x:c>
      <x:c r="D32" s="20" t="str">
        <x:v>2026 REVIEW-DERIVED</x:v>
      </x:c>
      <x:c r="E32" s="20" t="str">
        <x:v>His/Leu/CCY/CPP modular peptide</x:v>
      </x:c>
      <x:c r="F32" s="20" t="n">
        <x:v>340</x:v>
      </x:c>
      <x:c r="G32" s="20" t="n">
        <x:v>441</x:v>
      </x:c>
      <x:c r="H32" s="20" t="n">
        <x:v>6.4</x:v>
      </x:c>
      <x:c r="I32" s="20" t="str">
        <x:v>PRIMARY_REQUIRED</x:v>
      </x:c>
      <x:c r="J32" s="20" t="str">
        <x:v>Modular-domain architecture.</x:v>
      </x:c>
    </x:row>
    <x:row r="33" ht="18" customHeight="1">
      <x:c r="A33" s="20" t="str">
        <x:v>Q030</x:v>
      </x:c>
      <x:c r="B33" s="20" t="str">
        <x:v>HHHHHHLLLLLLGCCYGRKKRRQRRR</x:v>
      </x:c>
      <x:c r="C33" s="20" t="str">
        <x:v>W13</x:v>
      </x:c>
      <x:c r="D33" s="20" t="str">
        <x:v>2026 REVIEW-DERIVED</x:v>
      </x:c>
      <x:c r="E33" s="20" t="str">
        <x:v>Longer hydrophobic block variant</x:v>
      </x:c>
      <x:c r="F33" s="20" t="n">
        <x:v>326</x:v>
      </x:c>
      <x:c r="G33" s="20" t="n">
        <x:v>442</x:v>
      </x:c>
      <x:c r="H33" s="20" t="n">
        <x:v>8.4</x:v>
      </x:c>
      <x:c r="I33" s="20" t="str">
        <x:v>PRIMARY_REQUIRED</x:v>
      </x:c>
      <x:c r="J33" s="20" t="str">
        <x:v>Paired length/composition variant.</x:v>
      </x:c>
    </x:row>
    <x:row r="34" ht="18" customHeight="1">
      <x:c r="A34" s="20" t="str">
        <x:v>Q031</x:v>
      </x:c>
      <x:c r="B34" s="20" t="str">
        <x:v>YHWYGYTPQNVIKKKKYCC</x:v>
      </x:c>
      <x:c r="C34" s="20" t="str">
        <x:v>W13</x:v>
      </x:c>
      <x:c r="D34" s="20" t="str">
        <x:v>2026 REVIEW-DERIVED</x:v>
      </x:c>
      <x:c r="E34" s="20" t="str">
        <x:v>Tumor-growth inhibition peptide-AuNC</x:v>
      </x:c>
      <x:c r="F34" s="20" t="n">
        <x:v>322</x:v>
      </x:c>
      <x:c r="G34" s="20" t="n">
        <x:v>408</x:v>
      </x:c>
      <x:c r="H34" s="20"/>
      <x:c r="I34" s="20" t="str">
        <x:v>PRIMARY_REQUIRED</x:v>
      </x:c>
      <x:c r="J34" s="20" t="str">
        <x:v>Therapeutic lead.</x:v>
      </x:c>
    </x:row>
    <x:row r="35" ht="18" customHeight="1">
      <x:c r="A35" s="20" t="str">
        <x:v>Q032</x:v>
      </x:c>
      <x:c r="B35" s="20" t="str">
        <x:v>CCYKKKKQAGDV</x:v>
      </x:c>
      <x:c r="C35" s="20" t="str">
        <x:v>W13</x:v>
      </x:c>
      <x:c r="D35" s="20" t="str">
        <x:v>2026 REVIEW-DERIVED</x:v>
      </x:c>
      <x:c r="E35" s="20" t="str">
        <x:v>Integrin αIIbβ3 probe</x:v>
      </x:c>
      <x:c r="F35" s="20" t="n">
        <x:v>565</x:v>
      </x:c>
      <x:c r="G35" s="20" t="n">
        <x:v>647</x:v>
      </x:c>
      <x:c r="H35" s="20"/>
      <x:c r="I35" s="20" t="str">
        <x:v>PRIMARY_REQUIRED</x:v>
      </x:c>
      <x:c r="J35" s="20" t="str">
        <x:v>Targeting + CCY mineralization.</x:v>
      </x:c>
    </x:row>
    <x:row r="36" ht="18" customHeight="1">
      <x:c r="A36" s="20" t="str">
        <x:v>Q033</x:v>
      </x:c>
      <x:c r="B36" s="20" t="str">
        <x:v>CCYRRRRRRRRR</x:v>
      </x:c>
      <x:c r="C36" s="20" t="str">
        <x:v>W13</x:v>
      </x:c>
      <x:c r="D36" s="20" t="str">
        <x:v>2026 REVIEW-DERIVED</x:v>
      </x:c>
      <x:c r="E36" s="20" t="str">
        <x:v>Arg-rich gene delivery</x:v>
      </x:c>
      <x:c r="F36" s="20" t="n">
        <x:v>380</x:v>
      </x:c>
      <x:c r="G36" s="20" t="n">
        <x:v>650</x:v>
      </x:c>
      <x:c r="H36" s="20"/>
      <x:c r="I36" s="20" t="str">
        <x:v>PRIMARY_REQUIRED</x:v>
      </x:c>
      <x:c r="J36" s="20" t="str">
        <x:v>Charge-pattern lead.</x:v>
      </x:c>
    </x:row>
    <x:row r="37" ht="18" customHeight="1">
      <x:c r="A37" s="20" t="str">
        <x:v>Q034</x:v>
      </x:c>
      <x:c r="B37" s="20" t="str">
        <x:v>CCYRKKRRQRRR</x:v>
      </x:c>
      <x:c r="C37" s="20" t="str">
        <x:v>W13</x:v>
      </x:c>
      <x:c r="D37" s="20" t="str">
        <x:v>2026 REVIEW-DERIVED</x:v>
      </x:c>
      <x:c r="E37" s="20" t="str">
        <x:v>CPP/gene delivery</x:v>
      </x:c>
      <x:c r="F37" s="20" t="n">
        <x:v>358</x:v>
      </x:c>
      <x:c r="G37" s="20" t="n">
        <x:v>640</x:v>
      </x:c>
      <x:c r="H37" s="20"/>
      <x:c r="I37" s="20" t="str">
        <x:v>PRIMARY_REQUIRED</x:v>
      </x:c>
      <x:c r="J37" s="20" t="str">
        <x:v>Charge-pattern lead.</x:v>
      </x:c>
    </x:row>
    <x:row r="38" ht="18" customHeight="1">
      <x:c r="A38" s="20" t="str">
        <x:v>Q035</x:v>
      </x:c>
      <x:c r="B38" s="20" t="str">
        <x:v>GIGAVLKVLTTGLPALISWIKRKRQQ</x:v>
      </x:c>
      <x:c r="C38" s="20" t="str">
        <x:v>W13</x:v>
      </x:c>
      <x:c r="D38" s="20" t="str">
        <x:v>2026 REVIEW-DERIVED</x:v>
      </x:c>
      <x:c r="E38" s="20" t="str">
        <x:v>Cervical-cancer peptide-AuNC</x:v>
      </x:c>
      <x:c r="F38" s="20" t="n">
        <x:v>280</x:v>
      </x:c>
      <x:c r="G38" s="20" t="n">
        <x:v>350</x:v>
      </x:c>
      <x:c r="H38" s="20"/>
      <x:c r="I38" s="20" t="str">
        <x:v>PRIMARY_REQUIRED</x:v>
      </x:c>
      <x:c r="J38" s="20" t="str">
        <x:v>Long hydrophobic/cationic biofunctional sequence.</x:v>
      </x:c>
    </x:row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6c84b0ef2c14b1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58" hidden="0" customWidth="1"/>
    <x:col min="5" max="5" width="58" hidden="0" customWidth="1"/>
    <x:col min="6" max="6" width="58" hidden="0" customWidth="1"/>
    <x:col min="7" max="7" width="24" hidden="0" customWidth="1"/>
    <x:col min="8" max="8" width="16" hidden="0" customWidth="1"/>
  </x:cols>
  <x:sheetData>
    <x:row r="1" ht="28" customHeight="1">
      <x:c r="A1" s="30" t="str">
        <x:v>PepAuDB v0.2 — Scientific QC Log</x:v>
      </x:c>
      <x:c r="B1" s="30"/>
      <x:c r="C1" s="30"/>
      <x:c r="D1" s="30"/>
      <x:c r="E1" s="30"/>
      <x:c r="F1" s="30"/>
      <x:c r="G1" s="30"/>
      <x:c r="H1" s="30"/>
    </x:row>
    <x:row r="2" ht="18" customHeight="1"/>
    <x:row r="3" ht="32" customHeight="1">
      <x:c r="A3" s="35" t="str">
        <x:v>QC_ID</x:v>
      </x:c>
      <x:c r="B3" s="35" t="str">
        <x:v>Affected_Record_or_Source</x:v>
      </x:c>
      <x:c r="C3" s="35" t="str">
        <x:v>Severity</x:v>
      </x:c>
      <x:c r="D3" s="35" t="str">
        <x:v>Issue</x:v>
      </x:c>
      <x:c r="E3" s="35" t="str">
        <x:v>Why_it_matters</x:v>
      </x:c>
      <x:c r="F3" s="35" t="str">
        <x:v>Required_Action</x:v>
      </x:c>
      <x:c r="G3" s="35" t="str">
        <x:v>Training_Status</x:v>
      </x:c>
      <x:c r="H3" s="35" t="str">
        <x:v>Resolution_Priority</x:v>
      </x:c>
    </x:row>
    <x:row r="4" ht="18" customHeight="1">
      <x:c r="A4" s="20" t="str">
        <x:v>QC001</x:v>
      </x:c>
      <x:c r="B4" s="20" t="str">
        <x:v>R027 / W04</x:v>
      </x:c>
      <x:c r="C4" s="20" t="str">
        <x:v>CRITICAL</x:v>
      </x:c>
      <x:c r="D4" s="20" t="str">
        <x:v>Primary article reports two different peptide sequences: Materials = CGPDGRDGRDGPDGR; Results = CCGPDGRDGRDGRDGR.</x:v>
      </x:c>
      <x:c r="E4" s="20" t="str">
        <x:v>Sequence features and the inferred Au7Peptide5 stoichiometry depend directly on Cys count and exact sequence.</x:v>
      </x:c>
      <x:c r="F4" s="20" t="str">
        <x:v>Verify typeset PDF, supplementary material, or author correction before sequence encoding.</x:v>
      </x:c>
      <x:c r="G4" s="20" t="str">
        <x:v>QC_HOLD</x:v>
      </x:c>
      <x:c r="H4" s="20" t="str">
        <x:v>P0</x:v>
      </x:c>
    </x:row>
    <x:row r="5" ht="18" customHeight="1">
      <x:c r="A5" s="20" t="str">
        <x:v>QC002</x:v>
      </x:c>
      <x:c r="B5" s="20" t="str">
        <x:v>R017 / S10</x:v>
      </x:c>
      <x:c r="C5" s="20" t="str">
        <x:v>HIGH</x:v>
      </x:c>
      <x:c r="D5" s="20" t="str">
        <x:v>Au25(SG)18 main article points to Supporting Information / prior method for detailed synthesis.</x:v>
      </x:c>
      <x:c r="E5" s="20" t="str">
        <x:v>Atomic label is valid, but synthesis-condition model would otherwise contain missing or guessed values.</x:v>
      </x:c>
      <x:c r="F5" s="20" t="str">
        <x:v>Acquire SI and canonical primary synthesis protocol; create separate experiment records if protocols differ.</x:v>
      </x:c>
      <x:c r="G5" s="20" t="str">
        <x:v>QC_HOLD_FOR_SYNTHESIS</x:v>
      </x:c>
      <x:c r="H5" s="20" t="str">
        <x:v>P0</x:v>
      </x:c>
    </x:row>
    <x:row r="6" ht="18" customHeight="1">
      <x:c r="A6" s="20" t="str">
        <x:v>QC003</x:v>
      </x:c>
      <x:c r="B6" s="20" t="str">
        <x:v>R023–R024 / W01</x:v>
      </x:c>
      <x:c r="C6" s="20" t="str">
        <x:v>HIGH</x:v>
      </x:c>
      <x:c r="D6" s="20" t="str">
        <x:v>Same SV sequence yields blue and red AuNCs, but exact numeric condition sets are not yet extracted.</x:v>
      </x:c>
      <x:c r="E6" s="20" t="str">
        <x:v>This paired experiment is ideal evidence that synthesis context matters, but cannot train a condition-aware model without actual values.</x:v>
      </x:c>
      <x:c r="F6" s="20" t="str">
        <x:v>Extract pH, Au:peptide ratio, light condition, temperature and time for each color outcome.</x:v>
      </x:c>
      <x:c r="G6" s="20" t="str">
        <x:v>QC_HOLD</x:v>
      </x:c>
      <x:c r="H6" s="20" t="str">
        <x:v>P0</x:v>
      </x:c>
    </x:row>
    <x:row r="7" ht="18" customHeight="1">
      <x:c r="A7" s="20" t="str">
        <x:v>QC004</x:v>
      </x:c>
      <x:c r="B7" s="20" t="str">
        <x:v>R025 / W02</x:v>
      </x:c>
      <x:c r="C7" s="20" t="str">
        <x:v>HIGH</x:v>
      </x:c>
      <x:c r="D7" s="20" t="str">
        <x:v>Cyclodecapeptide exact sequence is not present in searchable text used here.</x:v>
      </x:c>
      <x:c r="E7" s="20" t="str">
        <x:v>Composition-only descriptors cannot replace exact residue order for an inverse sequence model.</x:v>
      </x:c>
      <x:c r="F7" s="20" t="str">
        <x:v>Recover exact cyclic sequence from structure figure/SI or primary PDF.</x:v>
      </x:c>
      <x:c r="G7" s="20" t="str">
        <x:v>QC_HOLD</x:v>
      </x:c>
      <x:c r="H7" s="20" t="str">
        <x:v>P0</x:v>
      </x:c>
    </x:row>
    <x:row r="8" ht="18" customHeight="1">
      <x:c r="A8" s="20" t="str">
        <x:v>QC005</x:v>
      </x:c>
      <x:c r="B8" s="20" t="str">
        <x:v>R028 / W05</x:v>
      </x:c>
      <x:c r="C8" s="20" t="str">
        <x:v>MEDIUM</x:v>
      </x:c>
      <x:c r="D8" s="20" t="str">
        <x:v>Sv sequence in 2017 primary is CCYGGPKKKRKPG, while a related 2020 SV paper uses CCYGGPKKKRKVG.</x:v>
      </x:c>
      <x:c r="E8" s="20" t="str">
        <x:v>These near-identical sequences could leak across train/test and should not be collapsed as the same sequence.</x:v>
      </x:c>
      <x:c r="F8" s="20" t="str">
        <x:v>Keep source-specific sequences separate and cluster homologous sequences during validation.</x:v>
      </x:c>
      <x:c r="G8" s="20" t="str">
        <x:v>TRAIN_STRUCTURE_ONLY</x:v>
      </x:c>
      <x:c r="H8" s="20" t="str">
        <x:v>P0</x:v>
      </x:c>
    </x:row>
    <x:row r="9" ht="18" customHeight="1">
      <x:c r="A9" s="20" t="str">
        <x:v>QC006</x:v>
      </x:c>
      <x:c r="B9" s="20" t="str">
        <x:v>R029 / W06</x:v>
      </x:c>
      <x:c r="C9" s="20" t="str">
        <x:v>MEDIUM</x:v>
      </x:c>
      <x:c r="D9" s="20" t="str">
        <x:v>Article introduction contains DGECGC, while Materials/Methods and synthesis sections specify DGEAGC.</x:v>
      </x:c>
      <x:c r="E9" s="20" t="str">
        <x:v>A typographic inconsistency exists in the primary article.</x:v>
      </x:c>
      <x:c r="F9" s="20" t="str">
        <x:v>Use DGEAGC from Materials/Methods; retain this QC note.</x:v>
      </x:c>
      <x:c r="G9" s="20" t="str">
        <x:v>TRAIN_OPTICAL_SIZE</x:v>
      </x:c>
      <x:c r="H9" s="20" t="str">
        <x:v>P1</x:v>
      </x:c>
    </x:row>
    <x:row r="10" ht="18" customHeight="1">
      <x:c r="A10" s="20" t="str">
        <x:v>QC007</x:v>
      </x:c>
      <x:c r="B10" s="20" t="str">
        <x:v>R018–R020 / S11/S13</x:v>
      </x:c>
      <x:c r="C10" s="20" t="str">
        <x:v>HIGH</x:v>
      </x:c>
      <x:c r="D10" s="20" t="str">
        <x:v>AuPC PTT/biomedical benchmarks are not peptide-templated sequence-design records.</x:v>
      </x:c>
      <x:c r="E10" s="20" t="str">
        <x:v>Including them in the peptide model would create label/domain leakage.</x:v>
      </x:c>
      <x:c r="F10" s="20" t="str">
        <x:v>Keep in benchmark/transfer layer only.</x:v>
      </x:c>
      <x:c r="G10" s="20" t="str">
        <x:v>BENCHMARK_ONLY</x:v>
      </x:c>
      <x:c r="H10" s="20" t="str">
        <x:v>P0</x:v>
      </x:c>
    </x:row>
    <x:row r="11" ht="18" customHeight="1">
      <x:c r="A11" s="20" t="str">
        <x:v>QC008</x:v>
      </x:c>
      <x:c r="B11" s="20" t="str">
        <x:v>R001–R014</x:v>
      </x:c>
      <x:c r="C11" s="20" t="str">
        <x:v>HIGH</x:v>
      </x:c>
      <x:c r="D11" s="20" t="str">
        <x:v>Most inherited peptide experiments concern AuNPs, bipyramids or superstructures rather than sub-3 nm atomic AuNCs.</x:v>
      </x:c>
      <x:c r="E11" s="20" t="str">
        <x:v>Cross-regime data can teach mechanisms but should not be treated as equivalent target samples.</x:v>
      </x:c>
      <x:c r="F11" s="20" t="str">
        <x:v>Use for mechanistic priors/features or auxiliary tasks only.</x:v>
      </x:c>
      <x:c r="G11" s="20" t="str">
        <x:v>MECHANISTIC_ONLY</x:v>
      </x:c>
      <x:c r="H11" s="20" t="str">
        <x:v>P0</x:v>
      </x:c>
    </x:row>
    <x:row r="12" ht="18" customHeight="1">
      <x:c r="A12" s="20" t="str">
        <x:v>QC009</x:v>
      </x:c>
      <x:c r="B12" s="20" t="str">
        <x:v>W10</x:v>
      </x:c>
      <x:c r="C12" s="20" t="str">
        <x:v>HIGH</x:v>
      </x:c>
      <x:c r="D12" s="20" t="str">
        <x:v>Seven-sequence 2022 motif library has strong design value, but per-sequence synthesis/outcome mapping is not yet extracted.</x:v>
      </x:c>
      <x:c r="E12" s="20" t="str">
        <x:v>This may become the best within-paper sequence-comparison dataset and avoids inter-lab confounding.</x:v>
      </x:c>
      <x:c r="F12" s="20" t="str">
        <x:v>Acquire full paper and SI; create one row per sequence×condition outcome.</x:v>
      </x:c>
      <x:c r="G12" s="20" t="str">
        <x:v>PRIMARY_OUTCOME_NEEDED</x:v>
      </x:c>
      <x:c r="H12" s="20" t="str">
        <x:v>P0</x:v>
      </x:c>
    </x:row>
    <x:row r="13" ht="18" customHeight="1">
      <x:c r="A13" s="20" t="str">
        <x:v>QC010</x:v>
      </x:c>
      <x:c r="B13" s="20" t="str">
        <x:v>W13 review-derived sequences</x:v>
      </x:c>
      <x:c r="C13" s="20" t="str">
        <x:v>MEDIUM</x:v>
      </x:c>
      <x:c r="D13" s="20" t="str">
        <x:v>Excitation/emission/QY entries in the 2026 Aggregate review are secondary evidence.</x:v>
      </x:c>
      <x:c r="E13" s="20" t="str">
        <x:v>Secondary values can guide acquisition but should not create duplicated training labels.</x:v>
      </x:c>
      <x:c r="F13" s="20" t="str">
        <x:v>Acquire each primary reference before moving sequence records to TRAIN status.</x:v>
      </x:c>
      <x:c r="G13" s="20" t="str">
        <x:v>PRIMARY_REQUIRED</x:v>
      </x:c>
      <x:c r="H13" s="20" t="str">
        <x:v>P0</x:v>
      </x:c>
    </x:row>
    <x:row r="14" ht="18" customHeight="1">
      <x:c r="A14" s="20" t="str">
        <x:v>QC011</x:v>
      </x:c>
      <x:c r="B14" s="20" t="str">
        <x:v>All formation modeling</x:v>
      </x:c>
      <x:c r="C14" s="20" t="str">
        <x:v>CRITICAL</x:v>
      </x:c>
      <x:c r="D14" s="20" t="str">
        <x:v>Current dataset is dominated by successful syntheses; true failed/negative peptide-AuNC experiments are scarce.</x:v>
      </x:c>
      <x:c r="E14" s="20" t="str">
        <x:v>A formation classifier trained only on positives will reproduce the old majority-class problem.</x:v>
      </x:c>
      <x:c r="F14" s="20" t="str">
        <x:v>Curate explicit failed syntheses/controls and condition-dependent negatives from papers/SI.</x:v>
      </x:c>
      <x:c r="G14" s="20" t="str">
        <x:v>NOT_READY</x:v>
      </x:c>
      <x:c r="H14" s="20" t="str">
        <x:v>P0</x:v>
      </x:c>
    </x:row>
    <x:row r="15" ht="18" customHeight="1">
      <x:c r="A15" s="20" t="str">
        <x:v>QC012</x:v>
      </x:c>
      <x:c r="B15" s="20" t="str">
        <x:v>All PTT modeling</x:v>
      </x:c>
      <x:c r="C15" s="20" t="str">
        <x:v>CRITICAL</x:v>
      </x:c>
      <x:c r="D15" s="20" t="str">
        <x:v>Direct peptide-templated atomic AuNC PTT records remain sparse; most strong PTT records are non-peptide AuNC benchmarks or larger Au structures.</x:v>
      </x:c>
      <x:c r="E15" s="20" t="str">
        <x:v>A peptide→PCE/ΔT regression would currently be statistically indefensible.</x:v>
      </x:c>
      <x:c r="F15" s="20" t="str">
        <x:v>Keep PTT as benchmark/rule layer until enough direct peptide-AuNC PTT studies are obtained.</x:v>
      </x:c>
      <x:c r="G15" s="20" t="str">
        <x:v>NOT_READY</x:v>
      </x:c>
      <x:c r="H15" s="20" t="str">
        <x:v>P0</x:v>
      </x:c>
    </x:row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H1"/>
  </x:mergeCells>
  <x:conditionalFormatting sqref="C4:C15">
    <x:cfRule type="expression" dxfId="4" priority="1">
      <x:formula>C4="CRITICAL"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267e676850e472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54" hidden="0" customWidth="1"/>
    <x:col min="4" max="4" width="20" hidden="0" customWidth="1"/>
    <x:col min="5" max="5" width="10" hidden="0" customWidth="1"/>
    <x:col min="6" max="6" width="54" hidden="0" customWidth="1"/>
    <x:col min="7" max="7" width="52" hidden="0" customWidth="1"/>
    <x:col min="8" max="8" width="54" hidden="0" customWidth="1"/>
    <x:col min="9" max="9" width="44" hidden="0" customWidth="1"/>
  </x:cols>
  <x:sheetData>
    <x:row r="1" ht="28" customHeight="1">
      <x:c r="A1" s="30" t="str">
        <x:v>Model Development Gates — Operational Criteria, Not Statistical Guarantees</x:v>
      </x:c>
      <x:c r="B1" s="30"/>
      <x:c r="C1" s="30"/>
      <x:c r="D1" s="30"/>
      <x:c r="E1" s="30"/>
      <x:c r="F1" s="30"/>
      <x:c r="G1" s="30"/>
      <x:c r="H1" s="30"/>
      <x:c r="I1" s="30"/>
    </x:row>
    <x:row r="2" ht="18" customHeight="1"/>
    <x:row r="3" ht="32" customHeight="1">
      <x:c r="A3" s="35" t="str">
        <x:v>Gate</x:v>
      </x:c>
      <x:c r="B3" s="35" t="str">
        <x:v>Target_Module</x:v>
      </x:c>
      <x:c r="C3" s="35" t="str">
        <x:v>Operational_Minimum</x:v>
      </x:c>
      <x:c r="D3" s="35" t="str">
        <x:v>Current_Status</x:v>
      </x:c>
      <x:c r="E3" s="35" t="str">
        <x:v>Pass?</x:v>
      </x:c>
      <x:c r="F3" s="35" t="str">
        <x:v>Reason</x:v>
      </x:c>
      <x:c r="G3" s="35" t="str">
        <x:v>When_Passed_Do</x:v>
      </x:c>
      <x:c r="H3" s="35" t="str">
        <x:v>Validation_Requirement</x:v>
      </x:c>
      <x:c r="I3" s="35" t="str">
        <x:v>Note</x:v>
      </x:c>
    </x:row>
    <x:row r="4" ht="18" customHeight="1">
      <x:c r="A4" s="20" t="str">
        <x:v>G1</x:v>
      </x:c>
      <x:c r="B4" s="20" t="str">
        <x:v>Data provenance</x:v>
      </x:c>
      <x:c r="C4" s="20" t="str">
        <x:v>Every train row has primary source, exact peptide identity and material regime</x:v>
      </x:c>
      <x:c r="D4" s="20" t="str">
        <x:v>PARTIAL</x:v>
      </x:c>
      <x:c r="E4" s="20" t="str">
        <x:v>NO</x:v>
      </x:c>
      <x:c r="F4" s="20" t="str">
        <x:v>Several promising rows still depend on reviews, missing SI or sequence ambiguity.</x:v>
      </x:c>
      <x:c r="G4" s="20" t="str">
        <x:v>Lock PepAuDB release and hash/freeze the dataset.</x:v>
      </x:c>
      <x:c r="H4" s="20" t="str">
        <x:v>Audit primary citation + source locator for every row.</x:v>
      </x:c>
      <x:c r="I4" s="20" t="str">
        <x:v>Required before any accuracy claim.</x:v>
      </x:c>
    </x:row>
    <x:row r="5" ht="18" customHeight="1">
      <x:c r="A5" s="20" t="str">
        <x:v>G2</x:v>
      </x:c>
      <x:c r="B5" s="20" t="str">
        <x:v>Exploratory optical/size model</x:v>
      </x:c>
      <x:c r="C5" s="20" t="str">
        <x:v>≈30–50 direct peptide-AuNC experiment rows across ≥8 independent papers and ≥20 sequence families</x:v>
      </x:c>
      <x:c r="D5" s="20" t="str">
        <x:v>BELOW GATE</x:v>
      </x:c>
      <x:c r="E5" s="20" t="str">
        <x:v>NO</x:v>
      </x:c>
      <x:c r="F5" s="20" t="str">
        <x:v>Current direct trainable peptide-AuNC diversity is still small.</x:v>
      </x:c>
      <x:c r="G5" s="20" t="str">
        <x:v>Benchmark ElasticNet/RF/CatBoost/GP + frozen ESM features.</x:v>
      </x:c>
      <x:c r="H5" s="20" t="str">
        <x:v>Paper-wise GroupKFold + sequence-cluster split + nested tuning.</x:v>
      </x:c>
      <x:c r="I5" s="20" t="str">
        <x:v>Project planning gate; not a universal sample-size law.</x:v>
      </x:c>
    </x:row>
    <x:row r="6" ht="18" customHeight="1">
      <x:c r="A6" s="20" t="str">
        <x:v>G3</x:v>
      </x:c>
      <x:c r="B6" s="20" t="str">
        <x:v>Atomic nuclearity model</x:v>
      </x:c>
      <x:c r="C6" s="20" t="str">
        <x:v>Prefer ≥30 nuclearity-labeled direct rows for exploratory work; substantially more for production claims</x:v>
      </x:c>
      <x:c r="D6" s="20" t="str">
        <x:v>BELOW GATE</x:v>
      </x:c>
      <x:c r="E6" s="20" t="str">
        <x:v>NO</x:v>
      </x:c>
      <x:c r="F6" s="20" t="str">
        <x:v>Only a handful of atomic peptide-ligand clusters are currently directly usable.</x:v>
      </x:c>
      <x:c r="G6" s="20" t="str">
        <x:v>Start exploratory nuclearity regression/classification only when diversity improves.</x:v>
      </x:c>
      <x:c r="H6" s="20" t="str">
        <x:v>Leave-one-paper-out; exact/±1 atom accuracy + MAE + uncertainty.</x:v>
      </x:c>
      <x:c r="I6" s="20" t="str">
        <x:v>Do not advertise atomic prediction accuracy yet.</x:v>
      </x:c>
    </x:row>
    <x:row r="7" ht="18" customHeight="1">
      <x:c r="A7" s="20" t="str">
        <x:v>G4</x:v>
      </x:c>
      <x:c r="B7" s="20" t="str">
        <x:v>Formation classifier</x:v>
      </x:c>
      <x:c r="C7" s="20" t="str">
        <x:v>Enough explicit positive AND failed/negative experiments; avoid severe one-class imbalance</x:v>
      </x:c>
      <x:c r="D7" s="20" t="str">
        <x:v>BELOW GATE</x:v>
      </x:c>
      <x:c r="E7" s="20" t="str">
        <x:v>NO</x:v>
      </x:c>
      <x:c r="F7" s="20" t="str">
        <x:v>Published literature is success-biased and current negatives are inadequate.</x:v>
      </x:c>
      <x:c r="G7" s="20" t="str">
        <x:v>Train calibrated classifier only after negative-condition curation.</x:v>
      </x:c>
      <x:c r="H7" s="20" t="str">
        <x:v>Balanced accuracy, MCC, AUROC/AUPRC, Brier score, calibration.</x:v>
      </x:c>
      <x:c r="I7" s="20" t="str">
        <x:v>Prevents recurrence of the old 91.7% majority-class artifact.</x:v>
      </x:c>
    </x:row>
    <x:row r="8" ht="18" customHeight="1">
      <x:c r="A8" s="20" t="str">
        <x:v>G5</x:v>
      </x:c>
      <x:c r="B8" s="20" t="str">
        <x:v>PTT model</x:v>
      </x:c>
      <x:c r="C8" s="20" t="str">
        <x:v>Direct peptide-AuNC PTT dataset across multiple peptide families, materials and laser contexts</x:v>
      </x:c>
      <x:c r="D8" s="20" t="str">
        <x:v>BELOW GATE</x:v>
      </x:c>
      <x:c r="E8" s="20" t="str">
        <x:v>NO</x:v>
      </x:c>
      <x:c r="F8" s="20" t="str">
        <x:v>Strong PTT benchmarks exist, but peptide-templated atomic AuNC PTT pairs are sparse.</x:v>
      </x:c>
      <x:c r="G8" s="20" t="str">
        <x:v>Train laser/context-aware PCE/ΔT model; keep theranostic mode Pareto-based.</x:v>
      </x:c>
      <x:c r="H8" s="20" t="str">
        <x:v>Paper-wise split; matched laser wavelength/power/concentration; uncertainty intervals.</x:v>
      </x:c>
      <x:c r="I8" s="20" t="str">
        <x:v>Until then use benchmark/reference scoring, not learned PTT claims.</x:v>
      </x:c>
    </x:row>
    <x:row r="9" ht="18" customHeight="1">
      <x:c r="A9" s="20" t="str">
        <x:v>G6</x:v>
      </x:c>
      <x:c r="B9" s="20" t="str">
        <x:v>External validation</x:v>
      </x:c>
      <x:c r="C9" s="20" t="str">
        <x:v>≥2 independent papers/labs reserved and never used in feature/model tuning</x:v>
      </x:c>
      <x:c r="D9" s="20" t="str">
        <x:v>NOT YET</x:v>
      </x:c>
      <x:c r="E9" s="20" t="str">
        <x:v>NO</x:v>
      </x:c>
      <x:c r="F9" s="20" t="str">
        <x:v>Dataset is still being assembled.</x:v>
      </x:c>
      <x:c r="G9" s="20" t="str">
        <x:v>Freeze external test set before final model selection.</x:v>
      </x:c>
      <x:c r="H9" s="20" t="str">
        <x:v>No tuning on external test; report confidence intervals.</x:v>
      </x:c>
      <x:c r="I9" s="20" t="str">
        <x:v>Must precede production Streamlit accuracy badge.</x:v>
      </x:c>
    </x:row>
    <x:row r="10" ht="18" customHeight="1">
      <x:c r="A10" s="20" t="str">
        <x:v>G7</x:v>
      </x:c>
      <x:c r="B10" s="20" t="str">
        <x:v>Production Streamlit</x:v>
      </x:c>
      <x:c r="C10" s="20" t="str">
        <x:v>Frozen model + model card + OOD detector + uncertainty + nearest-literature evidence</x:v>
      </x:c>
      <x:c r="D10" s="20" t="str">
        <x:v>NOT YET</x:v>
      </x:c>
      <x:c r="E10" s="20" t="str">
        <x:v>NO</x:v>
      </x:c>
      <x:c r="F10" s="20" t="str">
        <x:v>Core predictive gates are not passed.</x:v>
      </x:c>
      <x:c r="G10" s="20" t="str">
        <x:v>Deploy read-only frozen artifacts from GitHub release.</x:v>
      </x:c>
      <x:c r="H10" s="20" t="str">
        <x:v>Reproducible versioned inference tests.</x:v>
      </x:c>
      <x:c r="I10" s="20" t="str">
        <x:v>Prototype UI can be built earlier, but must label predictions as research-only.</x:v>
      </x:c>
    </x:row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I1"/>
  </x:mergeCells>
  <x:conditionalFormatting sqref="E4:E10">
    <x:cfRule type="expression" dxfId="5" priority="1">
      <x:formula>E4="NO"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c86de5c32e472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2" hidden="0" customWidth="1"/>
    <x:col min="4" max="4" width="32" hidden="0" customWidth="1"/>
    <x:col min="5" max="5" width="18" hidden="0" customWidth="1"/>
    <x:col min="6" max="6" width="58" hidden="0" customWidth="1"/>
    <x:col min="7" max="7" width="58" hidden="0" customWidth="1"/>
  </x:cols>
  <x:sheetData>
    <x:row r="1" ht="28" customHeight="1">
      <x:c r="A1" s="30" t="str">
        <x:v>NanoMax PepAu-Forge — PepAuDB v0.2 Dashboard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18" customHeight="1"/>
    <x:row r="3" ht="32" customHeight="1">
      <x:c r="A3" s="35" t="str">
        <x:v>KPI</x:v>
      </x:c>
      <x:c r="B3" s="35" t="str">
        <x:v>Value</x:v>
      </x:c>
      <x:c r="D3" s="35" t="str">
        <x:v>Model decision</x:v>
      </x:c>
      <x:c r="E3" s="35" t="str">
        <x:v>Status</x:v>
      </x:c>
      <x:c r="F3" s="35" t="str">
        <x:v>Why</x:v>
      </x:c>
      <x:c r="G3" s="35" t="str">
        <x:v>Next unblocker</x:v>
      </x:c>
    </x:row>
    <x:row r="4" ht="18" customHeight="1">
      <x:c r="A4" t="str">
        <x:v>Total v0.2 records</x:v>
      </x:c>
      <x:c r="B4" t="n">
        <x:f>COUNTA(PepAuDB_v0.2!A4:A36)</x:f>
        <x:v>33</x:v>
      </x:c>
      <x:c r="D4" s="20" t="str">
        <x:v>Final peptide→nuclearity model</x:v>
      </x:c>
      <x:c r="E4" s="20" t="str">
        <x:v>STOP</x:v>
      </x:c>
      <x:c r="F4" s="20" t="str">
        <x:v>Atomic sequence diversity still too low</x:v>
      </x:c>
      <x:c r="G4" s="20" t="str">
        <x:v>Acquire P0 atomic peptide papers + exact nuclearity labels</x:v>
      </x:c>
    </x:row>
    <x:row r="5" ht="18" customHeight="1">
      <x:c r="A5" t="str">
        <x:v>New web-researched records</x:v>
      </x:c>
      <x:c r="B5" t="n">
        <x:v>11</x:v>
      </x:c>
      <x:c r="D5" s="20" t="str">
        <x:v>Optical/size exploratory model</x:v>
      </x:c>
      <x:c r="E5" s="20" t="str">
        <x:v>WAIT</x:v>
      </x:c>
      <x:c r="F5" s="20" t="str">
        <x:v>Promising direct rows are growing but below diversity gate</x:v>
      </x:c>
      <x:c r="G5" s="20" t="str">
        <x:v>Extract 2022 seven-sequence paper + unresolved SI</x:v>
      </x:c>
    </x:row>
    <x:row r="6" ht="18" customHeight="1">
      <x:c r="A6" t="str">
        <x:v>Direct A1 atomic peptide-AuNC records</x:v>
      </x:c>
      <x:c r="B6" t="n">
        <x:f>COUNTIF(PepAuDB_v0.2!C4:C36,"A1 DIRECT_PEPTIDE_ATOMIC_AUNC")</x:f>
        <x:v>6</x:v>
      </x:c>
      <x:c r="D6" s="20" t="str">
        <x:v>PTT learned regression</x:v>
      </x:c>
      <x:c r="E6" s="20" t="str">
        <x:v>STOP</x:v>
      </x:c>
      <x:c r="F6" s="20" t="str">
        <x:v>Direct peptide-templated atomic PTT data remain sparse</x:v>
      </x:c>
      <x:c r="G6" s="20" t="str">
        <x:v>Mine peptide-AuNC PTT primary literature</x:v>
      </x:c>
    </x:row>
    <x:row r="7" ht="18" customHeight="1">
      <x:c r="A7" t="str">
        <x:v>TRAIN_CORE records</x:v>
      </x:c>
      <x:c r="B7" t="n">
        <x:f>COUNTIF(PepAuDB_v0.2!AJ4:AJ36,"TRAIN_CORE")</x:f>
        <x:v>3</x:v>
      </x:c>
      <x:c r="D7" s="20" t="str">
        <x:v>Mechanistic feature engineering</x:v>
      </x:c>
      <x:c r="E7" s="20" t="str">
        <x:v>GO</x:v>
      </x:c>
      <x:c r="F7" s="20" t="str">
        <x:v>Strong evidence supports sequence position, pH, topology and synthesis-context features</x:v>
      </x:c>
      <x:c r="G7" s="20" t="str">
        <x:v>Implement sequence/synthesis schema and descriptors</x:v>
      </x:c>
    </x:row>
    <x:row r="8" ht="18" customHeight="1">
      <x:c r="A8" t="str">
        <x:v>TRAIN_STRUCTURE_ONLY records</x:v>
      </x:c>
      <x:c r="B8" t="n">
        <x:f>COUNTIF(PepAuDB_v0.2!AJ4:AJ36,"TRAIN_STRUCTURE_ONLY")</x:f>
        <x:v>1</x:v>
      </x:c>
      <x:c r="D8" s="20" t="str">
        <x:v>Professional Streamlit shell</x:v>
      </x:c>
      <x:c r="E8" s="20" t="str">
        <x:v>GO WITH LABEL</x:v>
      </x:c>
      <x:c r="F8" s="20" t="str">
        <x:v>UI can be built before final model if predictions are clearly prototype/research-only</x:v>
      </x:c>
      <x:c r="G8" s="20" t="str">
        <x:v>Load frozen evidence database and model-card pages first</x:v>
      </x:c>
    </x:row>
    <x:row r="9" ht="18" customHeight="1">
      <x:c r="A9" t="str">
        <x:v>TRAIN_OPTICAL_SIZE records</x:v>
      </x:c>
      <x:c r="B9" t="n">
        <x:f>COUNTIF(PepAuDB_v0.2!AJ4:AJ36,"TRAIN_OPTICAL_SIZE")</x:f>
        <x:v>1</x:v>
      </x:c>
      <x:c r="D9" s="20" t="str">
        <x:v>Leakage-safe benchmark code</x:v>
      </x:c>
      <x:c r="E9" s="20" t="str">
        <x:v>GO</x:v>
      </x:c>
      <x:c r="F9" s="20" t="str">
        <x:v>Validation code can be prepared independent of final sample size</x:v>
      </x:c>
      <x:c r="G9" s="20" t="str">
        <x:v>Paper-grouped + sequence-clustered CV pipeline</x:v>
      </x:c>
    </x:row>
    <x:row r="10" ht="18" customHeight="1">
      <x:c r="A10" t="str">
        <x:v>QC_HOLD records</x:v>
      </x:c>
      <x:c r="B10" t="n">
        <x:f>COUNTIF(PepAuDB_v0.2!AJ4:AJ36,"QC_HOLD")</x:f>
        <x:v>8</x:v>
      </x:c>
      <x:c r="D10" s="20" t="str">
        <x:v>Prospective wet-lab validation</x:v>
      </x:c>
      <x:c r="E10" s="20" t="str">
        <x:v>LATER</x:v>
      </x:c>
      <x:c r="F10" s="20" t="str">
        <x:v>Needed for novel-candidate truth</x:v>
      </x:c>
      <x:c r="G10" s="20" t="str">
        <x:v>After retrospective model passes gates</x:v>
      </x:c>
    </x:row>
    <x:row r="11" ht="18" customHeight="1">
      <x:c r="A11" t="str">
        <x:v>Benchmark-only records</x:v>
      </x:c>
      <x:c r="B11" t="n">
        <x:f>COUNTIF(PepAuDB_v0.2!AJ4:AJ36,"BENCHMARK_ONLY")</x:f>
        <x:v>4</x:v>
      </x:c>
    </x:row>
    <x:row r="12" ht="18" customHeight="1">
      <x:c r="A12" t="str">
        <x:v>Sequence-library entries</x:v>
      </x:c>
      <x:c r="B12" t="n">
        <x:v>35</x:v>
      </x:c>
    </x:row>
    <x:row r="13" ht="18" customHeight="1">
      <x:c r="A13" t="str">
        <x:v>P0 literature sources</x:v>
      </x:c>
      <x:c r="B13" t="n">
        <x:f>COUNTIF(Web_Primary_Papers!K4:K19,"P0")</x:f>
        <x:v>10</x:v>
      </x:c>
      <x:c r="D13" s="35" t="str">
        <x:v>Training class</x:v>
      </x:c>
      <x:c r="E13" s="35" t="str">
        <x:v>Count</x:v>
      </x:c>
    </x:row>
    <x:row r="14" ht="18" customHeight="1">
      <x:c r="D14" t="str">
        <x:v>TRAIN_CORE</x:v>
      </x:c>
      <x:c r="E14" t="n">
        <x:f>COUNTIF(PepAuDB_v0.2!AJ4:AJ36,"TRAIN_CORE")</x:f>
        <x:v>3</x:v>
      </x:c>
    </x:row>
    <x:row r="15" ht="18" customHeight="1">
      <x:c r="D15" t="str">
        <x:v>TRAIN_STRUCTURE_ONLY</x:v>
      </x:c>
      <x:c r="E15" t="n">
        <x:f>COUNTIF(PepAuDB_v0.2!AJ4:AJ36,"TRAIN_STRUCTURE_ONLY")</x:f>
        <x:v>1</x:v>
      </x:c>
    </x:row>
    <x:row r="16" ht="18" customHeight="1">
      <x:c r="A16" s="35" t="str">
        <x:v>Highest-value immediate acquisitions</x:v>
      </x:c>
      <x:c r="B16" s="35" t="str">
        <x:v>Reason</x:v>
      </x:c>
      <x:c r="D16" t="str">
        <x:v>TRAIN_OPTICAL_SIZE</x:v>
      </x:c>
      <x:c r="E16" t="n">
        <x:f>COUNTIF(PepAuDB_v0.2!AJ4:AJ36,"TRAIN_OPTICAL_SIZE")</x:f>
        <x:v>1</x:v>
      </x:c>
    </x:row>
    <x:row r="17" ht="18" customHeight="1">
      <x:c r="A17" s="20" t="str">
        <x:v>W10 — 2022 seven-sequence motif library</x:v>
      </x:c>
      <x:c r="B17" s="20" t="str">
        <x:v>Within-paper sequence panel; likely highest information gain for sequence design.</x:v>
      </x:c>
      <x:c r="D17" t="str">
        <x:v>QC_HOLD</x:v>
      </x:c>
      <x:c r="E17" t="n">
        <x:f>COUNTIF(PepAuDB_v0.2!AJ4:AJ36,"QC_HOLD")</x:f>
        <x:v>8</x:v>
      </x:c>
    </x:row>
    <x:row r="18" ht="18" customHeight="1">
      <x:c r="A18" s="20" t="str">
        <x:v>W01 — Liu 2020 full text/SI</x:v>
      </x:c>
      <x:c r="B18" s="20" t="str">
        <x:v>Same exact peptide gives blue vs red AuNCs; ideal condition-aware paired data.</x:v>
      </x:c>
      <x:c r="D18" t="str">
        <x:v>BENCHMARK_ONLY</x:v>
      </x:c>
      <x:c r="E18" t="n">
        <x:f>COUNTIF(PepAuDB_v0.2!AJ4:AJ36,"BENCHMARK_ONLY")</x:f>
        <x:v>4</x:v>
      </x:c>
    </x:row>
    <x:row r="19" ht="18" customHeight="1">
      <x:c r="A19" s="20" t="str">
        <x:v>W05 — Au25Sv9 full primary PDF</x:v>
      </x:c>
      <x:c r="B19" s="20" t="str">
        <x:v>Atomic Au25 + designed peptide + cancer bioactivity.</x:v>
      </x:c>
    </x:row>
    <x:row r="20" ht="18" customHeight="1">
      <x:c r="A20" s="20" t="str">
        <x:v>W09 — CMMMMM/CYYYYY SI</x:v>
      </x:c>
      <x:c r="B20" s="20" t="str">
        <x:v>Matched sequence comparator for fluorescence and photostability.</x:v>
      </x:c>
    </x:row>
    <x:row r="21" ht="18" customHeight="1">
      <x:c r="A21" s="20" t="str">
        <x:v>W08 — AuNCs-LHRHa full text</x:v>
      </x:c>
      <x:c r="B21" s="20" t="str">
        <x:v>Direct peptide-functionalized AuNC PTT benchmark.</x:v>
      </x:c>
    </x:row>
    <x:row r="22" ht="18" customHeight="1">
      <x:c r="A22" s="20" t="str">
        <x:v>W16 — tripeptide therapeutic AuNC paper</x:v>
      </x:c>
      <x:c r="B22" s="20" t="str">
        <x:v>Short sequences + therapeutic optical function; useful for cancer-directed objective expansion.</x:v>
      </x:c>
    </x:row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</x:sheetData>
  <x:mergeCells>
    <x:mergeCell ref="A1:J1"/>
  </x:mergeCells>
  <x:pageMargins left="0.7" right="0.7" top="0.75" bottom="0.75" header="0.3" footer="0.3"/>
  <x:drawing xmlns:r="http://schemas.openxmlformats.org/officeDocument/2006/relationships" r:id="R651a085a980b43a9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9" hidden="0" customWidth="1"/>
    <x:col min="4" max="4" width="16" hidden="0" customWidth="1"/>
    <x:col min="5" max="5" width="28" hidden="0" customWidth="1"/>
    <x:col min="6" max="6" width="32" hidden="0" customWidth="1"/>
    <x:col min="7" max="7" width="42" hidden="0" customWidth="1"/>
    <x:col min="8" max="8" width="14" hidden="0" customWidth="1"/>
    <x:col min="9" max="9" width="32" hidden="0" customWidth="1"/>
    <x:col min="10" max="10" width="13" hidden="0" customWidth="1"/>
    <x:col min="11" max="11" width="12" hidden="0" customWidth="1"/>
    <x:col min="12" max="12" width="13" hidden="0" customWidth="1"/>
    <x:col min="13" max="13" width="16" hidden="0" customWidth="1"/>
    <x:col min="14" max="14" width="34" hidden="0" customWidth="1"/>
    <x:col min="15" max="15" width="22" hidden="0" customWidth="1"/>
    <x:col min="16" max="16" width="46" hidden="0" customWidth="1"/>
    <x:col min="17" max="17" width="28" hidden="0" customWidth="1"/>
    <x:col min="18" max="18" width="10" hidden="0" customWidth="1"/>
    <x:col min="19" max="19" width="13" hidden="0" customWidth="1"/>
    <x:col min="20" max="20" width="10" hidden="0" customWidth="1"/>
    <x:col min="21" max="21" width="42" hidden="0" customWidth="1"/>
    <x:col min="22" max="22" width="16" hidden="0" customWidth="1"/>
    <x:col min="23" max="23" width="26" hidden="0" customWidth="1"/>
    <x:col min="24" max="24" width="12" hidden="0" customWidth="1"/>
    <x:col min="25" max="25" width="20" hidden="0" customWidth="1"/>
    <x:col min="26" max="26" width="12" hidden="0" customWidth="1"/>
    <x:col min="27" max="27" width="10" hidden="0" customWidth="1"/>
    <x:col min="28" max="28" width="16" hidden="0" customWidth="1"/>
    <x:col min="29" max="29" width="18" hidden="0" customWidth="1"/>
    <x:col min="30" max="30" width="14" hidden="0" customWidth="1"/>
    <x:col min="31" max="31" width="30" hidden="0" customWidth="1"/>
    <x:col min="32" max="32" width="72" hidden="0" customWidth="1"/>
    <x:col min="33" max="33" width="36" hidden="0" customWidth="1"/>
    <x:col min="34" max="34" width="44" hidden="0" customWidth="1"/>
    <x:col min="35" max="35" width="16" hidden="0" customWidth="1"/>
    <x:col min="36" max="36" width="24" hidden="0" customWidth="1"/>
    <x:col min="37" max="37" width="26" hidden="0" customWidth="1"/>
    <x:col min="38" max="38" width="66" hidden="0" customWidth="1"/>
    <x:col min="39" max="39" width="14" hidden="0" customWidth="1"/>
    <x:col min="40" max="40" width="24" hidden="0" customWidth="1"/>
  </x:cols>
  <x:sheetData>
    <x:row r="1">
      <x:c r="A1" s="39" t="str">
        <x:v>PepAuDB v0.3 — Literature-Expanded + Benchmark-Ready Governance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  <x:c r="AI1" s="39"/>
      <x:c r="AJ1" s="39"/>
      <x:c r="AK1" s="39"/>
      <x:c r="AL1" s="39"/>
      <x:c r="AM1" s="39"/>
      <x:c r="AN1" s="39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</x:row>
    <x:row r="3">
      <x:c r="A3" s="44" t="str">
        <x:v>Record_ID</x:v>
      </x:c>
      <x:c r="B3" s="44" t="str">
        <x:v>Source_ID</x:v>
      </x:c>
      <x:c r="C3" s="44" t="str">
        <x:v>Evidence_Class</x:v>
      </x:c>
      <x:c r="D3" s="44" t="str">
        <x:v>Data_Status</x:v>
      </x:c>
      <x:c r="E3" s="44" t="str">
        <x:v>Material_Regime</x:v>
      </x:c>
      <x:c r="F3" s="44" t="str">
        <x:v>Peptide_or_Ligand</x:v>
      </x:c>
      <x:c r="G3" s="44" t="str">
        <x:v>Sequence</x:v>
      </x:c>
      <x:c r="H3" s="44" t="str">
        <x:v>Stereochemistry</x:v>
      </x:c>
      <x:c r="I3" s="44" t="str">
        <x:v>Terminal_or_Chemical_Modification</x:v>
      </x:c>
      <x:c r="J3" s="44" t="str">
        <x:v>Au_Nuclearity</x:v>
      </x:c>
      <x:c r="K3" s="44" t="str">
        <x:v>Ligand_Count</x:v>
      </x:c>
      <x:c r="L3" s="44" t="str">
        <x:v>Core_Size_nm</x:v>
      </x:c>
      <x:c r="M3" s="44" t="str">
        <x:v>Hydrodynamic_Size_nm</x:v>
      </x:c>
      <x:c r="N3" s="44" t="str">
        <x:v>Morphology</x:v>
      </x:c>
      <x:c r="O3" s="44" t="str">
        <x:v>Au_Precursor</x:v>
      </x:c>
      <x:c r="P3" s="44" t="str">
        <x:v>Peptide_or_Ligand_Condition</x:v>
      </x:c>
      <x:c r="Q3" s="44" t="str">
        <x:v>Reducing_Agent</x:v>
      </x:c>
      <x:c r="R3" s="44" t="str">
        <x:v>pH</x:v>
      </x:c>
      <x:c r="S3" s="44" t="str">
        <x:v>Temperature_C</x:v>
      </x:c>
      <x:c r="T3" s="44" t="str">
        <x:v>Time_h</x:v>
      </x:c>
      <x:c r="U3" s="44" t="str">
        <x:v>Mixing_or_Process</x:v>
      </x:c>
      <x:c r="V3" s="44" t="str">
        <x:v>Emission_Peak_nm</x:v>
      </x:c>
      <x:c r="W3" s="44" t="str">
        <x:v>Emission_Range_nm</x:v>
      </x:c>
      <x:c r="X3" s="44" t="str">
        <x:v>PLQY_pct</x:v>
      </x:c>
      <x:c r="Y3" s="44" t="str">
        <x:v>Absorption_or_LSPR_nm</x:v>
      </x:c>
      <x:c r="Z3" s="44" t="str">
        <x:v>Zeta_mV</x:v>
      </x:c>
      <x:c r="AA3" s="44" t="str">
        <x:v>Laser_nm</x:v>
      </x:c>
      <x:c r="AB3" s="44" t="str">
        <x:v>Laser_Power_W_cm2</x:v>
      </x:c>
      <x:c r="AC3" s="44" t="str">
        <x:v>PTT_Temperature_C</x:v>
      </x:c>
      <x:c r="AD3" s="44" t="str">
        <x:v>PTT_Time_min</x:v>
      </x:c>
      <x:c r="AE3" s="44" t="str">
        <x:v>Application</x:v>
      </x:c>
      <x:c r="AF3" s="44" t="str">
        <x:v>Key_Observation</x:v>
      </x:c>
      <x:c r="AG3" s="44" t="str">
        <x:v>Source_Locator</x:v>
      </x:c>
      <x:c r="AH3" s="44" t="str">
        <x:v>DOI_URL</x:v>
      </x:c>
      <x:c r="AI3" s="44" t="str">
        <x:v>Key_Field_Completeness_pct</x:v>
      </x:c>
      <x:c r="AJ3" s="44" t="str">
        <x:v>Training_Eligibility</x:v>
      </x:c>
      <x:c r="AK3" s="44" t="str">
        <x:v>Sequence_Status</x:v>
      </x:c>
      <x:c r="AL3" s="44" t="str">
        <x:v>QC_Flag</x:v>
      </x:c>
      <x:c r="AM3" s="44" t="str">
        <x:v>Research_Date</x:v>
      </x:c>
      <x:c r="AN3" s="44" t="str">
        <x:v>Source_Type</x:v>
      </x:c>
    </x:row>
    <x:row r="4">
      <x:c r="A4" s="20" t="str">
        <x:v>R001</x:v>
      </x:c>
      <x:c r="B4" s="20" t="str">
        <x:v>S01</x:v>
      </x:c>
      <x:c r="C4" s="20" t="str">
        <x:v>B1 PEPTIDE_AUNP_MECHANISM</x:v>
      </x:c>
      <x:c r="D4" s="20" t="str">
        <x:v>DIRECT</x:v>
      </x:c>
      <x:c r="E4" s="20" t="str">
        <x:v>gold_nanoparticle</x:v>
      </x:c>
      <x:c r="F4" s="20" t="str">
        <x:v>AAAKCK</x:v>
      </x:c>
      <x:c r="G4" s="20" t="str">
        <x:v>AAAKCK</x:v>
      </x:c>
      <x:c r="H4" s="20" t="str">
        <x:v>L</x:v>
      </x:c>
      <x:c r="I4" s="20" t="str">
        <x:v>None</x:v>
      </x:c>
      <x:c r="J4" s="20"/>
      <x:c r="K4" s="20"/>
      <x:c r="L4" s="20"/>
      <x:c r="M4" s="20"/>
      <x:c r="N4" s="20" t="str">
        <x:v>Mostly icosahedron/decahedron; some hexagonal plates</x:v>
      </x:c>
      <x:c r="O4" s="20" t="str">
        <x:v>HAuCl4</x:v>
      </x:c>
      <x:c r="P4" s="20" t="str">
        <x:v>7 mM peptide; 10 mM HAuCl4; 20 mM phosphate buffer</x:v>
      </x:c>
      <x:c r="Q4" s="20" t="str">
        <x:v>Peptide self-reduction</x:v>
      </x:c>
      <x:c r="R4" s="20" t="n">
        <x:v>4</x:v>
      </x:c>
      <x:c r="S4" s="20" t="n">
        <x:v>25</x:v>
      </x:c>
      <x:c r="T4" s="20"/>
      <x:c r="U4" s="20" t="str">
        <x:v>No stirring; room temperature</x:v>
      </x:c>
      <x:c r="V4" s="20"/>
      <x:c r="W4" s="20"/>
      <x:c r="X4" s="20"/>
      <x:c r="Y4" s="20"/>
      <x:c r="Z4" s="20"/>
      <x:c r="AA4" s="20"/>
      <x:c r="AB4" s="20"/>
      <x:c r="AC4" s="20"/>
      <x:c r="AD4" s="20"/>
      <x:c r="AE4" s="20" t="str">
        <x:v>Mechanistic</x:v>
      </x:c>
      <x:c r="AF4" s="20" t="str">
        <x:v>pH 4: 71.4% icosahedron/decahedron; size ranges 55–90, 50–100 and 65–125 nm for icosahedron/decahedron/plates</x:v>
      </x:c>
      <x:c r="AG4" s="20" t="str">
        <x:v>Main text p.5; Fig.6</x:v>
      </x:c>
      <x:c r="AH4" s="20" t="str">
        <x:v>https://doi.org/10.1021/acsomega.6b00140</x:v>
      </x:c>
      <x:c r="AI4" s="24" t="n">
        <x:f>ROUND(100*COUNTA(G4,J4,L4,R4,S4,T4,V4,X4,AA4,AC4)/10,0)</x:f>
        <x:v>30</x:v>
      </x:c>
      <x:c r="AJ4" s="20" t="str">
        <x:v>MECHANISTIC_ONLY</x:v>
      </x:c>
      <x:c r="AK4" s="20" t="str">
        <x:v>EXACT_FROM_UPLOADED_PRIMARY</x:v>
      </x:c>
      <x:c r="AL4" s="20" t="str">
        <x:v>Cross-regime peptide→gold mechanism; not an atomically precise AuNC training target.</x:v>
      </x:c>
      <x:c r="AM4" s="20" t="str">
        <x:v>2026-09-07</x:v>
      </x:c>
      <x:c r="AN4" s="20" t="str">
        <x:v>UPLOADED_PRIMARY_OR_REVIEW</x:v>
      </x:c>
    </x:row>
    <x:row r="5">
      <x:c r="A5" s="20" t="str">
        <x:v>R002</x:v>
      </x:c>
      <x:c r="B5" s="20" t="str">
        <x:v>S01</x:v>
      </x:c>
      <x:c r="C5" s="20" t="str">
        <x:v>B1 PEPTIDE_AUNP_MECHANISM</x:v>
      </x:c>
      <x:c r="D5" s="20" t="str">
        <x:v>DIRECT</x:v>
      </x:c>
      <x:c r="E5" s="20" t="str">
        <x:v>gold_nanoparticle</x:v>
      </x:c>
      <x:c r="F5" s="20" t="str">
        <x:v>AAAKCK</x:v>
      </x:c>
      <x:c r="G5" s="20" t="str">
        <x:v>AAAKCK</x:v>
      </x:c>
      <x:c r="H5" s="20" t="str">
        <x:v>L</x:v>
      </x:c>
      <x:c r="I5" s="20" t="str">
        <x:v>None</x:v>
      </x:c>
      <x:c r="J5" s="20"/>
      <x:c r="K5" s="20"/>
      <x:c r="L5" s="20"/>
      <x:c r="M5" s="20"/>
      <x:c r="N5" s="20" t="str">
        <x:v>Mixed; icosahedron/decahedron + bipyramids/spheres/plates</x:v>
      </x:c>
      <x:c r="O5" s="20" t="str">
        <x:v>HAuCl4</x:v>
      </x:c>
      <x:c r="P5" s="20" t="str">
        <x:v>7 mM peptide; 10 mM HAuCl4; 20 mM phosphate buffer</x:v>
      </x:c>
      <x:c r="Q5" s="20" t="str">
        <x:v>Peptide self-reduction</x:v>
      </x:c>
      <x:c r="R5" s="20" t="n">
        <x:v>6</x:v>
      </x:c>
      <x:c r="S5" s="20" t="n">
        <x:v>25</x:v>
      </x:c>
      <x:c r="T5" s="20"/>
      <x:c r="U5" s="20" t="str">
        <x:v>No stirring; room temperature</x:v>
      </x:c>
      <x:c r="V5" s="20"/>
      <x:c r="W5" s="20"/>
      <x:c r="X5" s="20"/>
      <x:c r="Y5" s="20"/>
      <x:c r="Z5" s="20"/>
      <x:c r="AA5" s="20"/>
      <x:c r="AB5" s="20"/>
      <x:c r="AC5" s="20"/>
      <x:c r="AD5" s="20"/>
      <x:c r="AE5" s="20" t="str">
        <x:v>Mechanistic</x:v>
      </x:c>
      <x:c r="AF5" s="20" t="str">
        <x:v>pH 6 reduces many size ranges vs pH 4; spherical/bipyramidal forms appear</x:v>
      </x:c>
      <x:c r="AG5" s="20" t="str">
        <x:v>Main text p.5; Fig.6</x:v>
      </x:c>
      <x:c r="AH5" s="20" t="str">
        <x:v>https://doi.org/10.1021/acsomega.6b00140</x:v>
      </x:c>
      <x:c r="AI5" s="24" t="n">
        <x:f>ROUND(100*COUNTA(G5,J5,L5,R5,S5,T5,V5,X5,AA5,AC5)/10,0)</x:f>
        <x:v>30</x:v>
      </x:c>
      <x:c r="AJ5" s="20" t="str">
        <x:v>MECHANISTIC_ONLY</x:v>
      </x:c>
      <x:c r="AK5" s="20" t="str">
        <x:v>EXACT_FROM_UPLOADED_PRIMARY</x:v>
      </x:c>
      <x:c r="AL5" s="20" t="str">
        <x:v>Cross-regime peptide→gold mechanism; not an atomically precise AuNC training target.</x:v>
      </x:c>
      <x:c r="AM5" s="20" t="str">
        <x:v>2026-09-07</x:v>
      </x:c>
      <x:c r="AN5" s="20" t="str">
        <x:v>UPLOADED_PRIMARY_OR_REVIEW</x:v>
      </x:c>
    </x:row>
    <x:row r="6">
      <x:c r="A6" s="20" t="str">
        <x:v>R003</x:v>
      </x:c>
      <x:c r="B6" s="20" t="str">
        <x:v>S01</x:v>
      </x:c>
      <x:c r="C6" s="20" t="str">
        <x:v>B1 PEPTIDE_AUNP_MECHANISM</x:v>
      </x:c>
      <x:c r="D6" s="20" t="str">
        <x:v>DIRECT</x:v>
      </x:c>
      <x:c r="E6" s="20" t="str">
        <x:v>gold_nanoparticle</x:v>
      </x:c>
      <x:c r="F6" s="20" t="str">
        <x:v>AAAKCK</x:v>
      </x:c>
      <x:c r="G6" s="20" t="str">
        <x:v>AAAKCK</x:v>
      </x:c>
      <x:c r="H6" s="20" t="str">
        <x:v>L</x:v>
      </x:c>
      <x:c r="I6" s="20" t="str">
        <x:v>None</x:v>
      </x:c>
      <x:c r="J6" s="20"/>
      <x:c r="K6" s="20"/>
      <x:c r="L6" s="20" t="n">
        <x:v>18</x:v>
      </x:c>
      <x:c r="M6" s="20"/>
      <x:c r="N6" s="20" t="str">
        <x:v>Predominantly spherical / low shape polydispersity</x:v>
      </x:c>
      <x:c r="O6" s="20" t="str">
        <x:v>HAuCl4</x:v>
      </x:c>
      <x:c r="P6" s="20" t="str">
        <x:v>7 mM peptide; 10 mM HAuCl4; 20 mM phosphate buffer</x:v>
      </x:c>
      <x:c r="Q6" s="20" t="str">
        <x:v>Peptide self-reduction</x:v>
      </x:c>
      <x:c r="R6" s="20" t="n">
        <x:v>9</x:v>
      </x:c>
      <x:c r="S6" s="20" t="n">
        <x:v>25</x:v>
      </x:c>
      <x:c r="T6" s="20"/>
      <x:c r="U6" s="20" t="str">
        <x:v>No stirring; room temperature</x:v>
      </x:c>
      <x:c r="V6" s="20"/>
      <x:c r="W6" s="20"/>
      <x:c r="X6" s="20"/>
      <x:c r="Y6" s="20"/>
      <x:c r="Z6" s="20"/>
      <x:c r="AA6" s="20"/>
      <x:c r="AB6" s="20"/>
      <x:c r="AC6" s="20"/>
      <x:c r="AD6" s="20"/>
      <x:c r="AE6" s="20" t="str">
        <x:v>Mechanistic</x:v>
      </x:c>
      <x:c r="AF6" s="20" t="str">
        <x:v>pH 9 produced low shape polydispersity with predominant ~18 nm particles</x:v>
      </x:c>
      <x:c r="AG6" s="20" t="str">
        <x:v>Main text p.5; Fig.6F</x:v>
      </x:c>
      <x:c r="AH6" s="20" t="str">
        <x:v>https://doi.org/10.1021/acsomega.6b00140</x:v>
      </x:c>
      <x:c r="AI6" s="24" t="n">
        <x:f>ROUND(100*COUNTA(G6,J6,L6,R6,S6,T6,V6,X6,AA6,AC6)/10,0)</x:f>
        <x:v>40</x:v>
      </x:c>
      <x:c r="AJ6" s="20" t="str">
        <x:v>MECHANISTIC_ONLY</x:v>
      </x:c>
      <x:c r="AK6" s="20" t="str">
        <x:v>EXACT_FROM_UPLOADED_PRIMARY</x:v>
      </x:c>
      <x:c r="AL6" s="20" t="str">
        <x:v>Cross-regime peptide→gold mechanism; not an atomically precise AuNC training target.</x:v>
      </x:c>
      <x:c r="AM6" s="20" t="str">
        <x:v>2026-09-07</x:v>
      </x:c>
      <x:c r="AN6" s="20" t="str">
        <x:v>UPLOADED_PRIMARY_OR_REVIEW</x:v>
      </x:c>
    </x:row>
    <x:row r="7">
      <x:c r="A7" s="20" t="str">
        <x:v>R004</x:v>
      </x:c>
      <x:c r="B7" s="20" t="str">
        <x:v>S01</x:v>
      </x:c>
      <x:c r="C7" s="20" t="str">
        <x:v>B1 PEPTIDE_AUNP_MECHANISM</x:v>
      </x:c>
      <x:c r="D7" s="20" t="str">
        <x:v>DIRECT</x:v>
      </x:c>
      <x:c r="E7" s="20" t="str">
        <x:v>gold_nanoparticle</x:v>
      </x:c>
      <x:c r="F7" s="20" t="str">
        <x:v>AAARCR</x:v>
      </x:c>
      <x:c r="G7" s="20" t="str">
        <x:v>AAARCR</x:v>
      </x:c>
      <x:c r="H7" s="20" t="str">
        <x:v>L</x:v>
      </x:c>
      <x:c r="I7" s="20" t="str">
        <x:v>None</x:v>
      </x:c>
      <x:c r="J7" s="20"/>
      <x:c r="K7" s="20"/>
      <x:c r="L7" s="20" t="n">
        <x:v>79</x:v>
      </x:c>
      <x:c r="M7" s="20"/>
      <x:c r="N7" s="20" t="str">
        <x:v>Low-polydispersity particles</x:v>
      </x:c>
      <x:c r="O7" s="20" t="str">
        <x:v>HAuCl4</x:v>
      </x:c>
      <x:c r="P7" s="20" t="str">
        <x:v>Same base protocol as alkaline peptide experiments</x:v>
      </x:c>
      <x:c r="Q7" s="20" t="str">
        <x:v>Peptide self-reduction</x:v>
      </x:c>
      <x:c r="R7" s="20" t="n">
        <x:v>9</x:v>
      </x:c>
      <x:c r="S7" s="20" t="n">
        <x:v>25</x:v>
      </x:c>
      <x:c r="T7" s="20"/>
      <x:c r="U7" s="20" t="str">
        <x:v>No stirring; room temperature</x:v>
      </x:c>
      <x:c r="V7" s="20"/>
      <x:c r="W7" s="20"/>
      <x:c r="X7" s="20"/>
      <x:c r="Y7" s="20" t="n">
        <x:v>536</x:v>
      </x:c>
      <x:c r="Z7" s="20" t="n">
        <x:v>30.4</x:v>
      </x:c>
      <x:c r="AA7" s="20"/>
      <x:c r="AB7" s="20"/>
      <x:c r="AC7" s="20"/>
      <x:c r="AD7" s="20"/>
      <x:c r="AE7" s="20" t="str">
        <x:v>Mechanistic</x:v>
      </x:c>
      <x:c r="AF7" s="20" t="str">
        <x:v>Alkaline pH favored AAARCR synthesis; mean diameter 79±6 nm reported for pH 9–10</x:v>
      </x:c>
      <x:c r="AG7" s="20" t="str">
        <x:v>Main text p.7–8; Fig.11</x:v>
      </x:c>
      <x:c r="AH7" s="20" t="str">
        <x:v>https://doi.org/10.1021/acsomega.6b00140</x:v>
      </x:c>
      <x:c r="AI7" s="24" t="n">
        <x:f>ROUND(100*COUNTA(G7,J7,L7,R7,S7,T7,V7,X7,AA7,AC7)/10,0)</x:f>
        <x:v>40</x:v>
      </x:c>
      <x:c r="AJ7" s="20" t="str">
        <x:v>MECHANISTIC_ONLY</x:v>
      </x:c>
      <x:c r="AK7" s="20" t="str">
        <x:v>EXACT_FROM_UPLOADED_PRIMARY</x:v>
      </x:c>
      <x:c r="AL7" s="20" t="str">
        <x:v>Cross-regime peptide→gold mechanism; not an atomically precise AuNC training target.</x:v>
      </x:c>
      <x:c r="AM7" s="20" t="str">
        <x:v>2026-09-07</x:v>
      </x:c>
      <x:c r="AN7" s="20" t="str">
        <x:v>UPLOADED_PRIMARY_OR_REVIEW</x:v>
      </x:c>
    </x:row>
    <x:row r="8">
      <x:c r="A8" s="20" t="str">
        <x:v>R005</x:v>
      </x:c>
      <x:c r="B8" s="20" t="str">
        <x:v>S01</x:v>
      </x:c>
      <x:c r="C8" s="20" t="str">
        <x:v>B1 PEPTIDE_AUNP_MECHANISM</x:v>
      </x:c>
      <x:c r="D8" s="20" t="str">
        <x:v>DIRECT</x:v>
      </x:c>
      <x:c r="E8" s="20" t="str">
        <x:v>gold_nanoparticle</x:v>
      </x:c>
      <x:c r="F8" s="20" t="str">
        <x:v>AAARCR</x:v>
      </x:c>
      <x:c r="G8" s="20" t="str">
        <x:v>AAARCR</x:v>
      </x:c>
      <x:c r="H8" s="20" t="str">
        <x:v>L</x:v>
      </x:c>
      <x:c r="I8" s="20" t="str">
        <x:v>None</x:v>
      </x:c>
      <x:c r="J8" s="20"/>
      <x:c r="K8" s="20"/>
      <x:c r="L8" s="20" t="n">
        <x:v>79</x:v>
      </x:c>
      <x:c r="M8" s="20"/>
      <x:c r="N8" s="20" t="str">
        <x:v>Low-polydispersity particles</x:v>
      </x:c>
      <x:c r="O8" s="20" t="str">
        <x:v>HAuCl4</x:v>
      </x:c>
      <x:c r="P8" s="20" t="str">
        <x:v>Same base protocol as alkaline peptide experiments</x:v>
      </x:c>
      <x:c r="Q8" s="20" t="str">
        <x:v>Peptide self-reduction</x:v>
      </x:c>
      <x:c r="R8" s="20" t="n">
        <x:v>10</x:v>
      </x:c>
      <x:c r="S8" s="20" t="n">
        <x:v>25</x:v>
      </x:c>
      <x:c r="T8" s="20"/>
      <x:c r="U8" s="20" t="str">
        <x:v>No stirring; room temperature</x:v>
      </x:c>
      <x:c r="V8" s="20"/>
      <x:c r="W8" s="20"/>
      <x:c r="X8" s="20"/>
      <x:c r="Y8" s="20" t="n">
        <x:v>536</x:v>
      </x:c>
      <x:c r="Z8" s="20" t="n">
        <x:v>33.2</x:v>
      </x:c>
      <x:c r="AA8" s="20"/>
      <x:c r="AB8" s="20"/>
      <x:c r="AC8" s="20"/>
      <x:c r="AD8" s="20"/>
      <x:c r="AE8" s="20" t="str">
        <x:v>Mechanistic</x:v>
      </x:c>
      <x:c r="AF8" s="20" t="str">
        <x:v>Narrow SPR ~536 nm; mean diameter 79±6 nm; positive zeta potential</x:v>
      </x:c>
      <x:c r="AG8" s="20" t="str">
        <x:v>Main text p.7–8; Fig.11</x:v>
      </x:c>
      <x:c r="AH8" s="20" t="str">
        <x:v>https://doi.org/10.1021/acsomega.6b00140</x:v>
      </x:c>
      <x:c r="AI8" s="24" t="n">
        <x:f>ROUND(100*COUNTA(G8,J8,L8,R8,S8,T8,V8,X8,AA8,AC8)/10,0)</x:f>
        <x:v>40</x:v>
      </x:c>
      <x:c r="AJ8" s="20" t="str">
        <x:v>MECHANISTIC_ONLY</x:v>
      </x:c>
      <x:c r="AK8" s="20" t="str">
        <x:v>EXACT_FROM_UPLOADED_PRIMARY</x:v>
      </x:c>
      <x:c r="AL8" s="20" t="str">
        <x:v>Cross-regime peptide→gold mechanism; not an atomically precise AuNC training target.</x:v>
      </x:c>
      <x:c r="AM8" s="20" t="str">
        <x:v>2026-09-07</x:v>
      </x:c>
      <x:c r="AN8" s="20" t="str">
        <x:v>UPLOADED_PRIMARY_OR_REVIEW</x:v>
      </x:c>
    </x:row>
    <x:row r="9">
      <x:c r="A9" s="20" t="str">
        <x:v>R006</x:v>
      </x:c>
      <x:c r="B9" s="20" t="str">
        <x:v>S01</x:v>
      </x:c>
      <x:c r="C9" s="20" t="str">
        <x:v>B1 PEPTIDE_AUNP_MECHANISM</x:v>
      </x:c>
      <x:c r="D9" s="20" t="str">
        <x:v>DIRECT</x:v>
      </x:c>
      <x:c r="E9" s="20" t="str">
        <x:v>gold_nanoparticle</x:v>
      </x:c>
      <x:c r="F9" s="20" t="str">
        <x:v>AAAACA</x:v>
      </x:c>
      <x:c r="G9" s="20" t="str">
        <x:v>AAAACA</x:v>
      </x:c>
      <x:c r="H9" s="20" t="str">
        <x:v>L</x:v>
      </x:c>
      <x:c r="I9" s="20" t="str">
        <x:v>PEG10 required</x:v>
      </x:c>
      <x:c r="J9" s="20"/>
      <x:c r="K9" s="20"/>
      <x:c r="L9" s="20"/>
      <x:c r="M9" s="20"/>
      <x:c r="N9" s="20" t="str">
        <x:v>GNP formation</x:v>
      </x:c>
      <x:c r="O9" s="20" t="str">
        <x:v>HAuCl4</x:v>
      </x:c>
      <x:c r="P9" s="20" t="str">
        <x:v>PEG10 present</x:v>
      </x:c>
      <x:c r="Q9" s="20" t="str">
        <x:v>Peptide + PEG-assisted</x:v>
      </x:c>
      <x:c r="R9" s="20" t="n">
        <x:v>8</x:v>
      </x:c>
      <x:c r="S9" s="20" t="n">
        <x:v>25</x:v>
      </x:c>
      <x:c r="T9" s="20"/>
      <x:c r="U9" s="20" t="str">
        <x:v>Room temperature</x:v>
      </x:c>
      <x:c r="V9" s="20"/>
      <x:c r="W9" s="20"/>
      <x:c r="X9" s="20"/>
      <x:c r="Y9" s="20"/>
      <x:c r="Z9" s="20"/>
      <x:c r="AA9" s="20"/>
      <x:c r="AB9" s="20"/>
      <x:c r="AC9" s="20"/>
      <x:c r="AD9" s="20"/>
      <x:c r="AE9" s="20" t="str">
        <x:v>Mechanistic</x:v>
      </x:c>
      <x:c r="AF9" s="20" t="str">
        <x:v>Neutral peptide required PEG10; GNP synthesis at pH 8 and 11</x:v>
      </x:c>
      <x:c r="AG9" s="20" t="str">
        <x:v>Main text p.8 + SI</x:v>
      </x:c>
      <x:c r="AH9" s="20" t="str">
        <x:v>https://doi.org/10.1021/acsomega.6b00140</x:v>
      </x:c>
      <x:c r="AI9" s="24" t="n">
        <x:f>ROUND(100*COUNTA(G9,J9,L9,R9,S9,T9,V9,X9,AA9,AC9)/10,0)</x:f>
        <x:v>30</x:v>
      </x:c>
      <x:c r="AJ9" s="20" t="str">
        <x:v>MECHANISTIC_ONLY</x:v>
      </x:c>
      <x:c r="AK9" s="20" t="str">
        <x:v>EXACT_FROM_UPLOADED_PRIMARY</x:v>
      </x:c>
      <x:c r="AL9" s="20" t="str">
        <x:v>Cross-regime peptide→gold mechanism; not an atomically precise AuNC training target.</x:v>
      </x:c>
      <x:c r="AM9" s="20" t="str">
        <x:v>2026-09-07</x:v>
      </x:c>
      <x:c r="AN9" s="20" t="str">
        <x:v>UPLOADED_PRIMARY_OR_REVIEW</x:v>
      </x:c>
    </x:row>
    <x:row r="10">
      <x:c r="A10" s="20" t="str">
        <x:v>R007</x:v>
      </x:c>
      <x:c r="B10" s="20" t="str">
        <x:v>S01</x:v>
      </x:c>
      <x:c r="C10" s="20" t="str">
        <x:v>B1 PEPTIDE_AUNP_MECHANISM</x:v>
      </x:c>
      <x:c r="D10" s="20" t="str">
        <x:v>DIRECT</x:v>
      </x:c>
      <x:c r="E10" s="20" t="str">
        <x:v>gold_nanoparticle</x:v>
      </x:c>
      <x:c r="F10" s="20" t="str">
        <x:v>AAAECE</x:v>
      </x:c>
      <x:c r="G10" s="20" t="str">
        <x:v>AAAECE</x:v>
      </x:c>
      <x:c r="H10" s="20" t="str">
        <x:v>L</x:v>
      </x:c>
      <x:c r="I10" s="20" t="str">
        <x:v>PEG10 required</x:v>
      </x:c>
      <x:c r="J10" s="20"/>
      <x:c r="K10" s="20"/>
      <x:c r="L10" s="20"/>
      <x:c r="M10" s="20"/>
      <x:c r="N10" s="20" t="str">
        <x:v>GNP formation</x:v>
      </x:c>
      <x:c r="O10" s="20" t="str">
        <x:v>HAuCl4</x:v>
      </x:c>
      <x:c r="P10" s="20" t="str">
        <x:v>PEG10 present</x:v>
      </x:c>
      <x:c r="Q10" s="20" t="str">
        <x:v>Peptide + PEG-assisted</x:v>
      </x:c>
      <x:c r="R10" s="20" t="n">
        <x:v>7</x:v>
      </x:c>
      <x:c r="S10" s="20" t="n">
        <x:v>80</x:v>
      </x:c>
      <x:c r="T10" s="20"/>
      <x:c r="U10" s="20" t="str">
        <x:v>Heating required</x:v>
      </x:c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 t="str">
        <x:v>Mechanistic</x:v>
      </x:c>
      <x:c r="AF10" s="20" t="str">
        <x:v>Acidic peptide required PEG10 and 80°C; synthesis observed at pH 7 and 11</x:v>
      </x:c>
      <x:c r="AG10" s="20" t="str">
        <x:v>Main text p.8 + SI</x:v>
      </x:c>
      <x:c r="AH10" s="20" t="str">
        <x:v>https://doi.org/10.1021/acsomega.6b00140</x:v>
      </x:c>
      <x:c r="AI10" s="24" t="n">
        <x:f>ROUND(100*COUNTA(G10,J10,L10,R10,S10,T10,V10,X10,AA10,AC10)/10,0)</x:f>
        <x:v>30</x:v>
      </x:c>
      <x:c r="AJ10" s="20" t="str">
        <x:v>MECHANISTIC_ONLY</x:v>
      </x:c>
      <x:c r="AK10" s="20" t="str">
        <x:v>EXACT_FROM_UPLOADED_PRIMARY</x:v>
      </x:c>
      <x:c r="AL10" s="20" t="str">
        <x:v>Cross-regime peptide→gold mechanism; not an atomically precise AuNC training target.</x:v>
      </x:c>
      <x:c r="AM10" s="20" t="str">
        <x:v>2026-09-07</x:v>
      </x:c>
      <x:c r="AN10" s="20" t="str">
        <x:v>UPLOADED_PRIMARY_OR_REVIEW</x:v>
      </x:c>
    </x:row>
    <x:row r="11">
      <x:c r="A11" s="20" t="str">
        <x:v>R008</x:v>
      </x:c>
      <x:c r="B11" s="20" t="str">
        <x:v>S01</x:v>
      </x:c>
      <x:c r="C11" s="20" t="str">
        <x:v>B1 PEPTIDE_AUNP_MECHANISM</x:v>
      </x:c>
      <x:c r="D11" s="20" t="str">
        <x:v>DIRECT</x:v>
      </x:c>
      <x:c r="E11" s="20" t="str">
        <x:v>gold_nanoparticle</x:v>
      </x:c>
      <x:c r="F11" s="20" t="str">
        <x:v>Glutathione (GSH)</x:v>
      </x:c>
      <x:c r="G11" s="20" t="str">
        <x:v>γ-ECG</x:v>
      </x:c>
      <x:c r="H11" s="20" t="str">
        <x:v>L</x:v>
      </x:c>
      <x:c r="I11" s="20" t="str">
        <x:v>PEG10 required</x:v>
      </x:c>
      <x:c r="J11" s="20"/>
      <x:c r="K11" s="20"/>
      <x:c r="L11" s="20"/>
      <x:c r="M11" s="20"/>
      <x:c r="N11" s="20" t="str">
        <x:v>GNP formation</x:v>
      </x:c>
      <x:c r="O11" s="20" t="str">
        <x:v>HAuCl4</x:v>
      </x:c>
      <x:c r="P11" s="20" t="str">
        <x:v>PEG10 present</x:v>
      </x:c>
      <x:c r="Q11" s="20" t="str">
        <x:v>Peptide + PEG-assisted</x:v>
      </x:c>
      <x:c r="R11" s="20" t="n">
        <x:v>11</x:v>
      </x:c>
      <x:c r="S11" s="20" t="n">
        <x:v>80</x:v>
      </x:c>
      <x:c r="T11" s="20"/>
      <x:c r="U11" s="20" t="str">
        <x:v>Heating required</x:v>
      </x:c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 t="str">
        <x:v>Mechanistic</x:v>
      </x:c>
      <x:c r="AF11" s="20" t="str">
        <x:v>GSH required PEG10 + 80°C and produced GNPs only at pH 11 in this study</x:v>
      </x:c>
      <x:c r="AG11" s="20" t="str">
        <x:v>Main text p.8 + SI</x:v>
      </x:c>
      <x:c r="AH11" s="20" t="str">
        <x:v>https://doi.org/10.1021/acsomega.6b00140</x:v>
      </x:c>
      <x:c r="AI11" s="24" t="n">
        <x:f>ROUND(100*COUNTA(G11,J11,L11,R11,S11,T11,V11,X11,AA11,AC11)/10,0)</x:f>
        <x:v>30</x:v>
      </x:c>
      <x:c r="AJ11" s="20" t="str">
        <x:v>MECHANISTIC_ONLY</x:v>
      </x:c>
      <x:c r="AK11" s="20" t="str">
        <x:v>EXACT_FROM_UPLOADED_PRIMARY</x:v>
      </x:c>
      <x:c r="AL11" s="20" t="str">
        <x:v>Cross-regime peptide→gold mechanism; not an atomically precise AuNC training target.</x:v>
      </x:c>
      <x:c r="AM11" s="20" t="str">
        <x:v>2026-09-07</x:v>
      </x:c>
      <x:c r="AN11" s="20" t="str">
        <x:v>UPLOADED_PRIMARY_OR_REVIEW</x:v>
      </x:c>
    </x:row>
    <x:row r="12">
      <x:c r="A12" s="20" t="str">
        <x:v>R009</x:v>
      </x:c>
      <x:c r="B12" s="20" t="str">
        <x:v>S02</x:v>
      </x:c>
      <x:c r="C12" s="20" t="str">
        <x:v>B1 PEPTIDE_AUNP_MECHANISM</x:v>
      </x:c>
      <x:c r="D12" s="20" t="str">
        <x:v>DIRECT</x:v>
      </x:c>
      <x:c r="E12" s="20" t="str">
        <x:v>gold_bipyramid</x:v>
      </x:c>
      <x:c r="F12" s="20" t="str">
        <x:v>D-Cys-Phe</x:v>
      </x:c>
      <x:c r="G12" s="20" t="str">
        <x:v>CF</x:v>
      </x:c>
      <x:c r="H12" s="20" t="str">
        <x:v>D</x:v>
      </x:c>
      <x:c r="I12" s="20" t="str">
        <x:v>Chiral D peptide; SH-PEG surface stabilization</x:v>
      </x:c>
      <x:c r="J12" s="20"/>
      <x:c r="K12" s="20"/>
      <x:c r="L12" s="20"/>
      <x:c r="M12" s="20"/>
      <x:c r="N12" s="20" t="str">
        <x:v>Sea-cucumber-like spiked GBP; ~200×50 nm</x:v>
      </x:c>
      <x:c r="O12" s="20" t="str">
        <x:v>HAuCl4</x:v>
      </x:c>
      <x:c r="P12" s="20" t="str">
        <x:v>Seed-mediated growth with Cys-Phe</x:v>
      </x:c>
      <x:c r="Q12" s="20" t="str">
        <x:v>Ascorbic acid</x:v>
      </x:c>
      <x:c r="R12" s="20"/>
      <x:c r="S12" s="20"/>
      <x:c r="T12" s="20"/>
      <x:c r="U12" s="20" t="str">
        <x:v>~100 nm Au NBP seeds; aqueous growth</x:v>
      </x:c>
      <x:c r="V12" s="20"/>
      <x:c r="W12" s="20"/>
      <x:c r="X12" s="20"/>
      <x:c r="Y12" s="20" t="n">
        <x:v>536</x:v>
      </x:c>
      <x:c r="Z12" s="20"/>
      <x:c r="AA12" s="20" t="n">
        <x:v>808</x:v>
      </x:c>
      <x:c r="AB12" s="20" t="n">
        <x:v>0.8</x:v>
      </x:c>
      <x:c r="AC12" s="20" t="str">
        <x:v>&gt;45</x:v>
      </x:c>
      <x:c r="AD12" s="20" t="n">
        <x:v>5</x:v>
      </x:c>
      <x:c r="AE12" s="20" t="str">
        <x:v>Antibacterial PTT</x:v>
      </x:c>
      <x:c r="AF12" s="20" t="str">
        <x:v>D-form gave stronger bacterial binding and higher PTT response than L-form</x:v>
      </x:c>
      <x:c r="AG12" s="20" t="str">
        <x:v>Main text pp.2–4</x:v>
      </x:c>
      <x:c r="AH12" s="20" t="str">
        <x:v>https://doi.org/10.1039/d2sc03443c</x:v>
      </x:c>
      <x:c r="AI12" s="24" t="n">
        <x:f>ROUND(100*COUNTA(G12,J12,L12,R12,S12,T12,V12,X12,AA12,AC12)/10,0)</x:f>
        <x:v>30</x:v>
      </x:c>
      <x:c r="AJ12" s="20" t="str">
        <x:v>MECHANISTIC_ONLY</x:v>
      </x:c>
      <x:c r="AK12" s="20" t="str">
        <x:v>EXACT_FROM_UPLOADED_PRIMARY</x:v>
      </x:c>
      <x:c r="AL12" s="20" t="str">
        <x:v>Cross-regime peptide→gold mechanism; not an atomically precise AuNC training target.</x:v>
      </x:c>
      <x:c r="AM12" s="20" t="str">
        <x:v>2026-09-07</x:v>
      </x:c>
      <x:c r="AN12" s="20" t="str">
        <x:v>UPLOADED_PRIMARY_OR_REVIEW</x:v>
      </x:c>
    </x:row>
    <x:row r="13">
      <x:c r="A13" s="20" t="str">
        <x:v>R010</x:v>
      </x:c>
      <x:c r="B13" s="20" t="str">
        <x:v>S02</x:v>
      </x:c>
      <x:c r="C13" s="20" t="str">
        <x:v>B1 PEPTIDE_AUNP_MECHANISM</x:v>
      </x:c>
      <x:c r="D13" s="20" t="str">
        <x:v>DIRECT</x:v>
      </x:c>
      <x:c r="E13" s="20" t="str">
        <x:v>gold_bipyramid</x:v>
      </x:c>
      <x:c r="F13" s="20" t="str">
        <x:v>L-Cys-Phe</x:v>
      </x:c>
      <x:c r="G13" s="20" t="str">
        <x:v>CF</x:v>
      </x:c>
      <x:c r="H13" s="20" t="str">
        <x:v>L</x:v>
      </x:c>
      <x:c r="I13" s="20" t="str">
        <x:v>Chiral L peptide; SH-PEG surface stabilization</x:v>
      </x:c>
      <x:c r="J13" s="20"/>
      <x:c r="K13" s="20"/>
      <x:c r="L13" s="20"/>
      <x:c r="M13" s="20"/>
      <x:c r="N13" s="20" t="str">
        <x:v>Sea-cucumber-like spiked GBP; ~200×50 nm</x:v>
      </x:c>
      <x:c r="O13" s="20" t="str">
        <x:v>HAuCl4</x:v>
      </x:c>
      <x:c r="P13" s="20" t="str">
        <x:v>Seed-mediated growth with Cys-Phe</x:v>
      </x:c>
      <x:c r="Q13" s="20" t="str">
        <x:v>Ascorbic acid</x:v>
      </x:c>
      <x:c r="R13" s="20"/>
      <x:c r="S13" s="20"/>
      <x:c r="T13" s="20"/>
      <x:c r="U13" s="20" t="str">
        <x:v>~100 nm Au NBP seeds; aqueous growth</x:v>
      </x:c>
      <x:c r="V13" s="20"/>
      <x:c r="W13" s="20"/>
      <x:c r="X13" s="20"/>
      <x:c r="Y13" s="20" t="n">
        <x:v>536</x:v>
      </x:c>
      <x:c r="Z13" s="20"/>
      <x:c r="AA13" s="20" t="n">
        <x:v>808</x:v>
      </x:c>
      <x:c r="AB13" s="20" t="n">
        <x:v>0.8</x:v>
      </x:c>
      <x:c r="AC13" s="20" t="str">
        <x:v>&gt;45</x:v>
      </x:c>
      <x:c r="AD13" s="20" t="n">
        <x:v>5</x:v>
      </x:c>
      <x:c r="AE13" s="20" t="str">
        <x:v>Antibacterial PTT</x:v>
      </x:c>
      <x:c r="AF13" s="20" t="str">
        <x:v>L-form forms mirror-chiral GBP and has lower bacterial affinity than D-form</x:v>
      </x:c>
      <x:c r="AG13" s="20" t="str">
        <x:v>Main text pp.2–4</x:v>
      </x:c>
      <x:c r="AH13" s="20" t="str">
        <x:v>https://doi.org/10.1039/d2sc03443c</x:v>
      </x:c>
      <x:c r="AI13" s="24" t="n">
        <x:f>ROUND(100*COUNTA(G13,J13,L13,R13,S13,T13,V13,X13,AA13,AC13)/10,0)</x:f>
        <x:v>30</x:v>
      </x:c>
      <x:c r="AJ13" s="20" t="str">
        <x:v>MECHANISTIC_ONLY</x:v>
      </x:c>
      <x:c r="AK13" s="20" t="str">
        <x:v>EXACT_FROM_UPLOADED_PRIMARY</x:v>
      </x:c>
      <x:c r="AL13" s="20" t="str">
        <x:v>Cross-regime peptide→gold mechanism; not an atomically precise AuNC training target.</x:v>
      </x:c>
      <x:c r="AM13" s="20" t="str">
        <x:v>2026-09-07</x:v>
      </x:c>
      <x:c r="AN13" s="20" t="str">
        <x:v>UPLOADED_PRIMARY_OR_REVIEW</x:v>
      </x:c>
    </x:row>
    <x:row r="14">
      <x:c r="A14" s="20" t="str">
        <x:v>R011</x:v>
      </x:c>
      <x:c r="B14" s="20" t="str">
        <x:v>S03</x:v>
      </x:c>
      <x:c r="C14" s="20" t="str">
        <x:v>B1 PEPTIDE_AUNP_MECHANISM</x:v>
      </x:c>
      <x:c r="D14" s="20" t="str">
        <x:v>DIRECT</x:v>
      </x:c>
      <x:c r="E14" s="20" t="str">
        <x:v>gold_superstructure</x:v>
      </x:c>
      <x:c r="F14" s="20" t="str">
        <x:v>C18-(PEPAuM-ox)2</x:v>
      </x:c>
      <x:c r="G14" s="20" t="str">
        <x:v>AYSSGAPPMoxPPF</x:v>
      </x:c>
      <x:c r="H14" s="20" t="str">
        <x:v>L</x:v>
      </x:c>
      <x:c r="I14" s="20" t="str">
        <x:v>C18 tail; methionine oxidized to sulfoxide</x:v>
      </x:c>
      <x:c r="J14" s="20"/>
      <x:c r="K14" s="20"/>
      <x:c r="L14" s="20"/>
      <x:c r="M14" s="20"/>
      <x:c r="N14" s="20" t="str">
        <x:v>Single-helical superstructure; rod-like AuNP 16.6×9.6 nm</x:v>
      </x:c>
      <x:c r="O14" s="20" t="str">
        <x:v>Gold salt</x:v>
      </x:c>
      <x:c r="P14" s="20" t="str">
        <x:v>Peptide conjugate + assembly buffer</x:v>
      </x:c>
      <x:c r="Q14" s="20" t="str">
        <x:v>Reducing agent used</x:v>
      </x:c>
      <x:c r="R14" s="20"/>
      <x:c r="S14" s="20"/>
      <x:c r="T14" s="20" t="n">
        <x:v>15</x:v>
      </x:c>
      <x:c r="U14" s="20" t="str">
        <x:v>In-situ growth on peptide fibers</x:v>
      </x:c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 t="str">
        <x:v>Chiral assembly</x:v>
      </x:c>
      <x:c r="AF14" s="20" t="str">
        <x:v>Methionine oxidation alone switches product toward single helices under otherwise nearly identical synthesis conditions</x:v>
      </x:c>
      <x:c r="AG14" s="20" t="str">
        <x:v>Main text p.2; Fig.1–2</x:v>
      </x:c>
      <x:c r="AH14" s="20" t="str">
        <x:v>https://doi.org/10.1021/jacs.6b07322</x:v>
      </x:c>
      <x:c r="AI14" s="24" t="n">
        <x:f>ROUND(100*COUNTA(G14,J14,L14,R14,S14,T14,V14,X14,AA14,AC14)/10,0)</x:f>
        <x:v>20</x:v>
      </x:c>
      <x:c r="AJ14" s="20" t="str">
        <x:v>MECHANISTIC_ONLY</x:v>
      </x:c>
      <x:c r="AK14" s="20" t="str">
        <x:v>EXACT_FROM_UPLOADED_PRIMARY</x:v>
      </x:c>
      <x:c r="AL14" s="20" t="str">
        <x:v>Cross-regime peptide→gold mechanism; not an atomically precise AuNC training target.</x:v>
      </x:c>
      <x:c r="AM14" s="20" t="str">
        <x:v>2026-09-07</x:v>
      </x:c>
      <x:c r="AN14" s="20" t="str">
        <x:v>UPLOADED_PRIMARY_OR_REVIEW</x:v>
      </x:c>
    </x:row>
    <x:row r="15">
      <x:c r="A15" s="20" t="str">
        <x:v>R012</x:v>
      </x:c>
      <x:c r="B15" s="20" t="str">
        <x:v>S03</x:v>
      </x:c>
      <x:c r="C15" s="20" t="str">
        <x:v>B1 PEPTIDE_AUNP_MECHANISM</x:v>
      </x:c>
      <x:c r="D15" s="20" t="str">
        <x:v>DIRECT</x:v>
      </x:c>
      <x:c r="E15" s="20" t="str">
        <x:v>gold_superstructure</x:v>
      </x:c>
      <x:c r="F15" s="20" t="str">
        <x:v>C18-(PEPAu)2</x:v>
      </x:c>
      <x:c r="G15" s="20" t="str">
        <x:v>AYSSGAPPMPPF</x:v>
      </x:c>
      <x:c r="H15" s="20" t="str">
        <x:v>L</x:v>
      </x:c>
      <x:c r="I15" s="20" t="str">
        <x:v>C18 tail; unoxidized methionine</x:v>
      </x:c>
      <x:c r="J15" s="20"/>
      <x:c r="K15" s="20"/>
      <x:c r="L15" s="20"/>
      <x:c r="M15" s="20"/>
      <x:c r="N15" s="20" t="str">
        <x:v>Double-helical superstructure</x:v>
      </x:c>
      <x:c r="O15" s="20" t="str">
        <x:v>Gold salt</x:v>
      </x:c>
      <x:c r="P15" s="20" t="str">
        <x:v>Peptide conjugate + assembly buffer</x:v>
      </x:c>
      <x:c r="Q15" s="20" t="str">
        <x:v>Reducing agent used</x:v>
      </x:c>
      <x:c r="R15" s="20"/>
      <x:c r="S15" s="20"/>
      <x:c r="T15" s="20"/>
      <x:c r="U15" s="20" t="str">
        <x:v>In-situ growth on peptide fibers</x:v>
      </x:c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 t="str">
        <x:v>Chiral assembly</x:v>
      </x:c>
      <x:c r="AF15" s="20" t="str">
        <x:v>Unoxidized conjugate directs double-helical assembly; serves as paired comparator to oxidized peptide</x:v>
      </x:c>
      <x:c r="AG15" s="20" t="str">
        <x:v>Main text pp.1–2</x:v>
      </x:c>
      <x:c r="AH15" s="20" t="str">
        <x:v>https://doi.org/10.1021/jacs.6b07322</x:v>
      </x:c>
      <x:c r="AI15" s="24" t="n">
        <x:f>ROUND(100*COUNTA(G15,J15,L15,R15,S15,T15,V15,X15,AA15,AC15)/10,0)</x:f>
        <x:v>10</x:v>
      </x:c>
      <x:c r="AJ15" s="20" t="str">
        <x:v>MECHANISTIC_ONLY</x:v>
      </x:c>
      <x:c r="AK15" s="20" t="str">
        <x:v>EXACT_FROM_UPLOADED_PRIMARY</x:v>
      </x:c>
      <x:c r="AL15" s="20" t="str">
        <x:v>Cross-regime peptide→gold mechanism; not an atomically precise AuNC training target.</x:v>
      </x:c>
      <x:c r="AM15" s="20" t="str">
        <x:v>2026-09-07</x:v>
      </x:c>
      <x:c r="AN15" s="20" t="str">
        <x:v>UPLOADED_PRIMARY_OR_REVIEW</x:v>
      </x:c>
    </x:row>
    <x:row r="16">
      <x:c r="A16" s="20" t="str">
        <x:v>R013</x:v>
      </x:c>
      <x:c r="B16" s="20" t="str">
        <x:v>S04</x:v>
      </x:c>
      <x:c r="C16" s="20" t="str">
        <x:v>B1 PEPTIDE_AUNP_MECHANISM</x:v>
      </x:c>
      <x:c r="D16" s="20" t="str">
        <x:v>DIRECT</x:v>
      </x:c>
      <x:c r="E16" s="20" t="str">
        <x:v>gold_superstructure</x:v>
      </x:c>
      <x:c r="F16" s="20" t="str">
        <x:v>C12-L-PEPAu</x:v>
      </x:c>
      <x:c r="G16" s="20" t="str">
        <x:v>AYSSGAPPMPPF</x:v>
      </x:c>
      <x:c r="H16" s="20" t="str">
        <x:v>L</x:v>
      </x:c>
      <x:c r="I16" s="20" t="str">
        <x:v>C12 acyl tail</x:v>
      </x:c>
      <x:c r="J16" s="20"/>
      <x:c r="K16" s="20"/>
      <x:c r="L16" s="20" t="n">
        <x:v>5.74</x:v>
      </x:c>
      <x:c r="M16" s="20"/>
      <x:c r="N16" s="20" t="str">
        <x:v>Left-handed double helix</x:v>
      </x:c>
      <x:c r="O16" s="20" t="str">
        <x:v>Gold precursor</x:v>
      </x:c>
      <x:c r="P16" s="20" t="str">
        <x:v>Mixed with HEPES buffer</x:v>
      </x:c>
      <x:c r="Q16" s="20"/>
      <x:c r="R16" s="20"/>
      <x:c r="S16" s="20"/>
      <x:c r="T16" s="20"/>
      <x:c r="U16" s="20" t="str">
        <x:v>Peptide self-assembly + Au growth</x:v>
      </x:c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 t="str">
        <x:v>Chiral plasmonics</x:v>
      </x:c>
      <x:c r="AF16" s="20" t="str">
        <x:v>L-peptide gives left-handed helices; initial particles 5.74±0.75 nm</x:v>
      </x:c>
      <x:c r="AG16" s="20" t="str">
        <x:v>Main text pp.1–2</x:v>
      </x:c>
      <x:c r="AH16" s="20" t="str">
        <x:v>https://doi.org/10.1021/nl4013776</x:v>
      </x:c>
      <x:c r="AI16" s="24" t="n">
        <x:f>ROUND(100*COUNTA(G16,J16,L16,R16,S16,T16,V16,X16,AA16,AC16)/10,0)</x:f>
        <x:v>20</x:v>
      </x:c>
      <x:c r="AJ16" s="20" t="str">
        <x:v>MECHANISTIC_ONLY</x:v>
      </x:c>
      <x:c r="AK16" s="20" t="str">
        <x:v>EXACT_FROM_UPLOADED_PRIMARY</x:v>
      </x:c>
      <x:c r="AL16" s="20" t="str">
        <x:v>Cross-regime peptide→gold mechanism; not an atomically precise AuNC training target.</x:v>
      </x:c>
      <x:c r="AM16" s="20" t="str">
        <x:v>2026-09-07</x:v>
      </x:c>
      <x:c r="AN16" s="20" t="str">
        <x:v>UPLOADED_PRIMARY_OR_REVIEW</x:v>
      </x:c>
    </x:row>
    <x:row r="17">
      <x:c r="A17" s="20" t="str">
        <x:v>R014</x:v>
      </x:c>
      <x:c r="B17" s="20" t="str">
        <x:v>S04</x:v>
      </x:c>
      <x:c r="C17" s="20" t="str">
        <x:v>B1 PEPTIDE_AUNP_MECHANISM</x:v>
      </x:c>
      <x:c r="D17" s="20" t="str">
        <x:v>DIRECT</x:v>
      </x:c>
      <x:c r="E17" s="20" t="str">
        <x:v>gold_superstructure</x:v>
      </x:c>
      <x:c r="F17" s="20" t="str">
        <x:v>C12-D-PEPAu</x:v>
      </x:c>
      <x:c r="G17" s="20" t="str">
        <x:v>AYSSGAPPMPPF</x:v>
      </x:c>
      <x:c r="H17" s="20" t="str">
        <x:v>D</x:v>
      </x:c>
      <x:c r="I17" s="20" t="str">
        <x:v>C12 acyl tail</x:v>
      </x:c>
      <x:c r="J17" s="20"/>
      <x:c r="K17" s="20"/>
      <x:c r="L17" s="20" t="n">
        <x:v>5.25</x:v>
      </x:c>
      <x:c r="M17" s="20"/>
      <x:c r="N17" s="20" t="str">
        <x:v>Right-handed double helix</x:v>
      </x:c>
      <x:c r="O17" s="20" t="str">
        <x:v>Gold precursor</x:v>
      </x:c>
      <x:c r="P17" s="20" t="str">
        <x:v>Mixed with HEPES buffer</x:v>
      </x:c>
      <x:c r="Q17" s="20"/>
      <x:c r="R17" s="20"/>
      <x:c r="S17" s="20"/>
      <x:c r="T17" s="20"/>
      <x:c r="U17" s="20" t="str">
        <x:v>Peptide self-assembly + Au growth</x:v>
      </x:c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 t="str">
        <x:v>Chiral plasmonics</x:v>
      </x:c>
      <x:c r="AF17" s="20" t="str">
        <x:v>D-peptide gives right-handed helices; initial particles 5.25±0.79 nm</x:v>
      </x:c>
      <x:c r="AG17" s="20" t="str">
        <x:v>Main text pp.1–2</x:v>
      </x:c>
      <x:c r="AH17" s="20" t="str">
        <x:v>https://doi.org/10.1021/nl4013776</x:v>
      </x:c>
      <x:c r="AI17" s="24" t="n">
        <x:f>ROUND(100*COUNTA(G17,J17,L17,R17,S17,T17,V17,X17,AA17,AC17)/10,0)</x:f>
        <x:v>20</x:v>
      </x:c>
      <x:c r="AJ17" s="20" t="str">
        <x:v>MECHANISTIC_ONLY</x:v>
      </x:c>
      <x:c r="AK17" s="20" t="str">
        <x:v>EXACT_FROM_UPLOADED_PRIMARY</x:v>
      </x:c>
      <x:c r="AL17" s="20" t="str">
        <x:v>Cross-regime peptide→gold mechanism; not an atomically precise AuNC training target.</x:v>
      </x:c>
      <x:c r="AM17" s="20" t="str">
        <x:v>2026-09-07</x:v>
      </x:c>
      <x:c r="AN17" s="20" t="str">
        <x:v>UPLOADED_PRIMARY_OR_REVIEW</x:v>
      </x:c>
    </x:row>
    <x:row r="18">
      <x:c r="A18" s="20" t="str">
        <x:v>R015</x:v>
      </x:c>
      <x:c r="B18" s="20" t="str">
        <x:v>S14</x:v>
      </x:c>
      <x:c r="C18" s="20" t="str">
        <x:v>A1 DIRECT_PEPTIDE_ATOMIC_AUNC</x:v>
      </x:c>
      <x:c r="D18" s="20" t="str">
        <x:v>DIRECT</x:v>
      </x:c>
      <x:c r="E18" s="20" t="str">
        <x:v>atomically_precise_AuNC</x:v>
      </x:c>
      <x:c r="F18" s="20" t="str">
        <x:v>Glutathione (SG)</x:v>
      </x:c>
      <x:c r="G18" s="20" t="str">
        <x:v>γ-ECG</x:v>
      </x:c>
      <x:c r="H18" s="20" t="str">
        <x:v>L</x:v>
      </x:c>
      <x:c r="I18" s="20" t="str">
        <x:v>Thiolate ligand</x:v>
      </x:c>
      <x:c r="J18" s="20" t="n">
        <x:v>22</x:v>
      </x:c>
      <x:c r="K18" s="20" t="n">
        <x:v>18</x:v>
      </x:c>
      <x:c r="L18" s="20" t="n">
        <x:v>1.5</x:v>
      </x:c>
      <x:c r="M18" s="20" t="n">
        <x:v>2.01</x:v>
      </x:c>
      <x:c r="N18" s="20" t="str">
        <x:v>Atomically precise Au22(SG)18</x:v>
      </x:c>
      <x:c r="O18" s="20" t="str">
        <x:v>HAuCl4</x:v>
      </x:c>
      <x:c r="P18" s="20" t="str">
        <x:v>20 mM HAuCl4 12.5 mL + 50 mM GSH 7.5 mL in 180 mL water</x:v>
      </x:c>
      <x:c r="Q18" s="20" t="str">
        <x:v>NaBH4</x:v>
      </x:c>
      <x:c r="R18" s="20" t="n">
        <x:v>12</x:v>
      </x:c>
      <x:c r="S18" s="20" t="n">
        <x:v>25</x:v>
      </x:c>
      <x:c r="T18" s="20" t="n">
        <x:v>0.5</x:v>
      </x:c>
      <x:c r="U18" s="20" t="str">
        <x:v>500 rpm after NaBH4; then acidification</x:v>
      </x:c>
      <x:c r="V18" s="20" t="n">
        <x:v>925</x:v>
      </x:c>
      <x:c r="W18" s="20" t="str">
        <x:v>925–1300 tail</x:v>
      </x:c>
      <x:c r="X18" s="20" t="n">
        <x:v>0.16</x:v>
      </x:c>
      <x:c r="Y18" s="20" t="n">
        <x:v>515</x:v>
      </x:c>
      <x:c r="Z18" s="20"/>
      <x:c r="AA18" s="20" t="n">
        <x:v>808</x:v>
      </x:c>
      <x:c r="AB18" s="20"/>
      <x:c r="AC18" s="20"/>
      <x:c r="AD18" s="20"/>
      <x:c r="AE18" s="20" t="str">
        <x:v>NIR-II imaging / bioactivity</x:v>
      </x:c>
      <x:c r="AF18" s="20" t="str">
        <x:v>Atomic-precision Au22; pH later shifted to 2.5 and sealed/stirred 8 h for size focusing/purification</x:v>
      </x:c>
      <x:c r="AG18" s="20" t="str">
        <x:v>Results p.2 + Methods p.13</x:v>
      </x:c>
      <x:c r="AH18" s="20" t="str">
        <x:v>https://doi.org/10.1126/sciadv.adh7828</x:v>
      </x:c>
      <x:c r="AI18" s="24" t="n">
        <x:f>ROUND(100*COUNTA(G18,J18,L18,R18,S18,T18,V18,X18,AA18,AC18)/10,0)</x:f>
        <x:v>90</x:v>
      </x:c>
      <x:c r="AJ18" s="20" t="str">
        <x:v>TRAIN_CORE</x:v>
      </x:c>
      <x:c r="AK18" s="20" t="str">
        <x:v>EXACT_FROM_UPLOADED_PRIMARY</x:v>
      </x:c>
      <x:c r="AL18" s="20" t="str">
        <x:v>Atomic record; keep same-paper records grouped in validation.</x:v>
      </x:c>
      <x:c r="AM18" s="20" t="str">
        <x:v>2026-09-07</x:v>
      </x:c>
      <x:c r="AN18" s="20" t="str">
        <x:v>UPLOADED_PRIMARY_OR_REVIEW</x:v>
      </x:c>
    </x:row>
    <x:row r="19">
      <x:c r="A19" s="20" t="str">
        <x:v>R016</x:v>
      </x:c>
      <x:c r="B19" s="20" t="str">
        <x:v>S14</x:v>
      </x:c>
      <x:c r="C19" s="20" t="str">
        <x:v>A1 DIRECT_PEPTIDE_ATOMIC_AUNC</x:v>
      </x:c>
      <x:c r="D19" s="20" t="str">
        <x:v>DIRECT</x:v>
      </x:c>
      <x:c r="E19" s="20" t="str">
        <x:v>atomically_precise_AuNC</x:v>
      </x:c>
      <x:c r="F19" s="20" t="str">
        <x:v>Glutathione (SG)</x:v>
      </x:c>
      <x:c r="G19" s="20" t="str">
        <x:v>γ-ECG</x:v>
      </x:c>
      <x:c r="H19" s="20" t="str">
        <x:v>L</x:v>
      </x:c>
      <x:c r="I19" s="20" t="str">
        <x:v>Single Cu atom doping</x:v>
      </x:c>
      <x:c r="J19" s="20" t="n">
        <x:v>21</x:v>
      </x:c>
      <x:c r="K19" s="20" t="n">
        <x:v>18</x:v>
      </x:c>
      <x:c r="L19" s="20" t="n">
        <x:v>1.5</x:v>
      </x:c>
      <x:c r="M19" s="20"/>
      <x:c r="N19" s="20" t="str">
        <x:v>Au21Cu1(SG)18</x:v>
      </x:c>
      <x:c r="O19" s="20" t="str">
        <x:v>HAuCl4 + Cu2+</x:v>
      </x:c>
      <x:c r="P19" s="20" t="str">
        <x:v>Same Au22 method; Cu2+ added</x:v>
      </x:c>
      <x:c r="Q19" s="20" t="str">
        <x:v>NaBH4</x:v>
      </x:c>
      <x:c r="R19" s="20" t="n">
        <x:v>12</x:v>
      </x:c>
      <x:c r="S19" s="20" t="n">
        <x:v>25</x:v>
      </x:c>
      <x:c r="T19" s="20" t="n">
        <x:v>8.5</x:v>
      </x:c>
      <x:c r="U19" s="20" t="str">
        <x:v>500 rpm 30 min; pH 2.5; sealed 200 rpm 8 h</x:v>
      </x:c>
      <x:c r="V19" s="20"/>
      <x:c r="W19" s="20"/>
      <x:c r="X19" s="20"/>
      <x:c r="Y19" s="20"/>
      <x:c r="Z19" s="20"/>
      <x:c r="AA19" s="20" t="n">
        <x:v>808</x:v>
      </x:c>
      <x:c r="AB19" s="20"/>
      <x:c r="AC19" s="20"/>
      <x:c r="AD19" s="20"/>
      <x:c r="AE19" s="20" t="str">
        <x:v>NIR-II imaging / nanozyme</x:v>
      </x:c>
      <x:c r="AF19" s="20" t="str">
        <x:v>Cu single-atom substitution lowers bandgap 1.33→1.28 eV and strongly increases enzyme-mimetic activity</x:v>
      </x:c>
      <x:c r="AG19" s="20" t="str">
        <x:v>Results pp.1–2 + Methods p.13</x:v>
      </x:c>
      <x:c r="AH19" s="20" t="str">
        <x:v>https://doi.org/10.1126/sciadv.adh7828</x:v>
      </x:c>
      <x:c r="AI19" s="24" t="n">
        <x:f>ROUND(100*COUNTA(G19,J19,L19,R19,S19,T19,V19,X19,AA19,AC19)/10,0)</x:f>
        <x:v>70</x:v>
      </x:c>
      <x:c r="AJ19" s="20" t="str">
        <x:v>TRAIN_CORE</x:v>
      </x:c>
      <x:c r="AK19" s="20" t="str">
        <x:v>EXACT_FROM_UPLOADED_PRIMARY</x:v>
      </x:c>
      <x:c r="AL19" s="20" t="str">
        <x:v>Atomic record; keep same-paper records grouped in validation.</x:v>
      </x:c>
      <x:c r="AM19" s="20" t="str">
        <x:v>2026-09-07</x:v>
      </x:c>
      <x:c r="AN19" s="20" t="str">
        <x:v>UPLOADED_PRIMARY_OR_REVIEW</x:v>
      </x:c>
    </x:row>
    <x:row r="20">
      <x:c r="A20" s="20" t="str">
        <x:v>R017</x:v>
      </x:c>
      <x:c r="B20" s="20" t="str">
        <x:v>S10</x:v>
      </x:c>
      <x:c r="C20" s="20" t="str">
        <x:v>A1 DIRECT_PEPTIDE_ATOMIC_AUNC</x:v>
      </x:c>
      <x:c r="D20" s="20" t="str">
        <x:v>DIRECT</x:v>
      </x:c>
      <x:c r="E20" s="20" t="str">
        <x:v>atomically_precise_AuNC</x:v>
      </x:c>
      <x:c r="F20" s="20" t="str">
        <x:v>Glutathione (SG)</x:v>
      </x:c>
      <x:c r="G20" s="20" t="str">
        <x:v>γ-ECG</x:v>
      </x:c>
      <x:c r="H20" s="20" t="str">
        <x:v>L</x:v>
      </x:c>
      <x:c r="I20" s="20" t="str">
        <x:v>Thiolate ligand</x:v>
      </x:c>
      <x:c r="J20" s="20" t="n">
        <x:v>25</x:v>
      </x:c>
      <x:c r="K20" s="20" t="n">
        <x:v>18</x:v>
      </x:c>
      <x:c r="L20" s="20" t="str">
        <x:v>&lt;2</x:v>
      </x:c>
      <x:c r="M20" s="20" t="n">
        <x:v>3.2</x:v>
      </x:c>
      <x:c r="N20" s="20" t="str">
        <x:v>Au25(SG)18; 13-Au core + six Au2(SG)3 shell motifs</x:v>
      </x:c>
      <x:c r="O20" s="20" t="str">
        <x:v>Not fully specified in main paper</x:v>
      </x:c>
      <x:c r="P20" s="20" t="str">
        <x:v>Main paper refers to prior method / SI</x:v>
      </x:c>
      <x:c r="Q20" s="20" t="str">
        <x:v>Not fully specified</x:v>
      </x:c>
      <x:c r="R20" s="20"/>
      <x:c r="S20" s="20"/>
      <x:c r="T20" s="20"/>
      <x:c r="U20" s="20" t="str">
        <x:v>See Supporting Information</x:v>
      </x:c>
      <x:c r="V20" s="20"/>
      <x:c r="W20" s="20" t="str">
        <x:v>1100–1350</x:v>
      </x:c>
      <x:c r="X20" s="20"/>
      <x:c r="Y20" s="20"/>
      <x:c r="Z20" s="20"/>
      <x:c r="AA20" s="20"/>
      <x:c r="AB20" s="20"/>
      <x:c r="AC20" s="20"/>
      <x:c r="AD20" s="20"/>
      <x:c r="AE20" s="20" t="str">
        <x:v>NIR-II imaging</x:v>
      </x:c>
      <x:c r="AF20" s="20" t="str">
        <x:v>Atomic-precision Au25 with strong NIR-II emission; exact synthesis must be taken from SI/primary synthesis method</x:v>
      </x:c>
      <x:c r="AG20" s="20" t="str">
        <x:v>Main text pp.1–2; Experimental points to SI</x:v>
      </x:c>
      <x:c r="AH20" s="20" t="str">
        <x:v>https://doi.org/10.1002/adma.201901015</x:v>
      </x:c>
      <x:c r="AI20" s="24" t="n">
        <x:f>ROUND(100*COUNTA(G20,J20,L20,R20,S20,T20,V20,X20,AA20,AC20)/10,0)</x:f>
        <x:v>30</x:v>
      </x:c>
      <x:c r="AJ20" s="20" t="str">
        <x:v>QC_HOLD</x:v>
      </x:c>
      <x:c r="AK20" s="20" t="str">
        <x:v>EXACT_LIGAND_ID</x:v>
      </x:c>
      <x:c r="AL20" s="20" t="str">
        <x:v>Atomic Au25(SG)18, but exact synthesis details require Supporting Information / prior method.</x:v>
      </x:c>
      <x:c r="AM20" s="20" t="str">
        <x:v>2026-09-07</x:v>
      </x:c>
      <x:c r="AN20" s="20" t="str">
        <x:v>UPLOADED_PRIMARY_OR_REVIEW</x:v>
      </x:c>
    </x:row>
    <x:row r="21">
      <x:c r="A21" s="20" t="str">
        <x:v>R018</x:v>
      </x:c>
      <x:c r="B21" s="20" t="str">
        <x:v>S11</x:v>
      </x:c>
      <x:c r="C21" s="20" t="str">
        <x:v>C1 AUNC_PTT_BENCHMARK</x:v>
      </x:c>
      <x:c r="D21" s="20" t="str">
        <x:v>DIRECT</x:v>
      </x:c>
      <x:c r="E21" s="20" t="str">
        <x:v>atomically_precise_AuNC</x:v>
      </x:c>
      <x:c r="F21" s="20" t="str">
        <x:v>Phosphorylcholine-functionalized Au25</x:v>
      </x:c>
      <x:c r="G21" s="20" t="str">
        <x:v>N/A</x:v>
      </x:c>
      <x:c r="H21" s="20" t="str">
        <x:v>N/A</x:v>
      </x:c>
      <x:c r="I21" s="20" t="str">
        <x:v>PC surface coating</x:v>
      </x:c>
      <x:c r="J21" s="20" t="n">
        <x:v>25</x:v>
      </x:c>
      <x:c r="K21" s="20"/>
      <x:c r="L21" s="20" t="str">
        <x:v>~2</x:v>
      </x:c>
      <x:c r="M21" s="20"/>
      <x:c r="N21" s="20" t="str">
        <x:v>Molecular Au25 cluster</x:v>
      </x:c>
      <x:c r="O21" s="20" t="str">
        <x:v>Au25 precursor/system</x:v>
      </x:c>
      <x:c r="P21" s="20" t="str">
        <x:v>25 mg/mL AuPC aqueous solution</x:v>
      </x:c>
      <x:c r="Q21" s="20" t="str">
        <x:v>N/A</x:v>
      </x:c>
      <x:c r="R21" s="20"/>
      <x:c r="S21" s="20"/>
      <x:c r="T21" s="20"/>
      <x:c r="U21" s="20" t="str">
        <x:v>Benchmark material</x:v>
      </x:c>
      <x:c r="V21" s="20" t="n">
        <x:v>1090</x:v>
      </x:c>
      <x:c r="W21" s="20" t="str">
        <x:v>900–1500</x:v>
      </x:c>
      <x:c r="X21" s="20" t="n">
        <x:v>0.38</x:v>
      </x:c>
      <x:c r="Y21" s="20"/>
      <x:c r="Z21" s="20"/>
      <x:c r="AA21" s="20" t="n">
        <x:v>808</x:v>
      </x:c>
      <x:c r="AB21" s="20" t="n">
        <x:v>0.3</x:v>
      </x:c>
      <x:c r="AC21" s="20" t="n">
        <x:v>70</x:v>
      </x:c>
      <x:c r="AD21" s="20" t="n">
        <x:v>10</x:v>
      </x:c>
      <x:c r="AE21" s="20" t="str">
        <x:v>Cancer PTT benchmark</x:v>
      </x:c>
      <x:c r="AF21" s="20" t="str">
        <x:v>In vitro: ~70°C from room temperature within 10 min under 808 nm, 0.3 W/cm²</x:v>
      </x:c>
      <x:c r="AG21" s="20" t="str">
        <x:v>Main text p.4; Fig.4</x:v>
      </x:c>
      <x:c r="AH21" s="20" t="str">
        <x:v>https://doi.org/10.1073/pnas.2318265121</x:v>
      </x:c>
      <x:c r="AI21" s="24" t="n">
        <x:f>ROUND(100*COUNTA(G21,J21,L21,R21,S21,T21,V21,X21,AA21,AC21)/10,0)</x:f>
        <x:v>70</x:v>
      </x:c>
      <x:c r="AJ21" s="20" t="str">
        <x:v>BENCHMARK_ONLY</x:v>
      </x:c>
      <x:c r="AK21" s="20" t="str">
        <x:v>NOT_APPLICABLE</x:v>
      </x:c>
      <x:c r="AL21" s="20" t="str">
        <x:v>Non-peptide AuNC biomedical/PTT benchmark; do not train peptide-sequence model.</x:v>
      </x:c>
      <x:c r="AM21" s="20" t="str">
        <x:v>2026-09-07</x:v>
      </x:c>
      <x:c r="AN21" s="20" t="str">
        <x:v>UPLOADED_PRIMARY_OR_REVIEW</x:v>
      </x:c>
    </x:row>
    <x:row r="22">
      <x:c r="A22" s="20" t="str">
        <x:v>R019</x:v>
      </x:c>
      <x:c r="B22" s="20" t="str">
        <x:v>S11</x:v>
      </x:c>
      <x:c r="C22" s="20" t="str">
        <x:v>C1 AUNC_PTT_BENCHMARK</x:v>
      </x:c>
      <x:c r="D22" s="20" t="str">
        <x:v>DIRECT</x:v>
      </x:c>
      <x:c r="E22" s="20" t="str">
        <x:v>atomically_precise_AuNC</x:v>
      </x:c>
      <x:c r="F22" s="20" t="str">
        <x:v>Phosphorylcholine-functionalized Au25</x:v>
      </x:c>
      <x:c r="G22" s="20" t="str">
        <x:v>N/A</x:v>
      </x:c>
      <x:c r="H22" s="20" t="str">
        <x:v>N/A</x:v>
      </x:c>
      <x:c r="I22" s="20" t="str">
        <x:v>PC surface coating</x:v>
      </x:c>
      <x:c r="J22" s="20" t="n">
        <x:v>25</x:v>
      </x:c>
      <x:c r="K22" s="20"/>
      <x:c r="L22" s="20" t="str">
        <x:v>~2</x:v>
      </x:c>
      <x:c r="M22" s="20"/>
      <x:c r="N22" s="20" t="str">
        <x:v>Molecular Au25 cluster</x:v>
      </x:c>
      <x:c r="O22" s="20" t="str">
        <x:v>Au25 precursor/system</x:v>
      </x:c>
      <x:c r="P22" s="20" t="str">
        <x:v>20–40 µL of 25 mg/mL intratumorally</x:v>
      </x:c>
      <x:c r="Q22" s="20" t="str">
        <x:v>N/A</x:v>
      </x:c>
      <x:c r="R22" s="20"/>
      <x:c r="S22" s="20"/>
      <x:c r="T22" s="20"/>
      <x:c r="U22" s="20" t="str">
        <x:v>4T1 tumor, intratumoral injection</x:v>
      </x:c>
      <x:c r="V22" s="20" t="n">
        <x:v>1090</x:v>
      </x:c>
      <x:c r="W22" s="20" t="str">
        <x:v>900–1500</x:v>
      </x:c>
      <x:c r="X22" s="20" t="n">
        <x:v>0.38</x:v>
      </x:c>
      <x:c r="Y22" s="20"/>
      <x:c r="Z22" s="20"/>
      <x:c r="AA22" s="20" t="n">
        <x:v>808</x:v>
      </x:c>
      <x:c r="AB22" s="20" t="n">
        <x:v>0.3</x:v>
      </x:c>
      <x:c r="AC22" s="20" t="n">
        <x:v>60</x:v>
      </x:c>
      <x:c r="AD22" s="20" t="n">
        <x:v>30</x:v>
      </x:c>
      <x:c r="AE22" s="20" t="str">
        <x:v>Cancer PTT benchmark</x:v>
      </x:c>
      <x:c r="AF22" s="20" t="str">
        <x:v>In vivo: ~53°C at 3 min, rising to ~60°C; 94.4% 60-day relative survival reported</x:v>
      </x:c>
      <x:c r="AG22" s="20" t="str">
        <x:v>Main text pp.4–6; Fig.5</x:v>
      </x:c>
      <x:c r="AH22" s="20" t="str">
        <x:v>https://doi.org/10.1073/pnas.2318265121</x:v>
      </x:c>
      <x:c r="AI22" s="24" t="n">
        <x:f>ROUND(100*COUNTA(G22,J22,L22,R22,S22,T22,V22,X22,AA22,AC22)/10,0)</x:f>
        <x:v>70</x:v>
      </x:c>
      <x:c r="AJ22" s="20" t="str">
        <x:v>BENCHMARK_ONLY</x:v>
      </x:c>
      <x:c r="AK22" s="20" t="str">
        <x:v>NOT_APPLICABLE</x:v>
      </x:c>
      <x:c r="AL22" s="20" t="str">
        <x:v>Non-peptide AuNC biomedical/PTT benchmark; do not train peptide-sequence model.</x:v>
      </x:c>
      <x:c r="AM22" s="20" t="str">
        <x:v>2026-09-07</x:v>
      </x:c>
      <x:c r="AN22" s="20" t="str">
        <x:v>UPLOADED_PRIMARY_OR_REVIEW</x:v>
      </x:c>
    </x:row>
    <x:row r="23">
      <x:c r="A23" s="20" t="str">
        <x:v>R020</x:v>
      </x:c>
      <x:c r="B23" s="20" t="str">
        <x:v>S13</x:v>
      </x:c>
      <x:c r="C23" s="20" t="str">
        <x:v>C2 AUNC_BIOMEDICAL_BENCHMARK</x:v>
      </x:c>
      <x:c r="D23" s="20" t="str">
        <x:v>DIRECT</x:v>
      </x:c>
      <x:c r="E23" s="20" t="str">
        <x:v>atomically_precise_AuNC</x:v>
      </x:c>
      <x:c r="F23" s="20" t="str">
        <x:v>Phosphorylcholine-functionalized Au25</x:v>
      </x:c>
      <x:c r="G23" s="20" t="str">
        <x:v>N/A</x:v>
      </x:c>
      <x:c r="H23" s="20" t="str">
        <x:v>N/A</x:v>
      </x:c>
      <x:c r="I23" s="20" t="str">
        <x:v>PC surface coating</x:v>
      </x:c>
      <x:c r="J23" s="20" t="n">
        <x:v>25</x:v>
      </x:c>
      <x:c r="K23" s="20"/>
      <x:c r="L23" s="20"/>
      <x:c r="M23" s="20"/>
      <x:c r="N23" s="20" t="str">
        <x:v>Au25-PC molecular cluster</x:v>
      </x:c>
      <x:c r="O23" s="20" t="str">
        <x:v>Au25 precursor/system</x:v>
      </x:c>
      <x:c r="P23" s="20" t="str">
        <x:v>Surface-functionalized with PC</x:v>
      </x:c>
      <x:c r="Q23" s="20" t="str">
        <x:v>N/A</x:v>
      </x:c>
      <x:c r="R23" s="20"/>
      <x:c r="S23" s="20"/>
      <x:c r="T23" s="20"/>
      <x:c r="U23" s="20" t="str">
        <x:v>Subcutaneous injection</x:v>
      </x:c>
      <x:c r="V23" s="20"/>
      <x:c r="W23" s="20" t="str">
        <x:v>1000–3000 imaging window</x:v>
      </x:c>
      <x:c r="X23" s="20"/>
      <x:c r="Y23" s="20"/>
      <x:c r="Z23" s="20"/>
      <x:c r="AA23" s="20"/>
      <x:c r="AB23" s="20"/>
      <x:c r="AC23" s="20"/>
      <x:c r="AD23" s="20"/>
      <x:c r="AE23" s="20" t="str">
        <x:v>Lymph-node NIR-II imaging</x:v>
      </x:c>
      <x:c r="AF23" s="20" t="str">
        <x:v>Super-stealth behavior; optimal LN imaging ~0.5–1 h with rapid renal clearance</x:v>
      </x:c>
      <x:c r="AG23" s="20" t="str">
        <x:v>Abstract / main text p.1</x:v>
      </x:c>
      <x:c r="AH23" s="20" t="str">
        <x:v>https://doi.org/10.1038/s41467-022-33341-6</x:v>
      </x:c>
      <x:c r="AI23" s="24" t="n">
        <x:f>ROUND(100*COUNTA(G23,J23,L23,R23,S23,T23,V23,X23,AA23,AC23)/10,0)</x:f>
        <x:v>20</x:v>
      </x:c>
      <x:c r="AJ23" s="20" t="str">
        <x:v>BENCHMARK_ONLY</x:v>
      </x:c>
      <x:c r="AK23" s="20" t="str">
        <x:v>NOT_APPLICABLE</x:v>
      </x:c>
      <x:c r="AL23" s="20" t="str">
        <x:v>Non-peptide AuNC biomedical/PTT benchmark; do not train peptide-sequence model.</x:v>
      </x:c>
      <x:c r="AM23" s="20" t="str">
        <x:v>2026-09-07</x:v>
      </x:c>
      <x:c r="AN23" s="20" t="str">
        <x:v>UPLOADED_PRIMARY_OR_REVIEW</x:v>
      </x:c>
    </x:row>
    <x:row r="24">
      <x:c r="A24" s="20" t="str">
        <x:v>R021</x:v>
      </x:c>
      <x:c r="B24" s="20" t="str">
        <x:v>S12</x:v>
      </x:c>
      <x:c r="C24" s="20" t="str">
        <x:v>D1 METHOD_REFERENCE</x:v>
      </x:c>
      <x:c r="D24" s="20" t="str">
        <x:v>REVIEW-DERIVED</x:v>
      </x:c>
      <x:c r="E24" s="20" t="str">
        <x:v>atomically_precise_AuNC</x:v>
      </x:c>
      <x:c r="F24" s="20" t="str">
        <x:v>Glutathione (GSH)</x:v>
      </x:c>
      <x:c r="G24" s="20" t="str">
        <x:v>γ-ECG</x:v>
      </x:c>
      <x:c r="H24" s="20" t="str">
        <x:v>L</x:v>
      </x:c>
      <x:c r="I24" s="20" t="str">
        <x:v>Review table entry</x:v>
      </x:c>
      <x:c r="J24" s="20" t="n">
        <x:v>25</x:v>
      </x:c>
      <x:c r="K24" s="20" t="n">
        <x:v>18</x:v>
      </x:c>
      <x:c r="L24" s="20"/>
      <x:c r="M24" s="20"/>
      <x:c r="N24" s="20" t="str">
        <x:v>Au25(GSH)18</x:v>
      </x:c>
      <x:c r="O24" s="20" t="str">
        <x:v>N/A</x:v>
      </x:c>
      <x:c r="P24" s="20" t="str">
        <x:v>Review-derived optical entry</x:v>
      </x:c>
      <x:c r="Q24" s="20" t="str">
        <x:v>N/A</x:v>
      </x:c>
      <x:c r="R24" s="20"/>
      <x:c r="S24" s="20"/>
      <x:c r="T24" s="20"/>
      <x:c r="U24" s="20" t="str">
        <x:v>Primary paper required</x:v>
      </x:c>
      <x:c r="V24" s="20" t="n">
        <x:v>1120</x:v>
      </x:c>
      <x:c r="W24" s="20" t="str">
        <x:v>900–1500</x:v>
      </x:c>
      <x:c r="X24" s="20" t="n">
        <x:v>0.13</x:v>
      </x:c>
      <x:c r="Y24" s="20"/>
      <x:c r="Z24" s="20"/>
      <x:c r="AA24" s="20" t="n">
        <x:v>808</x:v>
      </x:c>
      <x:c r="AB24" s="20"/>
      <x:c r="AC24" s="20"/>
      <x:c r="AD24" s="20"/>
      <x:c r="AE24" s="20" t="str">
        <x:v>Imaging benchmark</x:v>
      </x:c>
      <x:c r="AF24" s="20" t="str">
        <x:v>Review table lists Au25(GSH)18 with NIR-II emission and low PLQY; primary paper must be extracted before training</x:v>
      </x:c>
      <x:c r="AG24" s="20" t="str">
        <x:v>Chem. Rev. Table 1</x:v>
      </x:c>
      <x:c r="AH24" s="20" t="str">
        <x:v>https://doi.org/10.1021/acs.chemrev.4c00835</x:v>
      </x:c>
      <x:c r="AI24" s="24" t="n">
        <x:f>ROUND(100*COUNTA(G24,J24,L24,R24,S24,T24,V24,X24,AA24,AC24)/10,0)</x:f>
        <x:v>50</x:v>
      </x:c>
      <x:c r="AJ24" s="20" t="str">
        <x:v>REVIEW_LEAD</x:v>
      </x:c>
      <x:c r="AK24" s="20" t="str">
        <x:v>REVIEW_DERIVED</x:v>
      </x:c>
      <x:c r="AL24" s="20" t="str">
        <x:v>Primary paper must be extracted before model training.</x:v>
      </x:c>
      <x:c r="AM24" s="20" t="str">
        <x:v>2026-09-07</x:v>
      </x:c>
      <x:c r="AN24" s="20" t="str">
        <x:v>UPLOADED_PRIMARY_OR_REVIEW</x:v>
      </x:c>
    </x:row>
    <x:row r="25">
      <x:c r="A25" s="20" t="str">
        <x:v>R022</x:v>
      </x:c>
      <x:c r="B25" s="20" t="str">
        <x:v>S12</x:v>
      </x:c>
      <x:c r="C25" s="20" t="str">
        <x:v>D1 METHOD_REFERENCE</x:v>
      </x:c>
      <x:c r="D25" s="20" t="str">
        <x:v>REVIEW-DERIVED</x:v>
      </x:c>
      <x:c r="E25" s="20" t="str">
        <x:v>atomically_precise_AuNC</x:v>
      </x:c>
      <x:c r="F25" s="20" t="str">
        <x:v>4-mercaptobenzoic acid (MBA)</x:v>
      </x:c>
      <x:c r="G25" s="20" t="str">
        <x:v>N/A</x:v>
      </x:c>
      <x:c r="H25" s="20" t="str">
        <x:v>N/A</x:v>
      </x:c>
      <x:c r="I25" s="20" t="str">
        <x:v>Review table entry</x:v>
      </x:c>
      <x:c r="J25" s="20" t="n">
        <x:v>44</x:v>
      </x:c>
      <x:c r="K25" s="20" t="n">
        <x:v>26</x:v>
      </x:c>
      <x:c r="L25" s="20"/>
      <x:c r="M25" s="20"/>
      <x:c r="N25" s="20" t="str">
        <x:v>Au44(MBA)26</x:v>
      </x:c>
      <x:c r="O25" s="20" t="str">
        <x:v>N/A</x:v>
      </x:c>
      <x:c r="P25" s="20" t="str">
        <x:v>Review-derived optical/PTT entry</x:v>
      </x:c>
      <x:c r="Q25" s="20" t="str">
        <x:v>N/A</x:v>
      </x:c>
      <x:c r="R25" s="20"/>
      <x:c r="S25" s="20"/>
      <x:c r="T25" s="20"/>
      <x:c r="U25" s="20" t="str">
        <x:v>Primary paper required</x:v>
      </x:c>
      <x:c r="V25" s="20" t="n">
        <x:v>1080</x:v>
      </x:c>
      <x:c r="W25" s="20" t="str">
        <x:v>~1080 and 1280</x:v>
      </x:c>
      <x:c r="X25" s="20" t="n">
        <x:v>4.5</x:v>
      </x:c>
      <x:c r="Y25" s="20"/>
      <x:c r="Z25" s="20"/>
      <x:c r="AA25" s="20" t="n">
        <x:v>808</x:v>
      </x:c>
      <x:c r="AB25" s="20"/>
      <x:c r="AC25" s="20"/>
      <x:c r="AD25" s="20"/>
      <x:c r="AE25" s="20" t="str">
        <x:v>PTT / theranostics</x:v>
      </x:c>
      <x:c r="AF25" s="20" t="str">
        <x:v>Review identifies Au44(MBA)26 as high-PCE PTT-capable cluster; not peptide-templated and must remain a benchmark</x:v>
      </x:c>
      <x:c r="AG25" s="20" t="str">
        <x:v>Chem. Rev. Table 1 + PTT section</x:v>
      </x:c>
      <x:c r="AH25" s="20" t="str">
        <x:v>https://doi.org/10.1021/acs.chemrev.4c00835</x:v>
      </x:c>
      <x:c r="AI25" s="24" t="n">
        <x:f>ROUND(100*COUNTA(G25,J25,L25,R25,S25,T25,V25,X25,AA25,AC25)/10,0)</x:f>
        <x:v>50</x:v>
      </x:c>
      <x:c r="AJ25" s="20" t="str">
        <x:v>REVIEW_LEAD</x:v>
      </x:c>
      <x:c r="AK25" s="20" t="str">
        <x:v>REVIEW_DERIVED</x:v>
      </x:c>
      <x:c r="AL25" s="20" t="str">
        <x:v>Primary paper must be extracted before model training.</x:v>
      </x:c>
      <x:c r="AM25" s="20" t="str">
        <x:v>2026-09-07</x:v>
      </x:c>
      <x:c r="AN25" s="20" t="str">
        <x:v>UPLOADED_PRIMARY_OR_REVIEW</x:v>
      </x:c>
    </x:row>
    <x:row r="26">
      <x:c r="A26" s="20" t="str">
        <x:v>R023</x:v>
      </x:c>
      <x:c r="B26" s="20" t="str">
        <x:v>W01</x:v>
      </x:c>
      <x:c r="C26" s="20" t="str">
        <x:v>A2 DIRECT_PEPTIDE_NONPRECISE_AUNC</x:v>
      </x:c>
      <x:c r="D26" s="20" t="str">
        <x:v>DIRECT</x:v>
      </x:c>
      <x:c r="E26" s="20" t="str">
        <x:v>ultrasmall_AuNC_unknown_nuclearity</x:v>
      </x:c>
      <x:c r="F26" s="20" t="str">
        <x:v>SV polypeptide — blue AuNC</x:v>
      </x:c>
      <x:c r="G26" s="20" t="str">
        <x:v>CCYGGPKKKRKVG</x:v>
      </x:c>
      <x:c r="H26" s="20" t="str">
        <x:v>L</x:v>
      </x:c>
      <x:c r="I26" s="20" t="str">
        <x:v>NH2- / -COOH</x:v>
      </x:c>
      <x:c r="J26" s="20"/>
      <x:c r="K26" s="20"/>
      <x:c r="L26" s="20" t="str">
        <x:v>&lt;2</x:v>
      </x:c>
      <x:c r="M26" s="20"/>
      <x:c r="N26" s="20" t="str">
        <x:v>Blue-emitting peptide-templated AuNC</x:v>
      </x:c>
      <x:c r="O26" s="20" t="str">
        <x:v>HAuCl4</x:v>
      </x:c>
      <x:c r="P26" s="20" t="str">
        <x:v>Same SV peptide; synthesis conditions optimized separately from red product</x:v>
      </x:c>
      <x:c r="Q26" s="20" t="str">
        <x:v>Peptide-templated / conditions dependent</x:v>
      </x:c>
      <x:c r="R26" s="20"/>
      <x:c r="S26" s="20"/>
      <x:c r="T26" s="20"/>
      <x:c r="U26" s="20" t="str">
        <x:v>Light, pH, Au:peptide ratio, time and temperature were optimization variables</x:v>
      </x:c>
      <x:c r="V26" s="20" t="n">
        <x:v>405</x:v>
      </x:c>
      <x:c r="W26" s="20" t="str">
        <x:v>λex 320 / λem 405</x:v>
      </x:c>
      <x:c r="X26" s="20"/>
      <x:c r="Y26" s="20"/>
      <x:c r="Z26" s="20"/>
      <x:c r="AA26" s="20"/>
      <x:c r="AB26" s="20"/>
      <x:c r="AC26" s="20"/>
      <x:c r="AD26" s="20"/>
      <x:c r="AE26" s="20" t="str">
        <x:v>Cell-nucleus multimodal imaging</x:v>
      </x:c>
      <x:c r="AF26" s="20" t="str">
        <x:v>The same exact peptide produced a blue AuNC under one synthesis condition set and a red AuNC under another, proving synthesis context is indispensable.</x:v>
      </x:c>
      <x:c r="AG26" s="20" t="str">
        <x:v>ACS Applied Bio Materials abstract + SI listing</x:v>
      </x:c>
      <x:c r="AH26" s="20" t="str">
        <x:v>https://doi.org/10.1021/acsabm.9b01078</x:v>
      </x:c>
      <x:c r="AI26" s="24" t="n">
        <x:f>ROUND(100*COUNTA(G26,J26,L26,R26,S26,T26,V26,X26,AA26,AC26)/10,0)</x:f>
        <x:v>30</x:v>
      </x:c>
      <x:c r="AJ26" s="20" t="str">
        <x:v>QC_HOLD</x:v>
      </x:c>
      <x:c r="AK26" s="20" t="str">
        <x:v>EXACT_FROM_PRIMARY</x:v>
      </x:c>
      <x:c r="AL26" s="20" t="str">
        <x:v>Exact numerical synthesis condition set still needs full main-text/SI extraction.</x:v>
      </x:c>
      <x:c r="AM26" s="20" t="str">
        <x:v>2026-09-07</x:v>
      </x:c>
      <x:c r="AN26" s="20" t="str">
        <x:v>WEB_PRIMARY</x:v>
      </x:c>
    </x:row>
    <x:row r="27">
      <x:c r="A27" s="20" t="str">
        <x:v>R024</x:v>
      </x:c>
      <x:c r="B27" s="20" t="str">
        <x:v>W01</x:v>
      </x:c>
      <x:c r="C27" s="20" t="str">
        <x:v>A2 DIRECT_PEPTIDE_NONPRECISE_AUNC</x:v>
      </x:c>
      <x:c r="D27" s="20" t="str">
        <x:v>DIRECT</x:v>
      </x:c>
      <x:c r="E27" s="20" t="str">
        <x:v>ultrasmall_AuNC_unknown_nuclearity</x:v>
      </x:c>
      <x:c r="F27" s="20" t="str">
        <x:v>SV polypeptide — red AuNC</x:v>
      </x:c>
      <x:c r="G27" s="20" t="str">
        <x:v>CCYGGPKKKRKVG</x:v>
      </x:c>
      <x:c r="H27" s="20" t="str">
        <x:v>L</x:v>
      </x:c>
      <x:c r="I27" s="20" t="str">
        <x:v>NH2- / -COOH</x:v>
      </x:c>
      <x:c r="J27" s="20"/>
      <x:c r="K27" s="20"/>
      <x:c r="L27" s="20" t="str">
        <x:v>&lt;2</x:v>
      </x:c>
      <x:c r="M27" s="20"/>
      <x:c r="N27" s="20" t="str">
        <x:v>Red-emitting peptide-templated AuNC</x:v>
      </x:c>
      <x:c r="O27" s="20" t="str">
        <x:v>HAuCl4</x:v>
      </x:c>
      <x:c r="P27" s="20" t="str">
        <x:v>Same SV peptide; synthesis conditions optimized separately from blue product</x:v>
      </x:c>
      <x:c r="Q27" s="20" t="str">
        <x:v>Peptide-templated / conditions dependent</x:v>
      </x:c>
      <x:c r="R27" s="20"/>
      <x:c r="S27" s="20"/>
      <x:c r="T27" s="20"/>
      <x:c r="U27" s="20" t="str">
        <x:v>Light, pH, Au:peptide ratio, time and temperature were optimization variables</x:v>
      </x:c>
      <x:c r="V27" s="20" t="n">
        <x:v>657</x:v>
      </x:c>
      <x:c r="W27" s="20" t="str">
        <x:v>λex 560 / λem 657</x:v>
      </x:c>
      <x:c r="X27" s="20"/>
      <x:c r="Y27" s="20"/>
      <x:c r="Z27" s="20"/>
      <x:c r="AA27" s="20"/>
      <x:c r="AB27" s="20"/>
      <x:c r="AC27" s="20"/>
      <x:c r="AD27" s="20"/>
      <x:c r="AE27" s="20" t="str">
        <x:v>Cell-nucleus multimodal imaging</x:v>
      </x:c>
      <x:c r="AF27" s="20" t="str">
        <x:v>Paired with R023: identical peptide sequence can yield sharply different optical outcomes when the synthesis environment changes.</x:v>
      </x:c>
      <x:c r="AG27" s="20" t="str">
        <x:v>ACS Applied Bio Materials abstract + SI listing</x:v>
      </x:c>
      <x:c r="AH27" s="20" t="str">
        <x:v>https://doi.org/10.1021/acsabm.9b01078</x:v>
      </x:c>
      <x:c r="AI27" s="24" t="n">
        <x:f>ROUND(100*COUNTA(G27,J27,L27,R27,S27,T27,V27,X27,AA27,AC27)/10,0)</x:f>
        <x:v>30</x:v>
      </x:c>
      <x:c r="AJ27" s="20" t="str">
        <x:v>QC_HOLD</x:v>
      </x:c>
      <x:c r="AK27" s="20" t="str">
        <x:v>EXACT_FROM_PRIMARY</x:v>
      </x:c>
      <x:c r="AL27" s="20" t="str">
        <x:v>Exact numerical synthesis condition set still needs full main-text/SI extraction.</x:v>
      </x:c>
      <x:c r="AM27" s="20" t="str">
        <x:v>2026-09-07</x:v>
      </x:c>
      <x:c r="AN27" s="20" t="str">
        <x:v>WEB_PRIMARY</x:v>
      </x:c>
    </x:row>
    <x:row r="28">
      <x:c r="A28" s="20" t="str">
        <x:v>R025</x:v>
      </x:c>
      <x:c r="B28" s="20" t="str">
        <x:v>W02</x:v>
      </x:c>
      <x:c r="C28" s="20" t="str">
        <x:v>A2 DIRECT_PEPTIDE_NONPRECISE_AUNC</x:v>
      </x:c>
      <x:c r="D28" s="20" t="str">
        <x:v>DIRECT</x:v>
      </x:c>
      <x:c r="E28" s="20" t="str">
        <x:v>ultrasmall_AuNC_unknown_nuclearity</x:v>
      </x:c>
      <x:c r="F28" s="20" t="str">
        <x:v>Cyclodecapeptide-templated AuNC</x:v>
      </x:c>
      <x:c r="G28" s="20" t="str">
        <x:v>Cyclodecapeptide: 1 Tyr + 2 Cys; exact sequence pending</x:v>
      </x:c>
      <x:c r="H28" s="20" t="str">
        <x:v>L</x:v>
      </x:c>
      <x:c r="I28" s="20" t="str">
        <x:v>Cyclic peptide</x:v>
      </x:c>
      <x:c r="J28" s="20"/>
      <x:c r="K28" s="20"/>
      <x:c r="L28" s="20"/>
      <x:c r="M28" s="20"/>
      <x:c r="N28" s="20" t="str">
        <x:v>Red-fluorescent CP-AuNC</x:v>
      </x:c>
      <x:c r="O28" s="20" t="str">
        <x:v>HAuCl4</x:v>
      </x:c>
      <x:c r="P28" s="20" t="str">
        <x:v>100 µL 25 mM HAuCl4 + 1 mL 2 mM cyclodecapeptide</x:v>
      </x:c>
      <x:c r="Q28" s="20" t="str">
        <x:v>Peptide biomineralization / alkaline condition</x:v>
      </x:c>
      <x:c r="R28" s="20"/>
      <x:c r="S28" s="20" t="n">
        <x:v>37</x:v>
      </x:c>
      <x:c r="T28" s="20" t="n">
        <x:v>15</x:v>
      </x:c>
      <x:c r="U28" s="20" t="str">
        <x:v>Vigorous stirring; NaOH 75 µL 0.5 M added after 2 min; sealed 37°C</x:v>
      </x:c>
      <x:c r="V28" s="20"/>
      <x:c r="W28" s="20" t="str">
        <x:v>Red fluorescence; exact peak to extract</x:v>
      </x:c>
      <x:c r="X28" s="20"/>
      <x:c r="Y28" s="20"/>
      <x:c r="Z28" s="20"/>
      <x:c r="AA28" s="20"/>
      <x:c r="AB28" s="20"/>
      <x:c r="AC28" s="20"/>
      <x:c r="AD28" s="20"/>
      <x:c r="AE28" s="20" t="str">
        <x:v>Dual fluorescence/MR imaging after Gd3+ functionalization</x:v>
      </x:c>
      <x:c r="AF28" s="20" t="str">
        <x:v>Direct designed cyclic peptide acts as AuNC template and later Gd3+ chelator; exact peptide sequence must be recovered from structure figure/SI.</x:v>
      </x:c>
      <x:c r="AG28" s="20" t="str">
        <x:v>RSC Supporting Information synthesis</x:v>
      </x:c>
      <x:c r="AH28" s="20" t="str">
        <x:v>https://doi.org/10.1039/C3TB20440E</x:v>
      </x:c>
      <x:c r="AI28" s="24" t="n">
        <x:f>ROUND(100*COUNTA(G28,J28,L28,R28,S28,T28,V28,X28,AA28,AC28)/10,0)</x:f>
        <x:v>30</x:v>
      </x:c>
      <x:c r="AJ28" s="20" t="str">
        <x:v>QC_HOLD</x:v>
      </x:c>
      <x:c r="AK28" s="20" t="str">
        <x:v>INCOMPLETE_SEQUENCE</x:v>
      </x:c>
      <x:c r="AL28" s="20" t="str">
        <x:v>Exact cyclodecapeptide sequence not recovered from searchable text.</x:v>
      </x:c>
      <x:c r="AM28" s="20" t="str">
        <x:v>2026-09-07</x:v>
      </x:c>
      <x:c r="AN28" s="20" t="str">
        <x:v>WEB_PRIMARY+SI</x:v>
      </x:c>
    </x:row>
    <x:row r="29">
      <x:c r="A29" s="20" t="str">
        <x:v>R026</x:v>
      </x:c>
      <x:c r="B29" s="20" t="str">
        <x:v>W03</x:v>
      </x:c>
      <x:c r="C29" s="20" t="str">
        <x:v>A1 DIRECT_PEPTIDE_ATOMIC_AUNC</x:v>
      </x:c>
      <x:c r="D29" s="20" t="str">
        <x:v>DIRECT</x:v>
      </x:c>
      <x:c r="E29" s="20" t="str">
        <x:v>atomically_precise_AuNC</x:v>
      </x:c>
      <x:c r="F29" s="20" t="str">
        <x:v>CCYJNP5 peptide</x:v>
      </x:c>
      <x:c r="G29" s="20" t="str">
        <x:v>CCYLQLQAEER</x:v>
      </x:c>
      <x:c r="H29" s="20" t="str">
        <x:v>L</x:v>
      </x:c>
      <x:c r="I29" s="20" t="str">
        <x:v>C-terminal amide (-NH2)</x:v>
      </x:c>
      <x:c r="J29" s="20" t="n">
        <x:v>21</x:v>
      </x:c>
      <x:c r="K29" s="20"/>
      <x:c r="L29" s="20" t="n">
        <x:v>2</x:v>
      </x:c>
      <x:c r="M29" s="20"/>
      <x:c r="N29" s="20" t="str">
        <x:v>Peptide-conjugated Au21 nanocluster</x:v>
      </x:c>
      <x:c r="O29" s="20" t="str">
        <x:v>HAuCl4</x:v>
      </x:c>
      <x:c r="P29" s="20" t="str">
        <x:v>1 mL 4.428 mM HAuCl4 + 1 mL CCYJNP5; optimized peptide:HAuCl4 = 1:1</x:v>
      </x:c>
      <x:c r="Q29" s="20" t="str">
        <x:v>Peptide self-reduction via Tyr under alkaline pH</x:v>
      </x:c>
      <x:c r="R29" s="20" t="n">
        <x:v>11.5</x:v>
      </x:c>
      <x:c r="S29" s="20" t="n">
        <x:v>25</x:v>
      </x:c>
      <x:c r="T29" s="20" t="n">
        <x:v>18</x:v>
      </x:c>
      <x:c r="U29" s="20" t="str">
        <x:v>Magnetic stirring; 130 µL 1 M NaOH; dialysis MWCO 8000 for 12 h</x:v>
      </x:c>
      <x:c r="V29" s="20" t="n">
        <x:v>640</x:v>
      </x:c>
      <x:c r="W29" s="20" t="str">
        <x:v>λex 380 / λem 640</x:v>
      </x:c>
      <x:c r="X29" s="20" t="n">
        <x:v>2.86</x:v>
      </x:c>
      <x:c r="Y29" s="20"/>
      <x:c r="Z29" s="20"/>
      <x:c r="AA29" s="20"/>
      <x:c r="AB29" s="20"/>
      <x:c r="AC29" s="20"/>
      <x:c r="AD29" s="20"/>
      <x:c r="AE29" s="20" t="str">
        <x:v>FGFR2-targeted tumor-cell imaging</x:v>
      </x:c>
      <x:c r="AF29" s="20" t="str">
        <x:v>MALDI-TOF indicated 21 Au atoms; CCY motif is required for strong fluorescence; ~33% Au(I) at surface.</x:v>
      </x:c>
      <x:c r="AG29" s="20" t="str">
        <x:v>RSC Adv. main text, Methods + Results</x:v>
      </x:c>
      <x:c r="AH29" s="20" t="str">
        <x:v>https://doi.org/10.1039/C5RA20113F</x:v>
      </x:c>
      <x:c r="AI29" s="24" t="n">
        <x:f>ROUND(100*COUNTA(G29,J29,L29,R29,S29,T29,V29,X29,AA29,AC29)/10,0)</x:f>
        <x:v>80</x:v>
      </x:c>
      <x:c r="AJ29" s="20" t="str">
        <x:v>TRAIN_CORE</x:v>
      </x:c>
      <x:c r="AK29" s="20" t="str">
        <x:v>EXACT_FROM_PRIMARY</x:v>
      </x:c>
      <x:c r="AL29" s="20" t="str">
        <x:v>High-value atomic sequence+synthesis+optical record. Group with all same-paper variants in validation.</x:v>
      </x:c>
      <x:c r="AM29" s="20" t="str">
        <x:v>2026-09-07</x:v>
      </x:c>
      <x:c r="AN29" s="20" t="str">
        <x:v>WEB_PRIMARY</x:v>
      </x:c>
    </x:row>
    <x:row r="30">
      <x:c r="A30" s="20" t="str">
        <x:v>R027</x:v>
      </x:c>
      <x:c r="B30" s="20" t="str">
        <x:v>W04</x:v>
      </x:c>
      <x:c r="C30" s="20" t="str">
        <x:v>A1 DIRECT_PEPTIDE_ATOMIC_AUNC</x:v>
      </x:c>
      <x:c r="D30" s="20" t="str">
        <x:v>DIRECT</x:v>
      </x:c>
      <x:c r="E30" s="20" t="str">
        <x:v>atomically_precise_AuNC</x:v>
      </x:c>
      <x:c r="F30" s="20" t="str">
        <x:v>Integrin-targeting peptide Au cluster</x:v>
      </x:c>
      <x:c r="G30" s="20" t="str">
        <x:v>CONFLICT: CGPDGRDGRDGPDGR (Materials) | CCGPDGRDGRDGRDGR (Results)</x:v>
      </x:c>
      <x:c r="H30" s="20" t="str">
        <x:v>L</x:v>
      </x:c>
      <x:c r="I30" s="20" t="str">
        <x:v>N- and C-termini reported NH2-/ -COOH</x:v>
      </x:c>
      <x:c r="J30" s="20" t="n">
        <x:v>7</x:v>
      </x:c>
      <x:c r="K30" s="20" t="n">
        <x:v>5</x:v>
      </x:c>
      <x:c r="L30" s="20" t="n">
        <x:v>2.85</x:v>
      </x:c>
      <x:c r="M30" s="20"/>
      <x:c r="N30" s="20" t="str">
        <x:v>Au7Peptide5 inferred from MALDI-TOF</x:v>
      </x:c>
      <x:c r="O30" s="20" t="str">
        <x:v>HAuCl4</x:v>
      </x:c>
      <x:c r="P30" s="20" t="str">
        <x:v>6 mg peptide in 1 mL water + 40 µL 25 mM HAuCl4</x:v>
      </x:c>
      <x:c r="Q30" s="20" t="str">
        <x:v>Peptide biomimetic mineralization; NaOH-assisted</x:v>
      </x:c>
      <x:c r="R30" s="20"/>
      <x:c r="S30" s="20" t="n">
        <x:v>55</x:v>
      </x:c>
      <x:c r="T30" s="20" t="n">
        <x:v>12</x:v>
      </x:c>
      <x:c r="U30" s="20" t="str">
        <x:v>5 min after Au addition: 200 µL 0.5 M NaOH; MWCO 3 kDa purification</x:v>
      </x:c>
      <x:c r="V30" s="20" t="n">
        <x:v>420</x:v>
      </x:c>
      <x:c r="W30" s="20" t="str">
        <x:v>λex 330 / λem 420</x:v>
      </x:c>
      <x:c r="X30" s="20"/>
      <x:c r="Y30" s="20"/>
      <x:c r="Z30" s="20"/>
      <x:c r="AA30" s="20"/>
      <x:c r="AB30" s="20"/>
      <x:c r="AC30" s="20"/>
      <x:c r="AD30" s="20"/>
      <x:c r="AE30" s="20" t="str">
        <x:v>Tumor-selective enzyme-like catalysis / apoptosis</x:v>
      </x:c>
      <x:c r="AF30" s="20" t="str">
        <x:v>MALDI peaks assigned Au7SxNay; Au7Peptide5 inferred. HRTEM-derived ~2.85±0.55 nm may be beam-affected.</x:v>
      </x:c>
      <x:c r="AG30" s="20" t="str">
        <x:v>Nanomaterials Methods 2.1–2.3 and Results 3.1</x:v>
      </x:c>
      <x:c r="AH30" s="20" t="str">
        <x:v>https://doi.org/10.3390/nano8121040</x:v>
      </x:c>
      <x:c r="AI30" s="24" t="n">
        <x:f>ROUND(100*COUNTA(G30,J30,L30,R30,S30,T30,V30,X30,AA30,AC30)/10,0)</x:f>
        <x:v>60</x:v>
      </x:c>
      <x:c r="AJ30" s="20" t="str">
        <x:v>QC_HOLD</x:v>
      </x:c>
      <x:c r="AK30" s="20" t="str">
        <x:v>SOURCE_CONFLICT</x:v>
      </x:c>
      <x:c r="AL30" s="20" t="str">
        <x:v>Critical sequence inconsistency inside the primary article; verify typeset PDF/author correction before encoding sequence.</x:v>
      </x:c>
      <x:c r="AM30" s="20" t="str">
        <x:v>2026-09-07</x:v>
      </x:c>
      <x:c r="AN30" s="20" t="str">
        <x:v>WEB_PRIMARY</x:v>
      </x:c>
    </x:row>
    <x:row r="31">
      <x:c r="A31" s="20" t="str">
        <x:v>R028</x:v>
      </x:c>
      <x:c r="B31" s="20" t="str">
        <x:v>W05</x:v>
      </x:c>
      <x:c r="C31" s="20" t="str">
        <x:v>A1 DIRECT_PEPTIDE_ATOMIC_AUNC</x:v>
      </x:c>
      <x:c r="D31" s="20" t="str">
        <x:v>DIRECT</x:v>
      </x:c>
      <x:c r="E31" s="20" t="str">
        <x:v>atomically_precise_AuNC</x:v>
      </x:c>
      <x:c r="F31" s="20" t="str">
        <x:v>Sv peptide</x:v>
      </x:c>
      <x:c r="G31" s="20" t="str">
        <x:v>CCYGGPKKKRKPG</x:v>
      </x:c>
      <x:c r="H31" s="20" t="str">
        <x:v>L</x:v>
      </x:c>
      <x:c r="I31" s="20" t="str">
        <x:v>NH2- / -COOH</x:v>
      </x:c>
      <x:c r="J31" s="20" t="n">
        <x:v>25</x:v>
      </x:c>
      <x:c r="K31" s="20" t="n">
        <x:v>9</x:v>
      </x:c>
      <x:c r="L31" s="20"/>
      <x:c r="M31" s="20"/>
      <x:c r="N31" s="20" t="str">
        <x:v>Au25Sv9</x:v>
      </x:c>
      <x:c r="O31" s="20" t="str">
        <x:v>HAuCl4</x:v>
      </x:c>
      <x:c r="P31" s="20" t="str">
        <x:v>Original study reports designed tridecapeptide Sv; exact protocol requires final primary extraction</x:v>
      </x:c>
      <x:c r="Q31" s="20" t="str">
        <x:v>Peptide-templated</x:v>
      </x:c>
      <x:c r="R31" s="20" t="n">
        <x:v>10</x:v>
      </x:c>
      <x:c r="S31" s="20"/>
      <x:c r="T31" s="20" t="n">
        <x:v>15</x:v>
      </x:c>
      <x:c r="U31" s="20" t="str">
        <x:v>Sealed/dark protocol reported in source family; verify exact reagent quantities before training synthesis model</x:v>
      </x:c>
      <x:c r="V31" s="20" t="n">
        <x:v>645</x:v>
      </x:c>
      <x:c r="W31" s="20" t="str">
        <x:v>Red fluorescence; emission peak ~645</x:v>
      </x:c>
      <x:c r="X31" s="20"/>
      <x:c r="Y31" s="20"/>
      <x:c r="Z31" s="20"/>
      <x:c r="AA31" s="20"/>
      <x:c r="AB31" s="20"/>
      <x:c r="AC31" s="20"/>
      <x:c r="AD31" s="20"/>
      <x:c r="AE31" s="20" t="str">
        <x:v>Chronic lymphocytic leukemia therapy</x:v>
      </x:c>
      <x:c r="AF31" s="20" t="str">
        <x:v>Atomic Au25Sv9 binds/inhibits thioredoxin reductase 1 and increases oxidative stress in CLL cells.</x:v>
      </x:c>
      <x:c r="AG31" s="20" t="str">
        <x:v>Science Bulletin primary article / PubMed</x:v>
      </x:c>
      <x:c r="AH31" s="20" t="str">
        <x:v>https://doi.org/10.1016/j.scib.2017.03.024</x:v>
      </x:c>
      <x:c r="AI31" s="24" t="n">
        <x:f>ROUND(100*COUNTA(G31,J31,L31,R31,S31,T31,V31,X31,AA31,AC31)/10,0)</x:f>
        <x:v>50</x:v>
      </x:c>
      <x:c r="AJ31" s="20" t="str">
        <x:v>TRAIN_STRUCTURE_ONLY</x:v>
      </x:c>
      <x:c r="AK31" s="20" t="str">
        <x:v>EXACT_FROM_2017_PRIMARY</x:v>
      </x:c>
      <x:c r="AL31" s="20" t="str">
        <x:v>Do not merge with 2020 SV variant CCYGGPKKKRKVG; sequence-cluster leakage risk is high.</x:v>
      </x:c>
      <x:c r="AM31" s="20" t="str">
        <x:v>2026-09-07</x:v>
      </x:c>
      <x:c r="AN31" s="20" t="str">
        <x:v>WEB_PRIMARY</x:v>
      </x:c>
    </x:row>
    <x:row r="32">
      <x:c r="A32" s="20" t="str">
        <x:v>R029</x:v>
      </x:c>
      <x:c r="B32" s="20" t="str">
        <x:v>W06</x:v>
      </x:c>
      <x:c r="C32" s="20" t="str">
        <x:v>A2 DIRECT_PEPTIDE_NONPRECISE_AUNC</x:v>
      </x:c>
      <x:c r="D32" s="20" t="str">
        <x:v>DIRECT</x:v>
      </x:c>
      <x:c r="E32" s="20" t="str">
        <x:v>ultrasmall_AuNC_unknown_nuclearity</x:v>
      </x:c>
      <x:c r="F32" s="20" t="str">
        <x:v>DGEAGC oligopeptide</x:v>
      </x:c>
      <x:c r="G32" s="20" t="str">
        <x:v>DGEAGC</x:v>
      </x:c>
      <x:c r="H32" s="20" t="str">
        <x:v>L</x:v>
      </x:c>
      <x:c r="I32" s="20" t="str">
        <x:v>None</x:v>
      </x:c>
      <x:c r="J32" s="20"/>
      <x:c r="K32" s="20"/>
      <x:c r="L32" s="20" t="n">
        <x:v>1.3</x:v>
      </x:c>
      <x:c r="M32" s="20"/>
      <x:c r="N32" s="20" t="str">
        <x:v>Monodispersed ultrasmall peptide-protected AuNC</x:v>
      </x:c>
      <x:c r="O32" s="20" t="str">
        <x:v>HAuCl4</x:v>
      </x:c>
      <x:c r="P32" s="20" t="str">
        <x:v>68 µL HAuCl4 0.2 g/mL + 1.0 mL peptide 50 mg/mL + 17.6 mL water</x:v>
      </x:c>
      <x:c r="Q32" s="20" t="str">
        <x:v>Thermal reduction</x:v>
      </x:c>
      <x:c r="R32" s="20"/>
      <x:c r="S32" s="20" t="n">
        <x:v>70</x:v>
      </x:c>
      <x:c r="T32" s="20" t="n">
        <x:v>2</x:v>
      </x:c>
      <x:c r="U32" s="20" t="str">
        <x:v>Vigorous stirring RT 5 min, then 70°C for 2 h; PAGE purification used for characterization</x:v>
      </x:c>
      <x:c r="V32" s="20" t="n">
        <x:v>600</x:v>
      </x:c>
      <x:c r="W32" s="20" t="str">
        <x:v>λex 400 / λem 600</x:v>
      </x:c>
      <x:c r="X32" s="20"/>
      <x:c r="Y32" s="20" t="n">
        <x:v>400</x:v>
      </x:c>
      <x:c r="Z32" s="20"/>
      <x:c r="AA32" s="20"/>
      <x:c r="AB32" s="20"/>
      <x:c r="AC32" s="20"/>
      <x:c r="AD32" s="20"/>
      <x:c r="AE32" s="20" t="str">
        <x:v>Peroxidase mimic / cell imaging</x:v>
      </x:c>
      <x:c r="AF32" s="20" t="str">
        <x:v>Straightforward one-pot sequence+synthesis+size+optical record; article introduction contains a DGECGC typo but Methods specify DGEAGC.</x:v>
      </x:c>
      <x:c r="AG32" s="20" t="str">
        <x:v>Molecules 2023 Methods 3.1/3.3 + Results 2.1</x:v>
      </x:c>
      <x:c r="AH32" s="20" t="str">
        <x:v>https://doi.org/10.3390/molecules28010070</x:v>
      </x:c>
      <x:c r="AI32" s="24" t="n">
        <x:f>ROUND(100*COUNTA(G32,J32,L32,R32,S32,T32,V32,X32,AA32,AC32)/10,0)</x:f>
        <x:v>50</x:v>
      </x:c>
      <x:c r="AJ32" s="20" t="str">
        <x:v>TRAIN_OPTICAL_SIZE</x:v>
      </x:c>
      <x:c r="AK32" s="20" t="str">
        <x:v>EXACT_FROM_METHODS</x:v>
      </x:c>
      <x:c r="AL32" s="20" t="str">
        <x:v>Use DGEAGC from Materials/Methods; record introduction typo DGECGC in QC log.</x:v>
      </x:c>
      <x:c r="AM32" s="20" t="str">
        <x:v>2026-09-07</x:v>
      </x:c>
      <x:c r="AN32" s="20" t="str">
        <x:v>WEB_PRIMARY</x:v>
      </x:c>
    </x:row>
    <x:row r="33">
      <x:c r="A33" s="20" t="str">
        <x:v>R030</x:v>
      </x:c>
      <x:c r="B33" s="20" t="str">
        <x:v>W07</x:v>
      </x:c>
      <x:c r="C33" s="20" t="str">
        <x:v>A2 DIRECT_PEPTIDE_NONPRECISE_AUNC</x:v>
      </x:c>
      <x:c r="D33" s="20" t="str">
        <x:v>DIRECT</x:v>
      </x:c>
      <x:c r="E33" s="20" t="str">
        <x:v>ultrasmall_AuNC_unknown_nuclearity</x:v>
      </x:c>
      <x:c r="F33" s="20" t="str">
        <x:v>Cyclic RGD peptide</x:v>
      </x:c>
      <x:c r="G33" s="20" t="str">
        <x:v>c(RGD) / c(RGDyE) family; exact sequence requires SI verification</x:v>
      </x:c>
      <x:c r="H33" s="20" t="str">
        <x:v>L</x:v>
      </x:c>
      <x:c r="I33" s="20" t="str">
        <x:v>Cyclic peptide</x:v>
      </x:c>
      <x:c r="J33" s="20"/>
      <x:c r="K33" s="20"/>
      <x:c r="L33" s="20"/>
      <x:c r="M33" s="20"/>
      <x:c r="N33" s="20" t="str">
        <x:v>RGD-conjugated AuNC</x:v>
      </x:c>
      <x:c r="O33" s="20" t="str">
        <x:v>Chloraurate</x:v>
      </x:c>
      <x:c r="P33" s="20" t="str">
        <x:v>Cyclic RGD used as both reducing and protecting agent</x:v>
      </x:c>
      <x:c r="Q33" s="20" t="str">
        <x:v>Peptide self-reduction under alkaline condition</x:v>
      </x:c>
      <x:c r="R33" s="20"/>
      <x:c r="S33" s="20" t="n">
        <x:v>25</x:v>
      </x:c>
      <x:c r="T33" s="20" t="n">
        <x:v>0.25</x:v>
      </x:c>
      <x:c r="U33" s="20" t="str">
        <x:v>Direct alkaline synthesis; complete in 15 min at room temperature</x:v>
      </x:c>
      <x:c r="V33" s="20"/>
      <x:c r="W33" s="20" t="str">
        <x:v>Fluorescent; exact λ from full paper/SI to extract</x:v>
      </x:c>
      <x:c r="X33" s="20"/>
      <x:c r="Y33" s="20"/>
      <x:c r="Z33" s="20"/>
      <x:c r="AA33" s="20"/>
      <x:c r="AB33" s="20"/>
      <x:c r="AC33" s="20"/>
      <x:c r="AD33" s="20"/>
      <x:c r="AE33" s="20" t="str">
        <x:v>αvβ3-positive melanoma A375 imaging</x:v>
      </x:c>
      <x:c r="AF33" s="20" t="str">
        <x:v>Very fast direct peptide-AuNC synthesis; exact cyclic peptide identity/condition optimization resides in SI.</x:v>
      </x:c>
      <x:c r="AG33" s="20" t="str">
        <x:v>Bioconjugate Chemistry abstract + SI description</x:v>
      </x:c>
      <x:c r="AH33" s="20" t="str">
        <x:v>https://doi.org/10.1021/bc500505c</x:v>
      </x:c>
      <x:c r="AI33" s="24" t="n">
        <x:f>ROUND(100*COUNTA(G33,J33,L33,R33,S33,T33,V33,X33,AA33,AC33)/10,0)</x:f>
        <x:v>30</x:v>
      </x:c>
      <x:c r="AJ33" s="20" t="str">
        <x:v>QC_HOLD</x:v>
      </x:c>
      <x:c r="AK33" s="20" t="str">
        <x:v>PARTIAL_SEQUENCE</x:v>
      </x:c>
      <x:c r="AL33" s="20" t="str">
        <x:v>Acquire SI/full text before model training.</x:v>
      </x:c>
      <x:c r="AM33" s="20" t="str">
        <x:v>2026-09-07</x:v>
      </x:c>
      <x:c r="AN33" s="20" t="str">
        <x:v>WEB_PRIMARY</x:v>
      </x:c>
    </x:row>
    <x:row r="34">
      <x:c r="A34" s="20" t="str">
        <x:v>R031</x:v>
      </x:c>
      <x:c r="B34" s="20" t="str">
        <x:v>W08</x:v>
      </x:c>
      <x:c r="C34" s="20" t="str">
        <x:v>C1 AUNC_PTT_BENCHMARK</x:v>
      </x:c>
      <x:c r="D34" s="20" t="str">
        <x:v>DIRECT</x:v>
      </x:c>
      <x:c r="E34" s="20" t="str">
        <x:v>ultrasmall_AuNC_unknown_nuclearity</x:v>
      </x:c>
      <x:c r="F34" s="20" t="str">
        <x:v>LHRH analogue-functionalized AuNC</x:v>
      </x:c>
      <x:c r="G34" s="20" t="str">
        <x:v>LHRHa; exact sequence pending primary full text</x:v>
      </x:c>
      <x:c r="H34" s="20" t="str">
        <x:v>L</x:v>
      </x:c>
      <x:c r="I34" s="20" t="str">
        <x:v>Post-synthesis peptide functionalization</x:v>
      </x:c>
      <x:c r="J34" s="20"/>
      <x:c r="K34" s="20"/>
      <x:c r="L34" s="20"/>
      <x:c r="M34" s="20"/>
      <x:c r="N34" s="20" t="str">
        <x:v>PEI-modified AuNC + LHRHa nanosystem</x:v>
      </x:c>
      <x:c r="O34" s="20"/>
      <x:c r="P34" s="20" t="str">
        <x:v>PEI-AuNC combined with LHRH analogue</x:v>
      </x:c>
      <x:c r="Q34" s="20"/>
      <x:c r="R34" s="20"/>
      <x:c r="S34" s="20"/>
      <x:c r="T34" s="20"/>
      <x:c r="U34" s="20" t="str">
        <x:v>Post-functionalized targeting nanosystem</x:v>
      </x:c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 t="str">
        <x:v>Targeted prostate-cancer FL/CT + PTT</x:v>
      </x:c>
      <x:c r="AF34" s="20" t="str">
        <x:v>Useful peptide-functionalized AuNC PTT benchmark, but not a peptide-templated atomic-nuclearity training record.</x:v>
      </x:c>
      <x:c r="AG34" s="20" t="str">
        <x:v>J. Mater. Chem. B abstract</x:v>
      </x:c>
      <x:c r="AH34" s="20" t="str">
        <x:v>https://doi.org/10.1039/D2TB00531J</x:v>
      </x:c>
      <x:c r="AI34" s="24" t="n">
        <x:f>ROUND(100*COUNTA(G34,J34,L34,R34,S34,T34,V34,X34,AA34,AC34)/10,0)</x:f>
        <x:v>10</x:v>
      </x:c>
      <x:c r="AJ34" s="20" t="str">
        <x:v>BENCHMARK_ONLY</x:v>
      </x:c>
      <x:c r="AK34" s="20" t="str">
        <x:v>INCOMPLETE_SEQUENCE</x:v>
      </x:c>
      <x:c r="AL34" s="20" t="str">
        <x:v>Need exact LHRHa identity and laser/PCE/heating data from full primary paper.</x:v>
      </x:c>
      <x:c r="AM34" s="20" t="str">
        <x:v>2026-09-07</x:v>
      </x:c>
      <x:c r="AN34" s="20" t="str">
        <x:v>WEB_PRIMARY</x:v>
      </x:c>
    </x:row>
    <x:row r="35">
      <x:c r="A35" s="20" t="str">
        <x:v>R032</x:v>
      </x:c>
      <x:c r="B35" s="20" t="str">
        <x:v>W09</x:v>
      </x:c>
      <x:c r="C35" s="20" t="str">
        <x:v>A2 DIRECT_PEPTIDE_NONPRECISE_AUNC</x:v>
      </x:c>
      <x:c r="D35" s="20" t="str">
        <x:v>DIRECT</x:v>
      </x:c>
      <x:c r="E35" s="20" t="str">
        <x:v>ultrasmall_AuNC_unknown_nuclearity</x:v>
      </x:c>
      <x:c r="F35" s="20" t="str">
        <x:v>CMMMMM peptide</x:v>
      </x:c>
      <x:c r="G35" s="20" t="str">
        <x:v>CMMMMM</x:v>
      </x:c>
      <x:c r="H35" s="20" t="str">
        <x:v>L</x:v>
      </x:c>
      <x:c r="I35" s="20" t="str">
        <x:v>None</x:v>
      </x:c>
      <x:c r="J35" s="20"/>
      <x:c r="K35" s="20"/>
      <x:c r="L35" s="20"/>
      <x:c r="M35" s="20"/>
      <x:c r="N35" s="20" t="str">
        <x:v>Peptide-coated fluorescent AuNC</x:v>
      </x:c>
      <x:c r="O35" s="20" t="str">
        <x:v>Gold precursor; exact SI protocol pending</x:v>
      </x:c>
      <x:c r="P35" s="20" t="str">
        <x:v>Screened peptide synthesis</x:v>
      </x:c>
      <x:c r="Q35" s="20"/>
      <x:c r="R35" s="20"/>
      <x:c r="S35" s="20"/>
      <x:c r="T35" s="20"/>
      <x:c r="U35" s="20" t="str">
        <x:v>Exact synthesis conditions in Supporting Information</x:v>
      </x:c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str">
        <x:v>Protein/serum discrimination</x:v>
      </x:c>
      <x:c r="AF35" s="20" t="str">
        <x:v>CMMMMM-AuNC fluorescence intensity was 230% higher than CYYYYY comparator; &gt;90% fluorescence remained after 60 min UV vs &lt;30% for CYYYYY.</x:v>
      </x:c>
      <x:c r="AG35" s="20" t="str">
        <x:v>Analytical Chemistry abstract</x:v>
      </x:c>
      <x:c r="AH35" s="20" t="str">
        <x:v>https://doi.org/10.1021/acs.analchem.9b03463</x:v>
      </x:c>
      <x:c r="AI35" s="24" t="n">
        <x:f>ROUND(100*COUNTA(G35,J35,L35,R35,S35,T35,V35,X35,AA35,AC35)/10,0)</x:f>
        <x:v>10</x:v>
      </x:c>
      <x:c r="AJ35" s="20" t="str">
        <x:v>QC_HOLD</x:v>
      </x:c>
      <x:c r="AK35" s="20" t="str">
        <x:v>EXACT_FROM_PRIMARY</x:v>
      </x:c>
      <x:c r="AL35" s="20" t="str">
        <x:v>Strong sequence-effect pair, but exact synthesis variables must be extracted before training.</x:v>
      </x:c>
      <x:c r="AM35" s="20" t="str">
        <x:v>2026-09-07</x:v>
      </x:c>
      <x:c r="AN35" s="20" t="str">
        <x:v>WEB_PRIMARY</x:v>
      </x:c>
    </x:row>
    <x:row r="36">
      <x:c r="A36" s="20" t="str">
        <x:v>R033</x:v>
      </x:c>
      <x:c r="B36" s="20" t="str">
        <x:v>W09</x:v>
      </x:c>
      <x:c r="C36" s="20" t="str">
        <x:v>A2 DIRECT_PEPTIDE_NONPRECISE_AUNC</x:v>
      </x:c>
      <x:c r="D36" s="20" t="str">
        <x:v>DIRECT</x:v>
      </x:c>
      <x:c r="E36" s="20" t="str">
        <x:v>ultrasmall_AuNC_unknown_nuclearity</x:v>
      </x:c>
      <x:c r="F36" s="20" t="str">
        <x:v>CYYYYY comparator</x:v>
      </x:c>
      <x:c r="G36" s="20" t="str">
        <x:v>CYYYYY</x:v>
      </x:c>
      <x:c r="H36" s="20" t="str">
        <x:v>L</x:v>
      </x:c>
      <x:c r="I36" s="20" t="str">
        <x:v>None</x:v>
      </x:c>
      <x:c r="J36" s="20"/>
      <x:c r="K36" s="20"/>
      <x:c r="L36" s="20"/>
      <x:c r="M36" s="20"/>
      <x:c r="N36" s="20" t="str">
        <x:v>Comparator peptide-coated AuNC</x:v>
      </x:c>
      <x:c r="O36" s="20" t="str">
        <x:v>Gold precursor; exact SI protocol pending</x:v>
      </x:c>
      <x:c r="P36" s="20" t="str">
        <x:v>Comparator peptide synthesis</x:v>
      </x:c>
      <x:c r="Q36" s="20"/>
      <x:c r="R36" s="20"/>
      <x:c r="S36" s="20"/>
      <x:c r="T36" s="20"/>
      <x:c r="U36" s="20" t="str">
        <x:v>Exact synthesis conditions in Supporting Information</x:v>
      </x:c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 t="str">
        <x:v>Comparator for fluorescence/stability</x:v>
      </x:c>
      <x:c r="AF36" s="20" t="str">
        <x:v>Matched comparator to CMMMMM; lower fluorescence and markedly poorer UV photostability.</x:v>
      </x:c>
      <x:c r="AG36" s="20" t="str">
        <x:v>Analytical Chemistry abstract</x:v>
      </x:c>
      <x:c r="AH36" s="20" t="str">
        <x:v>https://doi.org/10.1021/acs.analchem.9b03463</x:v>
      </x:c>
      <x:c r="AI36" s="24" t="n">
        <x:f>ROUND(100*COUNTA(G36,J36,L36,R36,S36,T36,V36,X36,AA36,AC36)/10,0)</x:f>
        <x:v>10</x:v>
      </x:c>
      <x:c r="AJ36" s="20" t="str">
        <x:v>QC_HOLD</x:v>
      </x:c>
      <x:c r="AK36" s="20" t="str">
        <x:v>EXACT_FROM_PRIMARY</x:v>
      </x:c>
      <x:c r="AL36" s="20" t="str">
        <x:v>Paired comparator is highly informative once SI synthesis variables are obtained.</x:v>
      </x:c>
      <x:c r="AM36" s="20" t="str">
        <x:v>2026-09-07</x:v>
      </x:c>
      <x:c r="AN36" s="20" t="str">
        <x:v>WEB_PRIMARY</x:v>
      </x:c>
    </x:row>
    <x:row r="37">
      <x:c r="A37" s="20" t="str">
        <x:v>R034</x:v>
      </x:c>
      <x:c r="B37" s="20" t="str">
        <x:v>W10</x:v>
      </x:c>
      <x:c r="C37" s="20" t="str">
        <x:v>A2 DIRECT_PEPTIDE_NONPRECISE_AUNC</x:v>
      </x:c>
      <x:c r="D37" s="20" t="str">
        <x:v>DIRECT</x:v>
      </x:c>
      <x:c r="E37" s="20" t="str">
        <x:v>ultrasmall_AuNC_unknown_nuclearity</x:v>
      </x:c>
      <x:c r="F37" s="20" t="str">
        <x:v>Y-containing peptide-motif library</x:v>
      </x:c>
      <x:c r="G37" s="20" t="str">
        <x:v>Multiple CCY-containing designed peptides</x:v>
      </x:c>
      <x:c r="H37" s="20" t="str">
        <x:v>L</x:v>
      </x:c>
      <x:c r="I37" s="20" t="str">
        <x:v>Sequence panel / permutations</x:v>
      </x:c>
      <x:c r="J37" s="20"/>
      <x:c r="K37" s="20"/>
      <x:c r="L37" s="20"/>
      <x:c r="M37" s="20"/>
      <x:c r="N37" s="20" t="str">
        <x:v>Peptide-AuNC sequence-panel study</x:v>
      </x:c>
      <x:c r="O37" s="20" t="str">
        <x:v>Gold ions</x:v>
      </x:c>
      <x:c r="P37" s="20" t="str">
        <x:v>Series of tyrosine-containing peptide motifs built around CCY core sequence</x:v>
      </x:c>
      <x:c r="Q37" s="20" t="str">
        <x:v>Peptide serves as reducing + protecting ligand</x:v>
      </x:c>
      <x:c r="R37" s="20"/>
      <x:c r="S37" s="20"/>
      <x:c r="T37" s="20"/>
      <x:c r="U37" s="20" t="str">
        <x:v>One-step real-time fluorescence monitoring</x:v>
      </x:c>
      <x:c r="V37" s="20"/>
      <x:c r="W37" s="20" t="str">
        <x:v>Red fluorescent optimized P-AuNC; exact peak requires full text/SI</x:v>
      </x:c>
      <x:c r="X37" s="20" t="n">
        <x:v>18</x:v>
      </x:c>
      <x:c r="Y37" s="20"/>
      <x:c r="Z37" s="20"/>
      <x:c r="AA37" s="20"/>
      <x:c r="AB37" s="20"/>
      <x:c r="AC37" s="20"/>
      <x:c r="AD37" s="20"/>
      <x:c r="AE37" s="20" t="str">
        <x:v>Temperature/Hg2+ sensing; cell labeling/imaging</x:v>
      </x:c>
      <x:c r="AF37" s="20" t="str">
        <x:v>Study reports ~18% quantum yield and demonstrates that peptide motifs and permutations/combinations modulate reaction products and optical properties.</x:v>
      </x:c>
      <x:c r="AG37" s="20" t="str">
        <x:v>ScienceDirect abstract/highlights</x:v>
      </x:c>
      <x:c r="AH37" s="20" t="str">
        <x:v>https://doi.org/10.1016/j.colsurfb.2022.112820</x:v>
      </x:c>
      <x:c r="AI37" s="24" t="n">
        <x:f>ROUND(100*COUNTA(G37,J37,L37,R37,S37,T37,V37,X37,AA37,AC37)/10,0)</x:f>
        <x:v>20</x:v>
      </x:c>
      <x:c r="AJ37" s="20" t="str">
        <x:v>SEQUENCE_PANEL_PENDING</x:v>
      </x:c>
      <x:c r="AK37" s="20" t="str">
        <x:v>MULTIPLE_EXACT_SEQUENCES_IN_LIBRARY</x:v>
      </x:c>
      <x:c r="AL37" s="20" t="str">
        <x:v>Per-sequence outcome and condition mapping still required before row-level ML training.</x:v>
      </x:c>
      <x:c r="AM37" s="20" t="str">
        <x:v>2026-09-07</x:v>
      </x:c>
      <x:c r="AN37" s="20" t="str">
        <x:v>WEB_PRIMARY</x:v>
      </x:c>
    </x:row>
    <x:row r="38">
      <x:c r="A38" s="20" t="str">
        <x:v>R035</x:v>
      </x:c>
      <x:c r="B38" s="20" t="str">
        <x:v>W16</x:v>
      </x:c>
      <x:c r="C38" s="20" t="str">
        <x:v>A2 DIRECT_PEPTIDE_NONPRECISE_AUNC</x:v>
      </x:c>
      <x:c r="D38" s="20" t="str">
        <x:v>DIRECT</x:v>
      </x:c>
      <x:c r="E38" s="20" t="str">
        <x:v>silver_doped_gold_nanocluster</x:v>
      </x:c>
      <x:c r="F38" s="20" t="str">
        <x:v>DCG tripeptide-stabilized Ag-doped AuNC</x:v>
      </x:c>
      <x:c r="G38" s="20" t="str">
        <x:v>DCG</x:v>
      </x:c>
      <x:c r="H38" s="20" t="str">
        <x:v>L</x:v>
      </x:c>
      <x:c r="I38" s="20" t="str">
        <x:v>Tripeptide ligand</x:v>
      </x:c>
      <x:c r="J38" s="20"/>
      <x:c r="K38" s="20"/>
      <x:c r="L38" s="20"/>
      <x:c r="M38" s="20"/>
      <x:c r="N38" s="20" t="str">
        <x:v>Silver-doped peptide-stabilized gold nanocluster</x:v>
      </x:c>
      <x:c r="O38" s="20"/>
      <x:c r="P38" s="20" t="str">
        <x:v>DCG tripeptide; one-step green synthesis</x:v>
      </x:c>
      <x:c r="Q38" s="20" t="str">
        <x:v>Peptide-templated</x:v>
      </x:c>
      <x:c r="R38" s="20"/>
      <x:c r="S38" s="20"/>
      <x:c r="T38" s="20"/>
      <x:c r="U38" s="20" t="str">
        <x:v>One-step green synthesis; exact nanocluster synthesis values require article/SI extraction</x:v>
      </x:c>
      <x:c r="V38" s="20"/>
      <x:c r="W38" s="20"/>
      <x:c r="X38" s="20"/>
      <x:c r="Y38" s="20"/>
      <x:c r="Z38" s="20"/>
      <x:c r="AA38" s="20"/>
      <x:c r="AB38" s="20"/>
      <x:c r="AC38" s="20"/>
      <x:c r="AD38" s="20"/>
      <x:c r="AE38" s="20" t="str">
        <x:v>Bioimaging + photodynamic therapy</x:v>
      </x:c>
      <x:c r="AF38" s="20" t="str">
        <x:v>2023 primary study reports two tripeptide-stabilized silver-doped gold nanoclusters with inherent photosensitizing activity for cancer imaging/PDT.</x:v>
      </x:c>
      <x:c r="AG38" s="20" t="str">
        <x:v>ACS Sustainable Chem. Eng. abstract + SI landing page</x:v>
      </x:c>
      <x:c r="AH38" s="20" t="str">
        <x:v>https://doi.org/10.1021/acssuschemeng.2c04857</x:v>
      </x:c>
      <x:c r="AI38" s="24" t="n">
        <x:f>ROUND(100*COUNTA(G38,J38,L38,R38,S38,T38,V38,X38,AA38,AC38)/10,0)</x:f>
        <x:v>10</x:v>
      </x:c>
      <x:c r="AJ38" s="20" t="str">
        <x:v>THERAPY_ADJACENT</x:v>
      </x:c>
      <x:c r="AK38" s="20" t="str">
        <x:v>EXACT_FROM_SI</x:v>
      </x:c>
      <x:c r="AL38" s="20" t="str">
        <x:v>Different material regime because of Ag doping; use as auxiliary therapeutic evidence, not core pure-AuNC training.</x:v>
      </x:c>
      <x:c r="AM38" s="20" t="str">
        <x:v>2026-09-07</x:v>
      </x:c>
      <x:c r="AN38" s="20" t="str">
        <x:v>WEB_PRIMARY+SI</x:v>
      </x:c>
    </x:row>
    <x:row r="39">
      <x:c r="A39" s="20" t="str">
        <x:v>R036</x:v>
      </x:c>
      <x:c r="B39" s="20" t="str">
        <x:v>W16</x:v>
      </x:c>
      <x:c r="C39" s="20" t="str">
        <x:v>A2 DIRECT_PEPTIDE_NONPRECISE_AUNC</x:v>
      </x:c>
      <x:c r="D39" s="20" t="str">
        <x:v>DIRECT</x:v>
      </x:c>
      <x:c r="E39" s="20" t="str">
        <x:v>silver_doped_gold_nanocluster</x:v>
      </x:c>
      <x:c r="F39" s="20" t="str">
        <x:v>DCS tripeptide-stabilized Ag-doped AuNC</x:v>
      </x:c>
      <x:c r="G39" s="20" t="str">
        <x:v>DCS</x:v>
      </x:c>
      <x:c r="H39" s="20" t="str">
        <x:v>L</x:v>
      </x:c>
      <x:c r="I39" s="20" t="str">
        <x:v>Tripeptide ligand</x:v>
      </x:c>
      <x:c r="J39" s="20"/>
      <x:c r="K39" s="20"/>
      <x:c r="L39" s="20"/>
      <x:c r="M39" s="20"/>
      <x:c r="N39" s="20" t="str">
        <x:v>Silver-doped peptide-stabilized gold nanocluster</x:v>
      </x:c>
      <x:c r="O39" s="20"/>
      <x:c r="P39" s="20" t="str">
        <x:v>DCS tripeptide; one-step green synthesis</x:v>
      </x:c>
      <x:c r="Q39" s="20" t="str">
        <x:v>Peptide-templated</x:v>
      </x:c>
      <x:c r="R39" s="20"/>
      <x:c r="S39" s="20"/>
      <x:c r="T39" s="20"/>
      <x:c r="U39" s="20" t="str">
        <x:v>One-step green synthesis; exact nanocluster synthesis values require article/SI extraction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 t="str">
        <x:v>Bioimaging + photodynamic therapy</x:v>
      </x:c>
      <x:c r="AF39" s="20" t="str">
        <x:v>Companion tripeptide system in the same 2023 primary study; useful for sequence-composition and therapy-aware feature development.</x:v>
      </x:c>
      <x:c r="AG39" s="20" t="str">
        <x:v>ACS Sustainable Chem. Eng. abstract + SI landing page</x:v>
      </x:c>
      <x:c r="AH39" s="20" t="str">
        <x:v>https://doi.org/10.1021/acssuschemeng.2c04857</x:v>
      </x:c>
      <x:c r="AI39" s="24" t="n">
        <x:f>ROUND(100*COUNTA(G39,J39,L39,R39,S39,T39,V39,X39,AA39,AC39)/10,0)</x:f>
        <x:v>10</x:v>
      </x:c>
      <x:c r="AJ39" s="20" t="str">
        <x:v>THERAPY_ADJACENT</x:v>
      </x:c>
      <x:c r="AK39" s="20" t="str">
        <x:v>EXACT_FROM_SI</x:v>
      </x:c>
      <x:c r="AL39" s="20" t="str">
        <x:v>Different material regime because of Ag doping; use as auxiliary therapeutic evidence, not core pure-AuNC training.</x:v>
      </x:c>
      <x:c r="AM39" s="20" t="str">
        <x:v>2026-09-07</x:v>
      </x:c>
      <x:c r="AN39" s="20" t="str">
        <x:v>WEB_PRIMARY+SI</x:v>
      </x:c>
    </x:row>
  </x:sheetData>
  <x:pageMargins left="0.7" right="0.7" top="0.75" bottom="0.75" header="0.3" footer="0.3"/>
  <x:tableParts count="1">
    <x:tablePart xmlns:r="http://schemas.openxmlformats.org/officeDocument/2006/relationships" r:id="R40a1dcfd9bef409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16" hidden="0" customWidth="1"/>
    <x:col min="5" max="5" width="42" hidden="0" customWidth="1"/>
    <x:col min="6" max="6" width="48" hidden="0" customWidth="1"/>
    <x:col min="7" max="7" width="58" hidden="0" customWidth="1"/>
    <x:col min="8" max="8" width="38" hidden="0" customWidth="1"/>
    <x:col min="9" max="9" width="40" hidden="0" customWidth="1"/>
    <x:col min="10" max="10" width="30" hidden="0" customWidth="1"/>
    <x:col min="11" max="11" width="16" hidden="0" customWidth="1"/>
  </x:cols>
  <x:sheetData>
    <x:row r="1">
      <x:c r="A1" s="39" t="str">
        <x:v>PepAu-Forge v0.3 — Leakage-Safe Benchmark Manifest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3">
      <x:c r="A3" s="44" t="str">
        <x:v>Target</x:v>
      </x:c>
      <x:c r="B3" s="44" t="str">
        <x:v>Eligible_Record_Rule</x:v>
      </x:c>
      <x:c r="C3" s="44" t="str">
        <x:v>Target_Column</x:v>
      </x:c>
      <x:c r="D3" s="44" t="str">
        <x:v>Group_Column</x:v>
      </x:c>
      <x:c r="E3" s="44" t="str">
        <x:v>Sequence_Leakage_Control</x:v>
      </x:c>
      <x:c r="F3" s="44" t="str">
        <x:v>Min_Operational_Gate</x:v>
      </x:c>
      <x:c r="G3" s="44" t="str">
        <x:v>Candidate_Models</x:v>
      </x:c>
      <x:c r="H3" s="44" t="str">
        <x:v>Primary_Metrics</x:v>
      </x:c>
      <x:c r="I3" s="44" t="str">
        <x:v>Calibration_or_Uncertainty</x:v>
      </x:c>
      <x:c r="J3" s="44" t="str">
        <x:v>Current_Action</x:v>
      </x:c>
      <x:c r="K3" s="44" t="str">
        <x:v>Production_Claim</x:v>
      </x:c>
    </x:row>
    <x:row r="4">
      <x:c r="A4" s="20" t="str">
        <x:v>Core size (nm)</x:v>
      </x:c>
      <x:c r="B4" s="20" t="str">
        <x:v>TRAIN_CORE or TRAIN_OPTICAL_SIZE; pure AuNC only</x:v>
      </x:c>
      <x:c r="C4" s="20" t="str">
        <x:v>Core_Size_nm</x:v>
      </x:c>
      <x:c r="D4" s="20" t="str">
        <x:v>Source_ID</x:v>
      </x:c>
      <x:c r="E4" s="20" t="str">
        <x:v>Cluster sequences at ≥0.80 identity; keep cluster in one fold</x:v>
      </x:c>
      <x:c r="F4" s="20" t="str">
        <x:v>≥30–50 rows, ≥8 papers, ≥20 sequence families</x:v>
      </x:c>
      <x:c r="G4" s="20" t="str">
        <x:v>ElasticNet; RandomForest; HistGB; CatBoost if installed; GaussianProcess</x:v>
      </x:c>
      <x:c r="H4" s="20" t="str">
        <x:v>MAE; RMSE; R²; Spearman</x:v>
      </x:c>
      <x:c r="I4" s="20" t="str">
        <x:v>Bootstrap CI; conformal/ensemble interval</x:v>
      </x:c>
      <x:c r="J4" s="20" t="str">
        <x:v>CODE READY / DATA GATE NOT PASSED</x:v>
      </x:c>
      <x:c r="K4" s="20" t="str">
        <x:v>NO</x:v>
      </x:c>
    </x:row>
    <x:row r="5">
      <x:c r="A5" s="20" t="str">
        <x:v>Emission peak (nm)</x:v>
      </x:c>
      <x:c r="B5" s="20" t="str">
        <x:v>Direct peptide-AuNC; exact sequence + primary optical value</x:v>
      </x:c>
      <x:c r="C5" s="20" t="str">
        <x:v>Emission_Peak_nm</x:v>
      </x:c>
      <x:c r="D5" s="20" t="str">
        <x:v>Source_ID</x:v>
      </x:c>
      <x:c r="E5" s="20" t="str">
        <x:v>Paper grouping + homologous sequence clusters</x:v>
      </x:c>
      <x:c r="F5" s="20" t="str">
        <x:v>≥30–50 rows with broad wavelength range</x:v>
      </x:c>
      <x:c r="G5" s="20" t="str">
        <x:v>ElasticNet; RandomForest; HistGB; CatBoost; GaussianProcess</x:v>
      </x:c>
      <x:c r="H5" s="20" t="str">
        <x:v>MAE; RMSE; R²; Spearman</x:v>
      </x:c>
      <x:c r="I5" s="20" t="str">
        <x:v>Prediction interval + OOD flag</x:v>
      </x:c>
      <x:c r="J5" s="20" t="str">
        <x:v>CODE READY / DATA GATE NOT PASSED</x:v>
      </x:c>
      <x:c r="K5" s="20" t="str">
        <x:v>NO</x:v>
      </x:c>
    </x:row>
    <x:row r="6">
      <x:c r="A6" s="20" t="str">
        <x:v>PLQY (%)</x:v>
      </x:c>
      <x:c r="B6" s="20" t="str">
        <x:v>Direct peptide-AuNC; exact primary PLQY</x:v>
      </x:c>
      <x:c r="C6" s="20" t="str">
        <x:v>PLQY_pct</x:v>
      </x:c>
      <x:c r="D6" s="20" t="str">
        <x:v>Source_ID</x:v>
      </x:c>
      <x:c r="E6" s="20" t="str">
        <x:v>Same-paper and homologous-sequence isolation</x:v>
      </x:c>
      <x:c r="F6" s="20" t="str">
        <x:v>≥30 labeled rows preferred for first exploratory model</x:v>
      </x:c>
      <x:c r="G6" s="20" t="str">
        <x:v>ElasticNet; RandomForest; CatBoost; GaussianProcess</x:v>
      </x:c>
      <x:c r="H6" s="20" t="str">
        <x:v>MAE; RMSE; R²; Spearman</x:v>
      </x:c>
      <x:c r="I6" s="20" t="str">
        <x:v>Bootstrap CI; conformal interval</x:v>
      </x:c>
      <x:c r="J6" s="20" t="str">
        <x:v>WAIT — too sparse</x:v>
      </x:c>
      <x:c r="K6" s="20" t="str">
        <x:v>NO</x:v>
      </x:c>
    </x:row>
    <x:row r="7">
      <x:c r="A7" s="20" t="str">
        <x:v>Au nuclearity</x:v>
      </x:c>
      <x:c r="B7" s="20" t="str">
        <x:v>A1 direct atomically precise peptide-AuNC only</x:v>
      </x:c>
      <x:c r="C7" s="20" t="str">
        <x:v>Au_Nuclearity</x:v>
      </x:c>
      <x:c r="D7" s="20" t="str">
        <x:v>Source_ID</x:v>
      </x:c>
      <x:c r="E7" s="20" t="str">
        <x:v>Strict sequence-cluster + paper split</x:v>
      </x:c>
      <x:c r="F7" s="20" t="str">
        <x:v>≥30 nuclearity-labeled rows for exploratory work</x:v>
      </x:c>
      <x:c r="G7" s="20" t="str">
        <x:v>Ordinal/classification benchmark; RF/CatBoost/GP alternatives</x:v>
      </x:c>
      <x:c r="H7" s="20" t="str">
        <x:v>MAE in atom count; exact/±1 atom accuracy; Spearman</x:v>
      </x:c>
      <x:c r="I7" s="20" t="str">
        <x:v>Calibrated probability/interval where feasible</x:v>
      </x:c>
      <x:c r="J7" s="20" t="str">
        <x:v>STOP — too sparse</x:v>
      </x:c>
      <x:c r="K7" s="20" t="str">
        <x:v>NO</x:v>
      </x:c>
    </x:row>
    <x:row r="8">
      <x:c r="A8" s="20" t="str">
        <x:v>Formation probability</x:v>
      </x:c>
      <x:c r="B8" s="20" t="str">
        <x:v>Explicit success + explicit failed/negative conditions only</x:v>
      </x:c>
      <x:c r="C8" s="20" t="str">
        <x:v>Formation_Label</x:v>
      </x:c>
      <x:c r="D8" s="20" t="str">
        <x:v>Source_ID</x:v>
      </x:c>
      <x:c r="E8" s="20" t="str">
        <x:v>Sequence-cluster split; condition duplicates kept within group</x:v>
      </x:c>
      <x:c r="F8" s="20" t="str">
        <x:v>Requires genuine negatives and nontrivial class balance</x:v>
      </x:c>
      <x:c r="G8" s="20" t="str">
        <x:v>Logistic; RF; CatBoost</x:v>
      </x:c>
      <x:c r="H8" s="20" t="str">
        <x:v>Balanced accuracy; MCC; AUROC; AUPRC; F1</x:v>
      </x:c>
      <x:c r="I8" s="20" t="str">
        <x:v>Brier; calibration slope/intercept</x:v>
      </x:c>
      <x:c r="J8" s="20" t="str">
        <x:v>STOP — negatives inadequate</x:v>
      </x:c>
      <x:c r="K8" s="20" t="str">
        <x:v>NO</x:v>
      </x:c>
    </x:row>
    <x:row r="9">
      <x:c r="A9" s="20" t="str">
        <x:v>PTT heating/PCE</x:v>
      </x:c>
      <x:c r="B9" s="20" t="str">
        <x:v>Direct peptide-AuNC PTT only; laser/context variables required</x:v>
      </x:c>
      <x:c r="C9" s="20" t="str">
        <x:v>PCE_or_DeltaT</x:v>
      </x:c>
      <x:c r="D9" s="20" t="str">
        <x:v>Source_ID</x:v>
      </x:c>
      <x:c r="E9" s="20" t="str">
        <x:v>Paper + sequence cluster; laser-context harmonization</x:v>
      </x:c>
      <x:c r="F9" s="20" t="str">
        <x:v>Multiple peptide families + matched laser contexts</x:v>
      </x:c>
      <x:c r="G9" s="20" t="str">
        <x:v>CatBoost; RF; GP</x:v>
      </x:c>
      <x:c r="H9" s="20" t="str">
        <x:v>MAE/RMSE; Spearman; ranking enrichment</x:v>
      </x:c>
      <x:c r="I9" s="20" t="str">
        <x:v>Prediction interval + OOD</x:v>
      </x:c>
      <x:c r="J9" s="20" t="str">
        <x:v>STOP — direct peptide PTT sparse</x:v>
      </x:c>
      <x:c r="K9" s="20" t="str">
        <x:v>NO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5b14055fba5418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62" hidden="0" customWidth="1"/>
    <x:col min="4" max="4" width="48" hidden="0" customWidth="1"/>
    <x:col min="5" max="5" width="62" hidden="0" customWidth="1"/>
    <x:col min="6" max="6" width="16" hidden="0" customWidth="1"/>
  </x:cols>
  <x:sheetData>
    <x:row r="1">
      <x:c r="A1" s="39" t="str">
        <x:v>PepAuDB v0.3 — Change Log and Evidence Decisions</x:v>
      </x:c>
      <x:c r="B1" s="39"/>
      <x:c r="C1" s="39"/>
      <x:c r="D1" s="39"/>
      <x:c r="E1" s="39"/>
      <x:c r="F1" s="39"/>
    </x:row>
    <x:row r="3">
      <x:c r="A3" s="44" t="str">
        <x:v>Change_ID</x:v>
      </x:c>
      <x:c r="B3" s="44" t="str">
        <x:v>What_Changed</x:v>
      </x:c>
      <x:c r="C3" s="44" t="str">
        <x:v>Scientific_Reason</x:v>
      </x:c>
      <x:c r="D3" s="44" t="str">
        <x:v>Source</x:v>
      </x:c>
      <x:c r="E3" s="44" t="str">
        <x:v>Impact_on_Model</x:v>
      </x:c>
      <x:c r="F3" s="44" t="str">
        <x:v>Status</x:v>
      </x:c>
    </x:row>
    <x:row r="4">
      <x:c r="A4" s="20" t="str">
        <x:v>C001</x:v>
      </x:c>
      <x:c r="B4" s="20" t="str">
        <x:v>Added W10 study-level sequence-panel record with ~18% QY.</x:v>
      </x:c>
      <x:c r="C4" s="20" t="str">
        <x:v>Primary paper confirms peptide motif permutations modulate AuNC optical outcomes; this is highly relevant to inverse design.</x:v>
      </x:c>
      <x:c r="D4" s="20" t="str">
        <x:v>https://doi.org/10.1016/j.colsurfb.2022.112820</x:v>
      </x:c>
      <x:c r="E4" s="20" t="str">
        <x:v>Strong support for position/order-aware peptide features; no row-level training until per-sequence outcomes are extracted.</x:v>
      </x:c>
      <x:c r="F4" s="20" t="str">
        <x:v>ADDED</x:v>
      </x:c>
    </x:row>
    <x:row r="5">
      <x:c r="A5" s="20" t="str">
        <x:v>C002</x:v>
      </x:c>
      <x:c r="B5" s="20" t="str">
        <x:v>Added DCG and DCS tripeptide therapeutic records.</x:v>
      </x:c>
      <x:c r="C5" s="20" t="str">
        <x:v>Primary 2023 study reports two silver-doped peptide-stabilized gold nanoclusters for imaging/PDT.</x:v>
      </x:c>
      <x:c r="D5" s="20" t="str">
        <x:v>https://doi.org/10.1021/acssuschemeng.2c04857</x:v>
      </x:c>
      <x:c r="E5" s="20" t="str">
        <x:v>Therapy-aware auxiliary evidence; kept out of pure-AuNC core model because Ag doping changes material regime.</x:v>
      </x:c>
      <x:c r="F5" s="20" t="str">
        <x:v>ADDED</x:v>
      </x:c>
    </x:row>
    <x:row r="6">
      <x:c r="A6" s="20" t="str">
        <x:v>C003</x:v>
      </x:c>
      <x:c r="B6" s="20" t="str">
        <x:v>Formalized six model targets and their leakage-safe inclusion rules.</x:v>
      </x:c>
      <x:c r="C6" s="20" t="str">
        <x:v>Prevents accidental mixing of AuNPs, reviews, benchmarks, doped systems and unresolved sequence records.</x:v>
      </x:c>
      <x:c r="D6" s="20" t="str">
        <x:v>Internal governance</x:v>
      </x:c>
      <x:c r="E6" s="20" t="str">
        <x:v>Benchmark code will filter before modeling, not after results are seen.</x:v>
      </x:c>
      <x:c r="F6" s="20" t="str">
        <x:v>LOCKED</x:v>
      </x:c>
    </x:row>
    <x:row r="7">
      <x:c r="A7" s="20" t="str">
        <x:v>C004</x:v>
      </x:c>
      <x:c r="B7" s="20" t="str">
        <x:v>Production accuracy claims remain blocked.</x:v>
      </x:c>
      <x:c r="C7" s="20" t="str">
        <x:v>Current atomic/formation/PTT sample diversity is scientifically insufficient.</x:v>
      </x:c>
      <x:c r="D7" s="20" t="str">
        <x:v>PepAuDB v0.3 audit</x:v>
      </x:c>
      <x:c r="E7" s="20" t="str">
        <x:v>Notebook will emit gate status instead of fabricated metrics when N/groups are too small.</x:v>
      </x:c>
      <x:c r="F7" s="20" t="str">
        <x:v>LOCKED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3127ee6248e4eec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2" hidden="0" customWidth="1"/>
    <x:col min="4" max="4" width="32" hidden="0" customWidth="1"/>
    <x:col min="5" max="5" width="20" hidden="0" customWidth="1"/>
    <x:col min="6" max="6" width="56" hidden="0" customWidth="1"/>
    <x:col min="7" max="7" width="56" hidden="0" customWidth="1"/>
    <x:col min="8" max="8" width="30" hidden="0" customWidth="1"/>
  </x:cols>
  <x:sheetData>
    <x:row r="1">
      <x:c r="A1" s="39" t="str">
        <x:v>NanoMax PepAu-Forge — PepAuDB v0.3 Dashboard</x:v>
      </x:c>
      <x:c r="B1" s="39"/>
      <x:c r="C1" s="39"/>
      <x:c r="D1" s="39"/>
      <x:c r="E1" s="39"/>
      <x:c r="F1" s="39"/>
      <x:c r="G1" s="39"/>
      <x:c r="H1" s="39"/>
      <x:c r="I1" s="39"/>
      <x:c r="J1" s="39"/>
    </x:row>
    <x:row r="3">
      <x:c r="A3" s="44" t="str">
        <x:v>KPI</x:v>
      </x:c>
      <x:c r="B3" s="44" t="str">
        <x:v>Value</x:v>
      </x:c>
      <x:c r="D3" s="44" t="str">
        <x:v>Workstream</x:v>
      </x:c>
      <x:c r="E3" s="44" t="str">
        <x:v>Decision</x:v>
      </x:c>
      <x:c r="F3" s="44" t="str">
        <x:v>Scientific status</x:v>
      </x:c>
      <x:c r="G3" s="44" t="str">
        <x:v>Next requirement</x:v>
      </x:c>
      <x:c r="H3" s="44" t="str">
        <x:v>Can appear in Streamlit?</x:v>
      </x:c>
    </x:row>
    <x:row r="4">
      <x:c r="A4" t="str">
        <x:v>Total v0.3 records</x:v>
      </x:c>
      <x:c r="B4" t="n">
        <x:f>COUNTA(PepAuDB_v0.3!A4:A39)</x:f>
        <x:v>36</x:v>
      </x:c>
      <x:c r="D4" s="20" t="str">
        <x:v>Evidence database</x:v>
      </x:c>
      <x:c r="E4" s="20" t="str">
        <x:v>GO</x:v>
      </x:c>
      <x:c r="F4" s="20" t="str">
        <x:v>Versioned, provenance-aware, QC-gated</x:v>
      </x:c>
      <x:c r="G4" s="20" t="str">
        <x:v>Continue primary-paper extraction</x:v>
      </x:c>
      <x:c r="H4" s="20" t="str">
        <x:v>YES</x:v>
      </x:c>
    </x:row>
    <x:row r="5">
      <x:c r="A5" t="str">
        <x:v>Direct A1 atomic peptide-AuNC</x:v>
      </x:c>
      <x:c r="B5" t="n">
        <x:f>COUNTIF(PepAuDB_v0.3!C4:C39,"A1 DIRECT_PEPTIDE_ATOMIC_AUNC")</x:f>
        <x:v>6</x:v>
      </x:c>
      <x:c r="D5" s="20" t="str">
        <x:v>Sequence/synthesis descriptor engine</x:v>
      </x:c>
      <x:c r="E5" s="20" t="str">
        <x:v>GO</x:v>
      </x:c>
      <x:c r="F5" s="20" t="str">
        <x:v>Can be built before final model</x:v>
      </x:c>
      <x:c r="G5" s="20" t="str">
        <x:v>Implement residue-position + condition features</x:v>
      </x:c>
      <x:c r="H5" s="20" t="str">
        <x:v>YES</x:v>
      </x:c>
    </x:row>
    <x:row r="6">
      <x:c r="A6" t="str">
        <x:v>TRAIN_CORE</x:v>
      </x:c>
      <x:c r="B6" t="n">
        <x:f>COUNTIF(PepAuDB_v0.3!AJ4:AJ39,"TRAIN_CORE")</x:f>
        <x:v>3</x:v>
      </x:c>
      <x:c r="D6" s="20" t="str">
        <x:v>Optical/size exploratory ML</x:v>
      </x:c>
      <x:c r="E6" s="20" t="str">
        <x:v>WAIT</x:v>
      </x:c>
      <x:c r="F6" s="20" t="str">
        <x:v>Code ready; sample diversity below operational gate</x:v>
      </x:c>
      <x:c r="G6" s="20" t="str">
        <x:v>More direct primary experiment rows</x:v>
      </x:c>
      <x:c r="H6" s="20" t="str">
        <x:v>Only as disabled/research preview</x:v>
      </x:c>
    </x:row>
    <x:row r="7">
      <x:c r="A7" t="str">
        <x:v>TRAIN_STRUCTURE_ONLY</x:v>
      </x:c>
      <x:c r="B7" t="n">
        <x:f>COUNTIF(PepAuDB_v0.3!AJ4:AJ39,"TRAIN_STRUCTURE_ONLY")</x:f>
        <x:v>1</x:v>
      </x:c>
      <x:c r="D7" s="20" t="str">
        <x:v>Atomic nuclearity prediction</x:v>
      </x:c>
      <x:c r="E7" s="20" t="str">
        <x:v>STOP</x:v>
      </x:c>
      <x:c r="F7" s="20" t="str">
        <x:v>Too few independent peptide/nuclearity examples</x:v>
      </x:c>
      <x:c r="G7" s="20" t="str">
        <x:v>Substantially expand A1 records</x:v>
      </x:c>
      <x:c r="H7" s="20" t="str">
        <x:v>NO prediction claim</x:v>
      </x:c>
    </x:row>
    <x:row r="8">
      <x:c r="A8" t="str">
        <x:v>TRAIN_OPTICAL_SIZE</x:v>
      </x:c>
      <x:c r="B8" t="n">
        <x:f>COUNTIF(PepAuDB_v0.3!AJ4:AJ39,"TRAIN_OPTICAL_SIZE")</x:f>
        <x:v>1</x:v>
      </x:c>
      <x:c r="D8" s="20" t="str">
        <x:v>Formation classifier</x:v>
      </x:c>
      <x:c r="E8" s="20" t="str">
        <x:v>STOP</x:v>
      </x:c>
      <x:c r="F8" s="20" t="str">
        <x:v>Negative/failed syntheses inadequate</x:v>
      </x:c>
      <x:c r="G8" s="20" t="str">
        <x:v>Curate explicit failed controls</x:v>
      </x:c>
      <x:c r="H8" s="20" t="str">
        <x:v>NO</x:v>
      </x:c>
    </x:row>
    <x:row r="9">
      <x:c r="A9" t="str">
        <x:v>SEQUENCE_PANEL_PENDING</x:v>
      </x:c>
      <x:c r="B9" t="n">
        <x:f>COUNTIF(PepAuDB_v0.3!AJ4:AJ39,"SEQUENCE_PANEL_PENDING")</x:f>
        <x:v>1</x:v>
      </x:c>
      <x:c r="D9" s="20" t="str">
        <x:v>PTT learned model</x:v>
      </x:c>
      <x:c r="E9" s="20" t="str">
        <x:v>STOP</x:v>
      </x:c>
      <x:c r="F9" s="20" t="str">
        <x:v>Peptide-templated PTT labels too sparse</x:v>
      </x:c>
      <x:c r="G9" s="20" t="str">
        <x:v>Acquire direct PTT/PCE/ΔT studies</x:v>
      </x:c>
      <x:c r="H9" s="20" t="str">
        <x:v>Benchmark page only</x:v>
      </x:c>
    </x:row>
    <x:row r="10">
      <x:c r="A10" t="str">
        <x:v>THERAPY_ADJACENT</x:v>
      </x:c>
      <x:c r="B10" t="n">
        <x:f>COUNTIF(PepAuDB_v0.3!AJ4:AJ39,"THERAPY_ADJACENT")</x:f>
        <x:v>2</x:v>
      </x:c>
      <x:c r="D10" s="20" t="str">
        <x:v>Leakage-safe validation framework</x:v>
      </x:c>
      <x:c r="E10" s="20" t="str">
        <x:v>GO</x:v>
      </x:c>
      <x:c r="F10" s="20" t="str">
        <x:v>Paper grouping + sequence clustering specified</x:v>
      </x:c>
      <x:c r="G10" s="20" t="str">
        <x:v>Run automatically once each target passes gate</x:v>
      </x:c>
      <x:c r="H10" s="20" t="str">
        <x:v>YES as methodology</x:v>
      </x:c>
    </x:row>
    <x:row r="11">
      <x:c r="A11" t="str">
        <x:v>QC_HOLD</x:v>
      </x:c>
      <x:c r="B11" t="n">
        <x:f>COUNTIF(PepAuDB_v0.3!AJ4:AJ39,"QC_HOLD")</x:f>
        <x:v>8</x:v>
      </x:c>
    </x:row>
    <x:row r="12">
      <x:c r="A12" t="str">
        <x:v>BENCHMARK_ONLY</x:v>
      </x:c>
      <x:c r="B12" t="n">
        <x:f>COUNTIF(PepAuDB_v0.3!AJ4:AJ39,"BENCHMARK_ONLY")</x:f>
        <x:v>4</x:v>
      </x:c>
    </x:row>
    <x:row r="13">
      <x:c r="A13" t="str">
        <x:v>Current production-ready targets</x:v>
      </x:c>
      <x:c r="B13" t="n">
        <x:v>0</x:v>
      </x:c>
    </x:row>
    <x:row r="14">
      <x:c r="A14" t="str">
        <x:v>Benchmark notebook status</x:v>
      </x:c>
      <x:c r="B14" t="str">
        <x:v>CREATED</x:v>
      </x:c>
    </x:row>
    <x:row r="17">
      <x:c r="A17" s="44" t="str">
        <x:v>Priority acquisition</x:v>
      </x:c>
      <x:c r="B17" s="44" t="str">
        <x:v>Why it matters</x:v>
      </x:c>
    </x:row>
    <x:row r="18">
      <x:c r="A18" s="20" t="str">
        <x:v>W10 full text/SI</x:v>
      </x:c>
      <x:c r="B18" s="20" t="str">
        <x:v>Seven-sequence within-paper design panel; strongest immediate sequence-learning opportunity.</x:v>
      </x:c>
    </x:row>
    <x:row r="19">
      <x:c r="A19" s="20" t="str">
        <x:v>W01 full text/SI</x:v>
      </x:c>
      <x:c r="B19" s="20" t="str">
        <x:v>Same sequence → blue/red outcomes under different conditions; critical for condition-aware inverse design.</x:v>
      </x:c>
    </x:row>
    <x:row r="20">
      <x:c r="A20" s="20" t="str">
        <x:v>W05 full primary protocol</x:v>
      </x:c>
      <x:c r="B20" s="20" t="str">
        <x:v>Au25Sv9 atomic peptide record; improves nuclearity/structure coverage.</x:v>
      </x:c>
    </x:row>
    <x:row r="21">
      <x:c r="A21" s="20" t="str">
        <x:v>W09 SI</x:v>
      </x:c>
      <x:c r="B21" s="20" t="str">
        <x:v>CMMMMM vs CYYYYY matched comparator; valuable sequence-effect pair.</x:v>
      </x:c>
    </x:row>
    <x:row r="22">
      <x:c r="A22" s="20" t="str">
        <x:v>W08 full PTT paper</x:v>
      </x:c>
      <x:c r="B22" s="20" t="str">
        <x:v>Adds direct peptide-functionalized AuNC PTT context.</x:v>
      </x:c>
    </x:row>
    <x:row r="23">
      <x:c r="A23" s="20" t="str">
        <x:v>Explicit failed synthesis controls</x:v>
      </x:c>
      <x:c r="B23" s="20" t="str">
        <x:v>Essential before any scientifically credible formation classifier.</x:v>
      </x:c>
    </x:row>
  </x:sheetData>
  <x:mergeCells>
    <x:mergeCell ref="A1:J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9" hidden="0" customWidth="1"/>
    <x:col min="4" max="4" width="16" hidden="0" customWidth="1"/>
    <x:col min="5" max="5" width="28" hidden="0" customWidth="1"/>
    <x:col min="6" max="6" width="34" hidden="0" customWidth="1"/>
    <x:col min="7" max="7" width="42" hidden="0" customWidth="1"/>
    <x:col min="8" max="8" width="14" hidden="0" customWidth="1"/>
    <x:col min="9" max="9" width="34" hidden="0" customWidth="1"/>
    <x:col min="10" max="10" width="13" hidden="0" customWidth="1"/>
    <x:col min="11" max="11" width="12" hidden="0" customWidth="1"/>
    <x:col min="12" max="12" width="13" hidden="0" customWidth="1"/>
    <x:col min="13" max="13" width="16" hidden="0" customWidth="1"/>
    <x:col min="14" max="14" width="34" hidden="0" customWidth="1"/>
    <x:col min="15" max="15" width="22" hidden="0" customWidth="1"/>
    <x:col min="16" max="16" width="52" hidden="0" customWidth="1"/>
    <x:col min="17" max="17" width="34" hidden="0" customWidth="1"/>
    <x:col min="18" max="18" width="10" hidden="0" customWidth="1"/>
    <x:col min="19" max="19" width="13" hidden="0" customWidth="1"/>
    <x:col min="20" max="20" width="10" hidden="0" customWidth="1"/>
    <x:col min="21" max="21" width="58" hidden="0" customWidth="1"/>
    <x:col min="22" max="22" width="16" hidden="0" customWidth="1"/>
    <x:col min="23" max="23" width="24" hidden="0" customWidth="1"/>
    <x:col min="24" max="24" width="12" hidden="0" customWidth="1"/>
    <x:col min="25" max="25" width="20" hidden="0" customWidth="1"/>
    <x:col min="26" max="26" width="12" hidden="0" customWidth="1"/>
    <x:col min="27" max="27" width="10" hidden="0" customWidth="1"/>
    <x:col min="28" max="28" width="16" hidden="0" customWidth="1"/>
    <x:col min="29" max="29" width="18" hidden="0" customWidth="1"/>
    <x:col min="30" max="30" width="14" hidden="0" customWidth="1"/>
    <x:col min="31" max="31" width="34" hidden="0" customWidth="1"/>
    <x:col min="32" max="32" width="76" hidden="0" customWidth="1"/>
    <x:col min="33" max="33" width="42" hidden="0" customWidth="1"/>
    <x:col min="34" max="34" width="48" hidden="0" customWidth="1"/>
    <x:col min="35" max="35" width="16" hidden="0" customWidth="1"/>
    <x:col min="36" max="36" width="34" hidden="0" customWidth="1"/>
    <x:col min="37" max="37" width="28" hidden="0" customWidth="1"/>
    <x:col min="38" max="38" width="74" hidden="0" customWidth="1"/>
    <x:col min="39" max="39" width="14" hidden="0" customWidth="1"/>
    <x:col min="40" max="40" width="24" hidden="0" customWidth="1"/>
    <x:col min="41" max="41" width="16" hidden="0" customWidth="1"/>
    <x:col min="42" max="42" width="30" hidden="0" customWidth="1"/>
    <x:col min="43" max="43" width="34" hidden="0" customWidth="1"/>
  </x:cols>
  <x:sheetData>
    <x:row r="1">
      <x:c r="A1" s="48" t="str">
        <x:v>PepAuDB v0.4 — Formation Controls + Patent-Backed Synthesis Expansion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  <x:c r="AA1" s="48"/>
      <x:c r="AB1" s="48"/>
      <x:c r="AC1" s="48"/>
      <x:c r="AD1" s="48"/>
      <x:c r="AE1" s="48"/>
      <x:c r="AF1" s="48"/>
      <x:c r="AG1" s="48"/>
      <x:c r="AH1" s="48"/>
      <x:c r="AI1" s="48"/>
      <x:c r="AJ1" s="48"/>
      <x:c r="AK1" s="48"/>
      <x:c r="AL1" s="48"/>
      <x:c r="AM1" s="48"/>
      <x:c r="AN1" s="48"/>
      <x:c r="AO1" s="48"/>
      <x:c r="AP1" s="48"/>
      <x:c r="AQ1" s="48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</x:row>
    <x:row r="3">
      <x:c r="A3" s="53" t="str">
        <x:v>Record_ID</x:v>
      </x:c>
      <x:c r="B3" s="53" t="str">
        <x:v>Source_ID</x:v>
      </x:c>
      <x:c r="C3" s="53" t="str">
        <x:v>Evidence_Class</x:v>
      </x:c>
      <x:c r="D3" s="53" t="str">
        <x:v>Data_Status</x:v>
      </x:c>
      <x:c r="E3" s="53" t="str">
        <x:v>Material_Regime</x:v>
      </x:c>
      <x:c r="F3" s="53" t="str">
        <x:v>Peptide_or_Ligand</x:v>
      </x:c>
      <x:c r="G3" s="53" t="str">
        <x:v>Sequence</x:v>
      </x:c>
      <x:c r="H3" s="53" t="str">
        <x:v>Stereochemistry</x:v>
      </x:c>
      <x:c r="I3" s="53" t="str">
        <x:v>Terminal_or_Chemical_Modification</x:v>
      </x:c>
      <x:c r="J3" s="53" t="str">
        <x:v>Au_Nuclearity</x:v>
      </x:c>
      <x:c r="K3" s="53" t="str">
        <x:v>Ligand_Count</x:v>
      </x:c>
      <x:c r="L3" s="53" t="str">
        <x:v>Core_Size_nm</x:v>
      </x:c>
      <x:c r="M3" s="53" t="str">
        <x:v>Hydrodynamic_Size_nm</x:v>
      </x:c>
      <x:c r="N3" s="53" t="str">
        <x:v>Morphology</x:v>
      </x:c>
      <x:c r="O3" s="53" t="str">
        <x:v>Au_Precursor</x:v>
      </x:c>
      <x:c r="P3" s="53" t="str">
        <x:v>Peptide_or_Ligand_Condition</x:v>
      </x:c>
      <x:c r="Q3" s="53" t="str">
        <x:v>Reducing_Agent</x:v>
      </x:c>
      <x:c r="R3" s="53" t="str">
        <x:v>pH</x:v>
      </x:c>
      <x:c r="S3" s="53" t="str">
        <x:v>Temperature_C</x:v>
      </x:c>
      <x:c r="T3" s="53" t="str">
        <x:v>Time_h</x:v>
      </x:c>
      <x:c r="U3" s="53" t="str">
        <x:v>Mixing_or_Process</x:v>
      </x:c>
      <x:c r="V3" s="53" t="str">
        <x:v>Emission_Peak_nm</x:v>
      </x:c>
      <x:c r="W3" s="53" t="str">
        <x:v>Emission_Range_nm</x:v>
      </x:c>
      <x:c r="X3" s="53" t="str">
        <x:v>PLQY_pct</x:v>
      </x:c>
      <x:c r="Y3" s="53" t="str">
        <x:v>Absorption_or_LSPR_nm</x:v>
      </x:c>
      <x:c r="Z3" s="53" t="str">
        <x:v>Zeta_mV</x:v>
      </x:c>
      <x:c r="AA3" s="53" t="str">
        <x:v>Laser_nm</x:v>
      </x:c>
      <x:c r="AB3" s="53" t="str">
        <x:v>Laser_Power_W_cm2</x:v>
      </x:c>
      <x:c r="AC3" s="53" t="str">
        <x:v>PTT_Temperature_C</x:v>
      </x:c>
      <x:c r="AD3" s="53" t="str">
        <x:v>PTT_Time_min</x:v>
      </x:c>
      <x:c r="AE3" s="53" t="str">
        <x:v>Application</x:v>
      </x:c>
      <x:c r="AF3" s="53" t="str">
        <x:v>Key_Observation</x:v>
      </x:c>
      <x:c r="AG3" s="53" t="str">
        <x:v>Source_Locator</x:v>
      </x:c>
      <x:c r="AH3" s="53" t="str">
        <x:v>DOI_URL</x:v>
      </x:c>
      <x:c r="AI3" s="53" t="str">
        <x:v>Key_Field_Completeness_pct</x:v>
      </x:c>
      <x:c r="AJ3" s="53" t="str">
        <x:v>Training_Eligibility</x:v>
      </x:c>
      <x:c r="AK3" s="53" t="str">
        <x:v>Sequence_Status</x:v>
      </x:c>
      <x:c r="AL3" s="53" t="str">
        <x:v>QC_Flag</x:v>
      </x:c>
      <x:c r="AM3" s="53" t="str">
        <x:v>Research_Date</x:v>
      </x:c>
      <x:c r="AN3" s="53" t="str">
        <x:v>Source_Type</x:v>
      </x:c>
      <x:c r="AO3" s="53" t="str">
        <x:v>Formation_Label</x:v>
      </x:c>
      <x:c r="AP3" s="53" t="str">
        <x:v>Ligand_Architecture</x:v>
      </x:c>
      <x:c r="AQ3" s="53" t="str">
        <x:v>Evidence_Level</x:v>
      </x:c>
    </x:row>
    <x:row r="4">
      <x:c r="A4" s="20" t="str">
        <x:v>R001</x:v>
      </x:c>
      <x:c r="B4" s="20" t="str">
        <x:v>S01</x:v>
      </x:c>
      <x:c r="C4" s="20" t="str">
        <x:v>B1 PEPTIDE_AUNP_MECHANISM</x:v>
      </x:c>
      <x:c r="D4" s="20" t="str">
        <x:v>DIRECT</x:v>
      </x:c>
      <x:c r="E4" s="20" t="str">
        <x:v>gold_nanoparticle</x:v>
      </x:c>
      <x:c r="F4" s="20" t="str">
        <x:v>AAAKCK</x:v>
      </x:c>
      <x:c r="G4" s="20" t="str">
        <x:v>AAAKCK</x:v>
      </x:c>
      <x:c r="H4" s="20" t="str">
        <x:v>L</x:v>
      </x:c>
      <x:c r="I4" s="20" t="str">
        <x:v>None</x:v>
      </x:c>
      <x:c r="J4" s="20"/>
      <x:c r="K4" s="20"/>
      <x:c r="L4" s="20"/>
      <x:c r="M4" s="20"/>
      <x:c r="N4" s="20" t="str">
        <x:v>Mostly icosahedron/decahedron; some hexagonal plates</x:v>
      </x:c>
      <x:c r="O4" s="20" t="str">
        <x:v>HAuCl4</x:v>
      </x:c>
      <x:c r="P4" s="20" t="str">
        <x:v>7 mM peptide; 10 mM HAuCl4; 20 mM phosphate buffer</x:v>
      </x:c>
      <x:c r="Q4" s="20" t="str">
        <x:v>Peptide self-reduction</x:v>
      </x:c>
      <x:c r="R4" s="20" t="n">
        <x:v>4</x:v>
      </x:c>
      <x:c r="S4" s="20" t="n">
        <x:v>25</x:v>
      </x:c>
      <x:c r="T4" s="20"/>
      <x:c r="U4" s="20" t="str">
        <x:v>No stirring; room temperature</x:v>
      </x:c>
      <x:c r="V4" s="20"/>
      <x:c r="W4" s="20"/>
      <x:c r="X4" s="20"/>
      <x:c r="Y4" s="20"/>
      <x:c r="Z4" s="20"/>
      <x:c r="AA4" s="20"/>
      <x:c r="AB4" s="20"/>
      <x:c r="AC4" s="20"/>
      <x:c r="AD4" s="20"/>
      <x:c r="AE4" s="20" t="str">
        <x:v>Mechanistic</x:v>
      </x:c>
      <x:c r="AF4" s="20" t="str">
        <x:v>pH 4: 71.4% icosahedron/decahedron; size ranges 55–90, 50–100 and 65–125 nm for icosahedron/decahedron/plates</x:v>
      </x:c>
      <x:c r="AG4" s="20" t="str">
        <x:v>Main text p.5; Fig.6</x:v>
      </x:c>
      <x:c r="AH4" s="20" t="str">
        <x:v>https://doi.org/10.1021/acsomega.6b00140</x:v>
      </x:c>
      <x:c r="AI4" s="24" t="n">
        <x:f>ROUND(100*COUNTA(G4,J4,L4,R4,S4,T4,V4,X4,AA4,AC4)/10,0)</x:f>
        <x:v>30</x:v>
      </x:c>
      <x:c r="AJ4" s="20" t="str">
        <x:v>MECHANISTIC_ONLY</x:v>
      </x:c>
      <x:c r="AK4" s="20" t="str">
        <x:v>EXACT_FROM_UPLOADED_PRIMARY</x:v>
      </x:c>
      <x:c r="AL4" s="20" t="str">
        <x:v>Cross-regime peptide→gold mechanism; not an atomically precise AuNC training target.</x:v>
      </x:c>
      <x:c r="AM4" s="20" t="str">
        <x:v>2026-09-07</x:v>
      </x:c>
      <x:c r="AN4" s="20" t="str">
        <x:v>UPLOADED_PRIMARY_OR_REVIEW</x:v>
      </x:c>
      <x:c r="AO4" s="54" t="n">
        <x:v>1</x:v>
      </x:c>
      <x:c r="AP4" s="20" t="str">
        <x:v>single_ligand</x:v>
      </x:c>
      <x:c r="AQ4" s="20" t="str">
        <x:v>PEER_REVIEWED_CROSS_REGIME</x:v>
      </x:c>
    </x:row>
    <x:row r="5">
      <x:c r="A5" s="20" t="str">
        <x:v>R002</x:v>
      </x:c>
      <x:c r="B5" s="20" t="str">
        <x:v>S01</x:v>
      </x:c>
      <x:c r="C5" s="20" t="str">
        <x:v>B1 PEPTIDE_AUNP_MECHANISM</x:v>
      </x:c>
      <x:c r="D5" s="20" t="str">
        <x:v>DIRECT</x:v>
      </x:c>
      <x:c r="E5" s="20" t="str">
        <x:v>gold_nanoparticle</x:v>
      </x:c>
      <x:c r="F5" s="20" t="str">
        <x:v>AAAKCK</x:v>
      </x:c>
      <x:c r="G5" s="20" t="str">
        <x:v>AAAKCK</x:v>
      </x:c>
      <x:c r="H5" s="20" t="str">
        <x:v>L</x:v>
      </x:c>
      <x:c r="I5" s="20" t="str">
        <x:v>None</x:v>
      </x:c>
      <x:c r="J5" s="20"/>
      <x:c r="K5" s="20"/>
      <x:c r="L5" s="20"/>
      <x:c r="M5" s="20"/>
      <x:c r="N5" s="20" t="str">
        <x:v>Mixed; icosahedron/decahedron + bipyramids/spheres/plates</x:v>
      </x:c>
      <x:c r="O5" s="20" t="str">
        <x:v>HAuCl4</x:v>
      </x:c>
      <x:c r="P5" s="20" t="str">
        <x:v>7 mM peptide; 10 mM HAuCl4; 20 mM phosphate buffer</x:v>
      </x:c>
      <x:c r="Q5" s="20" t="str">
        <x:v>Peptide self-reduction</x:v>
      </x:c>
      <x:c r="R5" s="20" t="n">
        <x:v>6</x:v>
      </x:c>
      <x:c r="S5" s="20" t="n">
        <x:v>25</x:v>
      </x:c>
      <x:c r="T5" s="20"/>
      <x:c r="U5" s="20" t="str">
        <x:v>No stirring; room temperature</x:v>
      </x:c>
      <x:c r="V5" s="20"/>
      <x:c r="W5" s="20"/>
      <x:c r="X5" s="20"/>
      <x:c r="Y5" s="20"/>
      <x:c r="Z5" s="20"/>
      <x:c r="AA5" s="20"/>
      <x:c r="AB5" s="20"/>
      <x:c r="AC5" s="20"/>
      <x:c r="AD5" s="20"/>
      <x:c r="AE5" s="20" t="str">
        <x:v>Mechanistic</x:v>
      </x:c>
      <x:c r="AF5" s="20" t="str">
        <x:v>pH 6 reduces many size ranges vs pH 4; spherical/bipyramidal forms appear</x:v>
      </x:c>
      <x:c r="AG5" s="20" t="str">
        <x:v>Main text p.5; Fig.6</x:v>
      </x:c>
      <x:c r="AH5" s="20" t="str">
        <x:v>https://doi.org/10.1021/acsomega.6b00140</x:v>
      </x:c>
      <x:c r="AI5" s="24" t="n">
        <x:f>ROUND(100*COUNTA(G5,J5,L5,R5,S5,T5,V5,X5,AA5,AC5)/10,0)</x:f>
        <x:v>30</x:v>
      </x:c>
      <x:c r="AJ5" s="20" t="str">
        <x:v>MECHANISTIC_ONLY</x:v>
      </x:c>
      <x:c r="AK5" s="20" t="str">
        <x:v>EXACT_FROM_UPLOADED_PRIMARY</x:v>
      </x:c>
      <x:c r="AL5" s="20" t="str">
        <x:v>Cross-regime peptide→gold mechanism; not an atomically precise AuNC training target.</x:v>
      </x:c>
      <x:c r="AM5" s="20" t="str">
        <x:v>2026-09-07</x:v>
      </x:c>
      <x:c r="AN5" s="20" t="str">
        <x:v>UPLOADED_PRIMARY_OR_REVIEW</x:v>
      </x:c>
      <x:c r="AO5" s="54" t="n">
        <x:v>1</x:v>
      </x:c>
      <x:c r="AP5" s="20" t="str">
        <x:v>single_ligand</x:v>
      </x:c>
      <x:c r="AQ5" s="20" t="str">
        <x:v>PEER_REVIEWED_CROSS_REGIME</x:v>
      </x:c>
    </x:row>
    <x:row r="6">
      <x:c r="A6" s="20" t="str">
        <x:v>R003</x:v>
      </x:c>
      <x:c r="B6" s="20" t="str">
        <x:v>S01</x:v>
      </x:c>
      <x:c r="C6" s="20" t="str">
        <x:v>B1 PEPTIDE_AUNP_MECHANISM</x:v>
      </x:c>
      <x:c r="D6" s="20" t="str">
        <x:v>DIRECT</x:v>
      </x:c>
      <x:c r="E6" s="20" t="str">
        <x:v>gold_nanoparticle</x:v>
      </x:c>
      <x:c r="F6" s="20" t="str">
        <x:v>AAAKCK</x:v>
      </x:c>
      <x:c r="G6" s="20" t="str">
        <x:v>AAAKCK</x:v>
      </x:c>
      <x:c r="H6" s="20" t="str">
        <x:v>L</x:v>
      </x:c>
      <x:c r="I6" s="20" t="str">
        <x:v>None</x:v>
      </x:c>
      <x:c r="J6" s="20"/>
      <x:c r="K6" s="20"/>
      <x:c r="L6" s="20" t="n">
        <x:v>18</x:v>
      </x:c>
      <x:c r="M6" s="20"/>
      <x:c r="N6" s="20" t="str">
        <x:v>Predominantly spherical / low shape polydispersity</x:v>
      </x:c>
      <x:c r="O6" s="20" t="str">
        <x:v>HAuCl4</x:v>
      </x:c>
      <x:c r="P6" s="20" t="str">
        <x:v>7 mM peptide; 10 mM HAuCl4; 20 mM phosphate buffer</x:v>
      </x:c>
      <x:c r="Q6" s="20" t="str">
        <x:v>Peptide self-reduction</x:v>
      </x:c>
      <x:c r="R6" s="20" t="n">
        <x:v>9</x:v>
      </x:c>
      <x:c r="S6" s="20" t="n">
        <x:v>25</x:v>
      </x:c>
      <x:c r="T6" s="20"/>
      <x:c r="U6" s="20" t="str">
        <x:v>No stirring; room temperature</x:v>
      </x:c>
      <x:c r="V6" s="20"/>
      <x:c r="W6" s="20"/>
      <x:c r="X6" s="20"/>
      <x:c r="Y6" s="20"/>
      <x:c r="Z6" s="20"/>
      <x:c r="AA6" s="20"/>
      <x:c r="AB6" s="20"/>
      <x:c r="AC6" s="20"/>
      <x:c r="AD6" s="20"/>
      <x:c r="AE6" s="20" t="str">
        <x:v>Mechanistic</x:v>
      </x:c>
      <x:c r="AF6" s="20" t="str">
        <x:v>pH 9 produced low shape polydispersity with predominant ~18 nm particles</x:v>
      </x:c>
      <x:c r="AG6" s="20" t="str">
        <x:v>Main text p.5; Fig.6F</x:v>
      </x:c>
      <x:c r="AH6" s="20" t="str">
        <x:v>https://doi.org/10.1021/acsomega.6b00140</x:v>
      </x:c>
      <x:c r="AI6" s="24" t="n">
        <x:f>ROUND(100*COUNTA(G6,J6,L6,R6,S6,T6,V6,X6,AA6,AC6)/10,0)</x:f>
        <x:v>40</x:v>
      </x:c>
      <x:c r="AJ6" s="20" t="str">
        <x:v>MECHANISTIC_ONLY</x:v>
      </x:c>
      <x:c r="AK6" s="20" t="str">
        <x:v>EXACT_FROM_UPLOADED_PRIMARY</x:v>
      </x:c>
      <x:c r="AL6" s="20" t="str">
        <x:v>Cross-regime peptide→gold mechanism; not an atomically precise AuNC training target.</x:v>
      </x:c>
      <x:c r="AM6" s="20" t="str">
        <x:v>2026-09-07</x:v>
      </x:c>
      <x:c r="AN6" s="20" t="str">
        <x:v>UPLOADED_PRIMARY_OR_REVIEW</x:v>
      </x:c>
      <x:c r="AO6" s="54" t="n">
        <x:v>1</x:v>
      </x:c>
      <x:c r="AP6" s="20" t="str">
        <x:v>single_ligand</x:v>
      </x:c>
      <x:c r="AQ6" s="20" t="str">
        <x:v>PEER_REVIEWED_CROSS_REGIME</x:v>
      </x:c>
    </x:row>
    <x:row r="7">
      <x:c r="A7" s="20" t="str">
        <x:v>R004</x:v>
      </x:c>
      <x:c r="B7" s="20" t="str">
        <x:v>S01</x:v>
      </x:c>
      <x:c r="C7" s="20" t="str">
        <x:v>B1 PEPTIDE_AUNP_MECHANISM</x:v>
      </x:c>
      <x:c r="D7" s="20" t="str">
        <x:v>DIRECT</x:v>
      </x:c>
      <x:c r="E7" s="20" t="str">
        <x:v>gold_nanoparticle</x:v>
      </x:c>
      <x:c r="F7" s="20" t="str">
        <x:v>AAARCR</x:v>
      </x:c>
      <x:c r="G7" s="20" t="str">
        <x:v>AAARCR</x:v>
      </x:c>
      <x:c r="H7" s="20" t="str">
        <x:v>L</x:v>
      </x:c>
      <x:c r="I7" s="20" t="str">
        <x:v>None</x:v>
      </x:c>
      <x:c r="J7" s="20"/>
      <x:c r="K7" s="20"/>
      <x:c r="L7" s="20" t="n">
        <x:v>79</x:v>
      </x:c>
      <x:c r="M7" s="20"/>
      <x:c r="N7" s="20" t="str">
        <x:v>Low-polydispersity particles</x:v>
      </x:c>
      <x:c r="O7" s="20" t="str">
        <x:v>HAuCl4</x:v>
      </x:c>
      <x:c r="P7" s="20" t="str">
        <x:v>Same base protocol as alkaline peptide experiments</x:v>
      </x:c>
      <x:c r="Q7" s="20" t="str">
        <x:v>Peptide self-reduction</x:v>
      </x:c>
      <x:c r="R7" s="20" t="n">
        <x:v>9</x:v>
      </x:c>
      <x:c r="S7" s="20" t="n">
        <x:v>25</x:v>
      </x:c>
      <x:c r="T7" s="20"/>
      <x:c r="U7" s="20" t="str">
        <x:v>No stirring; room temperature</x:v>
      </x:c>
      <x:c r="V7" s="20"/>
      <x:c r="W7" s="20"/>
      <x:c r="X7" s="20"/>
      <x:c r="Y7" s="20" t="n">
        <x:v>536</x:v>
      </x:c>
      <x:c r="Z7" s="20" t="n">
        <x:v>30.4</x:v>
      </x:c>
      <x:c r="AA7" s="20"/>
      <x:c r="AB7" s="20"/>
      <x:c r="AC7" s="20"/>
      <x:c r="AD7" s="20"/>
      <x:c r="AE7" s="20" t="str">
        <x:v>Mechanistic</x:v>
      </x:c>
      <x:c r="AF7" s="20" t="str">
        <x:v>Alkaline pH favored AAARCR synthesis; mean diameter 79±6 nm reported for pH 9–10</x:v>
      </x:c>
      <x:c r="AG7" s="20" t="str">
        <x:v>Main text p.7–8; Fig.11</x:v>
      </x:c>
      <x:c r="AH7" s="20" t="str">
        <x:v>https://doi.org/10.1021/acsomega.6b00140</x:v>
      </x:c>
      <x:c r="AI7" s="24" t="n">
        <x:f>ROUND(100*COUNTA(G7,J7,L7,R7,S7,T7,V7,X7,AA7,AC7)/10,0)</x:f>
        <x:v>40</x:v>
      </x:c>
      <x:c r="AJ7" s="20" t="str">
        <x:v>MECHANISTIC_ONLY</x:v>
      </x:c>
      <x:c r="AK7" s="20" t="str">
        <x:v>EXACT_FROM_UPLOADED_PRIMARY</x:v>
      </x:c>
      <x:c r="AL7" s="20" t="str">
        <x:v>Cross-regime peptide→gold mechanism; not an atomically precise AuNC training target.</x:v>
      </x:c>
      <x:c r="AM7" s="20" t="str">
        <x:v>2026-09-07</x:v>
      </x:c>
      <x:c r="AN7" s="20" t="str">
        <x:v>UPLOADED_PRIMARY_OR_REVIEW</x:v>
      </x:c>
      <x:c r="AO7" s="54" t="n">
        <x:v>1</x:v>
      </x:c>
      <x:c r="AP7" s="20" t="str">
        <x:v>single_ligand</x:v>
      </x:c>
      <x:c r="AQ7" s="20" t="str">
        <x:v>PEER_REVIEWED_CROSS_REGIME</x:v>
      </x:c>
    </x:row>
    <x:row r="8">
      <x:c r="A8" s="20" t="str">
        <x:v>R005</x:v>
      </x:c>
      <x:c r="B8" s="20" t="str">
        <x:v>S01</x:v>
      </x:c>
      <x:c r="C8" s="20" t="str">
        <x:v>B1 PEPTIDE_AUNP_MECHANISM</x:v>
      </x:c>
      <x:c r="D8" s="20" t="str">
        <x:v>DIRECT</x:v>
      </x:c>
      <x:c r="E8" s="20" t="str">
        <x:v>gold_nanoparticle</x:v>
      </x:c>
      <x:c r="F8" s="20" t="str">
        <x:v>AAARCR</x:v>
      </x:c>
      <x:c r="G8" s="20" t="str">
        <x:v>AAARCR</x:v>
      </x:c>
      <x:c r="H8" s="20" t="str">
        <x:v>L</x:v>
      </x:c>
      <x:c r="I8" s="20" t="str">
        <x:v>None</x:v>
      </x:c>
      <x:c r="J8" s="20"/>
      <x:c r="K8" s="20"/>
      <x:c r="L8" s="20" t="n">
        <x:v>79</x:v>
      </x:c>
      <x:c r="M8" s="20"/>
      <x:c r="N8" s="20" t="str">
        <x:v>Low-polydispersity particles</x:v>
      </x:c>
      <x:c r="O8" s="20" t="str">
        <x:v>HAuCl4</x:v>
      </x:c>
      <x:c r="P8" s="20" t="str">
        <x:v>Same base protocol as alkaline peptide experiments</x:v>
      </x:c>
      <x:c r="Q8" s="20" t="str">
        <x:v>Peptide self-reduction</x:v>
      </x:c>
      <x:c r="R8" s="20" t="n">
        <x:v>10</x:v>
      </x:c>
      <x:c r="S8" s="20" t="n">
        <x:v>25</x:v>
      </x:c>
      <x:c r="T8" s="20"/>
      <x:c r="U8" s="20" t="str">
        <x:v>No stirring; room temperature</x:v>
      </x:c>
      <x:c r="V8" s="20"/>
      <x:c r="W8" s="20"/>
      <x:c r="X8" s="20"/>
      <x:c r="Y8" s="20" t="n">
        <x:v>536</x:v>
      </x:c>
      <x:c r="Z8" s="20" t="n">
        <x:v>33.2</x:v>
      </x:c>
      <x:c r="AA8" s="20"/>
      <x:c r="AB8" s="20"/>
      <x:c r="AC8" s="20"/>
      <x:c r="AD8" s="20"/>
      <x:c r="AE8" s="20" t="str">
        <x:v>Mechanistic</x:v>
      </x:c>
      <x:c r="AF8" s="20" t="str">
        <x:v>Narrow SPR ~536 nm; mean diameter 79±6 nm; positive zeta potential</x:v>
      </x:c>
      <x:c r="AG8" s="20" t="str">
        <x:v>Main text p.7–8; Fig.11</x:v>
      </x:c>
      <x:c r="AH8" s="20" t="str">
        <x:v>https://doi.org/10.1021/acsomega.6b00140</x:v>
      </x:c>
      <x:c r="AI8" s="24" t="n">
        <x:f>ROUND(100*COUNTA(G8,J8,L8,R8,S8,T8,V8,X8,AA8,AC8)/10,0)</x:f>
        <x:v>40</x:v>
      </x:c>
      <x:c r="AJ8" s="20" t="str">
        <x:v>MECHANISTIC_ONLY</x:v>
      </x:c>
      <x:c r="AK8" s="20" t="str">
        <x:v>EXACT_FROM_UPLOADED_PRIMARY</x:v>
      </x:c>
      <x:c r="AL8" s="20" t="str">
        <x:v>Cross-regime peptide→gold mechanism; not an atomically precise AuNC training target.</x:v>
      </x:c>
      <x:c r="AM8" s="20" t="str">
        <x:v>2026-09-07</x:v>
      </x:c>
      <x:c r="AN8" s="20" t="str">
        <x:v>UPLOADED_PRIMARY_OR_REVIEW</x:v>
      </x:c>
      <x:c r="AO8" s="54" t="n">
        <x:v>1</x:v>
      </x:c>
      <x:c r="AP8" s="20" t="str">
        <x:v>single_ligand</x:v>
      </x:c>
      <x:c r="AQ8" s="20" t="str">
        <x:v>PEER_REVIEWED_CROSS_REGIME</x:v>
      </x:c>
    </x:row>
    <x:row r="9">
      <x:c r="A9" s="20" t="str">
        <x:v>R006</x:v>
      </x:c>
      <x:c r="B9" s="20" t="str">
        <x:v>S01</x:v>
      </x:c>
      <x:c r="C9" s="20" t="str">
        <x:v>B1 PEPTIDE_AUNP_MECHANISM</x:v>
      </x:c>
      <x:c r="D9" s="20" t="str">
        <x:v>DIRECT</x:v>
      </x:c>
      <x:c r="E9" s="20" t="str">
        <x:v>gold_nanoparticle</x:v>
      </x:c>
      <x:c r="F9" s="20" t="str">
        <x:v>AAAACA</x:v>
      </x:c>
      <x:c r="G9" s="20" t="str">
        <x:v>AAAACA</x:v>
      </x:c>
      <x:c r="H9" s="20" t="str">
        <x:v>L</x:v>
      </x:c>
      <x:c r="I9" s="20" t="str">
        <x:v>PEG10 required</x:v>
      </x:c>
      <x:c r="J9" s="20"/>
      <x:c r="K9" s="20"/>
      <x:c r="L9" s="20"/>
      <x:c r="M9" s="20"/>
      <x:c r="N9" s="20" t="str">
        <x:v>GNP formation</x:v>
      </x:c>
      <x:c r="O9" s="20" t="str">
        <x:v>HAuCl4</x:v>
      </x:c>
      <x:c r="P9" s="20" t="str">
        <x:v>PEG10 present</x:v>
      </x:c>
      <x:c r="Q9" s="20" t="str">
        <x:v>Peptide + PEG-assisted</x:v>
      </x:c>
      <x:c r="R9" s="20" t="n">
        <x:v>8</x:v>
      </x:c>
      <x:c r="S9" s="20" t="n">
        <x:v>25</x:v>
      </x:c>
      <x:c r="T9" s="20"/>
      <x:c r="U9" s="20" t="str">
        <x:v>Room temperature</x:v>
      </x:c>
      <x:c r="V9" s="20"/>
      <x:c r="W9" s="20"/>
      <x:c r="X9" s="20"/>
      <x:c r="Y9" s="20"/>
      <x:c r="Z9" s="20"/>
      <x:c r="AA9" s="20"/>
      <x:c r="AB9" s="20"/>
      <x:c r="AC9" s="20"/>
      <x:c r="AD9" s="20"/>
      <x:c r="AE9" s="20" t="str">
        <x:v>Mechanistic</x:v>
      </x:c>
      <x:c r="AF9" s="20" t="str">
        <x:v>Neutral peptide required PEG10; GNP synthesis at pH 8 and 11</x:v>
      </x:c>
      <x:c r="AG9" s="20" t="str">
        <x:v>Main text p.8 + SI</x:v>
      </x:c>
      <x:c r="AH9" s="20" t="str">
        <x:v>https://doi.org/10.1021/acsomega.6b00140</x:v>
      </x:c>
      <x:c r="AI9" s="24" t="n">
        <x:f>ROUND(100*COUNTA(G9,J9,L9,R9,S9,T9,V9,X9,AA9,AC9)/10,0)</x:f>
        <x:v>30</x:v>
      </x:c>
      <x:c r="AJ9" s="20" t="str">
        <x:v>MECHANISTIC_ONLY</x:v>
      </x:c>
      <x:c r="AK9" s="20" t="str">
        <x:v>EXACT_FROM_UPLOADED_PRIMARY</x:v>
      </x:c>
      <x:c r="AL9" s="20" t="str">
        <x:v>Cross-regime peptide→gold mechanism; not an atomically precise AuNC training target.</x:v>
      </x:c>
      <x:c r="AM9" s="20" t="str">
        <x:v>2026-09-07</x:v>
      </x:c>
      <x:c r="AN9" s="20" t="str">
        <x:v>UPLOADED_PRIMARY_OR_REVIEW</x:v>
      </x:c>
      <x:c r="AO9" s="54" t="n">
        <x:v>1</x:v>
      </x:c>
      <x:c r="AP9" s="20" t="str">
        <x:v>single_ligand</x:v>
      </x:c>
      <x:c r="AQ9" s="20" t="str">
        <x:v>PEER_REVIEWED_CROSS_REGIME</x:v>
      </x:c>
    </x:row>
    <x:row r="10">
      <x:c r="A10" s="20" t="str">
        <x:v>R007</x:v>
      </x:c>
      <x:c r="B10" s="20" t="str">
        <x:v>S01</x:v>
      </x:c>
      <x:c r="C10" s="20" t="str">
        <x:v>B1 PEPTIDE_AUNP_MECHANISM</x:v>
      </x:c>
      <x:c r="D10" s="20" t="str">
        <x:v>DIRECT</x:v>
      </x:c>
      <x:c r="E10" s="20" t="str">
        <x:v>gold_nanoparticle</x:v>
      </x:c>
      <x:c r="F10" s="20" t="str">
        <x:v>AAAECE</x:v>
      </x:c>
      <x:c r="G10" s="20" t="str">
        <x:v>AAAECE</x:v>
      </x:c>
      <x:c r="H10" s="20" t="str">
        <x:v>L</x:v>
      </x:c>
      <x:c r="I10" s="20" t="str">
        <x:v>PEG10 required</x:v>
      </x:c>
      <x:c r="J10" s="20"/>
      <x:c r="K10" s="20"/>
      <x:c r="L10" s="20"/>
      <x:c r="M10" s="20"/>
      <x:c r="N10" s="20" t="str">
        <x:v>GNP formation</x:v>
      </x:c>
      <x:c r="O10" s="20" t="str">
        <x:v>HAuCl4</x:v>
      </x:c>
      <x:c r="P10" s="20" t="str">
        <x:v>PEG10 present</x:v>
      </x:c>
      <x:c r="Q10" s="20" t="str">
        <x:v>Peptide + PEG-assisted</x:v>
      </x:c>
      <x:c r="R10" s="20" t="n">
        <x:v>7</x:v>
      </x:c>
      <x:c r="S10" s="20" t="n">
        <x:v>80</x:v>
      </x:c>
      <x:c r="T10" s="20"/>
      <x:c r="U10" s="20" t="str">
        <x:v>Heating required</x:v>
      </x:c>
      <x:c r="V10" s="20"/>
      <x:c r="W10" s="20"/>
      <x:c r="X10" s="20"/>
      <x:c r="Y10" s="20"/>
      <x:c r="Z10" s="20"/>
      <x:c r="AA10" s="20"/>
      <x:c r="AB10" s="20"/>
      <x:c r="AC10" s="20"/>
      <x:c r="AD10" s="20"/>
      <x:c r="AE10" s="20" t="str">
        <x:v>Mechanistic</x:v>
      </x:c>
      <x:c r="AF10" s="20" t="str">
        <x:v>Acidic peptide required PEG10 and 80°C; synthesis observed at pH 7 and 11</x:v>
      </x:c>
      <x:c r="AG10" s="20" t="str">
        <x:v>Main text p.8 + SI</x:v>
      </x:c>
      <x:c r="AH10" s="20" t="str">
        <x:v>https://doi.org/10.1021/acsomega.6b00140</x:v>
      </x:c>
      <x:c r="AI10" s="24" t="n">
        <x:f>ROUND(100*COUNTA(G10,J10,L10,R10,S10,T10,V10,X10,AA10,AC10)/10,0)</x:f>
        <x:v>30</x:v>
      </x:c>
      <x:c r="AJ10" s="20" t="str">
        <x:v>MECHANISTIC_ONLY</x:v>
      </x:c>
      <x:c r="AK10" s="20" t="str">
        <x:v>EXACT_FROM_UPLOADED_PRIMARY</x:v>
      </x:c>
      <x:c r="AL10" s="20" t="str">
        <x:v>Cross-regime peptide→gold mechanism; not an atomically precise AuNC training target.</x:v>
      </x:c>
      <x:c r="AM10" s="20" t="str">
        <x:v>2026-09-07</x:v>
      </x:c>
      <x:c r="AN10" s="20" t="str">
        <x:v>UPLOADED_PRIMARY_OR_REVIEW</x:v>
      </x:c>
      <x:c r="AO10" s="54" t="n">
        <x:v>1</x:v>
      </x:c>
      <x:c r="AP10" s="20" t="str">
        <x:v>single_ligand</x:v>
      </x:c>
      <x:c r="AQ10" s="20" t="str">
        <x:v>PEER_REVIEWED_CROSS_REGIME</x:v>
      </x:c>
    </x:row>
    <x:row r="11">
      <x:c r="A11" s="20" t="str">
        <x:v>R008</x:v>
      </x:c>
      <x:c r="B11" s="20" t="str">
        <x:v>S01</x:v>
      </x:c>
      <x:c r="C11" s="20" t="str">
        <x:v>B1 PEPTIDE_AUNP_MECHANISM</x:v>
      </x:c>
      <x:c r="D11" s="20" t="str">
        <x:v>DIRECT</x:v>
      </x:c>
      <x:c r="E11" s="20" t="str">
        <x:v>gold_nanoparticle</x:v>
      </x:c>
      <x:c r="F11" s="20" t="str">
        <x:v>Glutathione (GSH)</x:v>
      </x:c>
      <x:c r="G11" s="20" t="str">
        <x:v>γ-ECG</x:v>
      </x:c>
      <x:c r="H11" s="20" t="str">
        <x:v>L</x:v>
      </x:c>
      <x:c r="I11" s="20" t="str">
        <x:v>PEG10 required</x:v>
      </x:c>
      <x:c r="J11" s="20"/>
      <x:c r="K11" s="20"/>
      <x:c r="L11" s="20"/>
      <x:c r="M11" s="20"/>
      <x:c r="N11" s="20" t="str">
        <x:v>GNP formation</x:v>
      </x:c>
      <x:c r="O11" s="20" t="str">
        <x:v>HAuCl4</x:v>
      </x:c>
      <x:c r="P11" s="20" t="str">
        <x:v>PEG10 present</x:v>
      </x:c>
      <x:c r="Q11" s="20" t="str">
        <x:v>Peptide + PEG-assisted</x:v>
      </x:c>
      <x:c r="R11" s="20" t="n">
        <x:v>11</x:v>
      </x:c>
      <x:c r="S11" s="20" t="n">
        <x:v>80</x:v>
      </x:c>
      <x:c r="T11" s="20"/>
      <x:c r="U11" s="20" t="str">
        <x:v>Heating required</x:v>
      </x:c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 t="str">
        <x:v>Mechanistic</x:v>
      </x:c>
      <x:c r="AF11" s="20" t="str">
        <x:v>GSH required PEG10 + 80°C and produced GNPs only at pH 11 in this study</x:v>
      </x:c>
      <x:c r="AG11" s="20" t="str">
        <x:v>Main text p.8 + SI</x:v>
      </x:c>
      <x:c r="AH11" s="20" t="str">
        <x:v>https://doi.org/10.1021/acsomega.6b00140</x:v>
      </x:c>
      <x:c r="AI11" s="24" t="n">
        <x:f>ROUND(100*COUNTA(G11,J11,L11,R11,S11,T11,V11,X11,AA11,AC11)/10,0)</x:f>
        <x:v>30</x:v>
      </x:c>
      <x:c r="AJ11" s="20" t="str">
        <x:v>MECHANISTIC_ONLY</x:v>
      </x:c>
      <x:c r="AK11" s="20" t="str">
        <x:v>EXACT_FROM_UPLOADED_PRIMARY</x:v>
      </x:c>
      <x:c r="AL11" s="20" t="str">
        <x:v>Cross-regime peptide→gold mechanism; not an atomically precise AuNC training target.</x:v>
      </x:c>
      <x:c r="AM11" s="20" t="str">
        <x:v>2026-09-07</x:v>
      </x:c>
      <x:c r="AN11" s="20" t="str">
        <x:v>UPLOADED_PRIMARY_OR_REVIEW</x:v>
      </x:c>
      <x:c r="AO11" s="54" t="n">
        <x:v>1</x:v>
      </x:c>
      <x:c r="AP11" s="20" t="str">
        <x:v>single_ligand</x:v>
      </x:c>
      <x:c r="AQ11" s="20" t="str">
        <x:v>PEER_REVIEWED_CROSS_REGIME</x:v>
      </x:c>
    </x:row>
    <x:row r="12">
      <x:c r="A12" s="20" t="str">
        <x:v>R009</x:v>
      </x:c>
      <x:c r="B12" s="20" t="str">
        <x:v>S02</x:v>
      </x:c>
      <x:c r="C12" s="20" t="str">
        <x:v>B1 PEPTIDE_AUNP_MECHANISM</x:v>
      </x:c>
      <x:c r="D12" s="20" t="str">
        <x:v>DIRECT</x:v>
      </x:c>
      <x:c r="E12" s="20" t="str">
        <x:v>gold_bipyramid</x:v>
      </x:c>
      <x:c r="F12" s="20" t="str">
        <x:v>D-Cys-Phe</x:v>
      </x:c>
      <x:c r="G12" s="20" t="str">
        <x:v>CF</x:v>
      </x:c>
      <x:c r="H12" s="20" t="str">
        <x:v>D</x:v>
      </x:c>
      <x:c r="I12" s="20" t="str">
        <x:v>Chiral D peptide; SH-PEG surface stabilization</x:v>
      </x:c>
      <x:c r="J12" s="20"/>
      <x:c r="K12" s="20"/>
      <x:c r="L12" s="20"/>
      <x:c r="M12" s="20"/>
      <x:c r="N12" s="20" t="str">
        <x:v>Sea-cucumber-like spiked GBP; ~200×50 nm</x:v>
      </x:c>
      <x:c r="O12" s="20" t="str">
        <x:v>HAuCl4</x:v>
      </x:c>
      <x:c r="P12" s="20" t="str">
        <x:v>Seed-mediated growth with Cys-Phe</x:v>
      </x:c>
      <x:c r="Q12" s="20" t="str">
        <x:v>Ascorbic acid</x:v>
      </x:c>
      <x:c r="R12" s="20"/>
      <x:c r="S12" s="20"/>
      <x:c r="T12" s="20"/>
      <x:c r="U12" s="20" t="str">
        <x:v>~100 nm Au NBP seeds; aqueous growth</x:v>
      </x:c>
      <x:c r="V12" s="20"/>
      <x:c r="W12" s="20"/>
      <x:c r="X12" s="20"/>
      <x:c r="Y12" s="20" t="n">
        <x:v>536</x:v>
      </x:c>
      <x:c r="Z12" s="20"/>
      <x:c r="AA12" s="20" t="n">
        <x:v>808</x:v>
      </x:c>
      <x:c r="AB12" s="20" t="n">
        <x:v>0.8</x:v>
      </x:c>
      <x:c r="AC12" s="20" t="str">
        <x:v>&gt;45</x:v>
      </x:c>
      <x:c r="AD12" s="20" t="n">
        <x:v>5</x:v>
      </x:c>
      <x:c r="AE12" s="20" t="str">
        <x:v>Antibacterial PTT</x:v>
      </x:c>
      <x:c r="AF12" s="20" t="str">
        <x:v>D-form gave stronger bacterial binding and higher PTT response than L-form</x:v>
      </x:c>
      <x:c r="AG12" s="20" t="str">
        <x:v>Main text pp.2–4</x:v>
      </x:c>
      <x:c r="AH12" s="20" t="str">
        <x:v>https://doi.org/10.1039/d2sc03443c</x:v>
      </x:c>
      <x:c r="AI12" s="24" t="n">
        <x:f>ROUND(100*COUNTA(G12,J12,L12,R12,S12,T12,V12,X12,AA12,AC12)/10,0)</x:f>
        <x:v>30</x:v>
      </x:c>
      <x:c r="AJ12" s="20" t="str">
        <x:v>MECHANISTIC_ONLY</x:v>
      </x:c>
      <x:c r="AK12" s="20" t="str">
        <x:v>EXACT_FROM_UPLOADED_PRIMARY</x:v>
      </x:c>
      <x:c r="AL12" s="20" t="str">
        <x:v>Cross-regime peptide→gold mechanism; not an atomically precise AuNC training target.</x:v>
      </x:c>
      <x:c r="AM12" s="20" t="str">
        <x:v>2026-09-07</x:v>
      </x:c>
      <x:c r="AN12" s="20" t="str">
        <x:v>UPLOADED_PRIMARY_OR_REVIEW</x:v>
      </x:c>
      <x:c r="AO12" s="54" t="n">
        <x:v>1</x:v>
      </x:c>
      <x:c r="AP12" s="20" t="str">
        <x:v>single_ligand</x:v>
      </x:c>
      <x:c r="AQ12" s="20" t="str">
        <x:v>PEER_REVIEWED_CROSS_REGIME</x:v>
      </x:c>
    </x:row>
    <x:row r="13">
      <x:c r="A13" s="20" t="str">
        <x:v>R010</x:v>
      </x:c>
      <x:c r="B13" s="20" t="str">
        <x:v>S02</x:v>
      </x:c>
      <x:c r="C13" s="20" t="str">
        <x:v>B1 PEPTIDE_AUNP_MECHANISM</x:v>
      </x:c>
      <x:c r="D13" s="20" t="str">
        <x:v>DIRECT</x:v>
      </x:c>
      <x:c r="E13" s="20" t="str">
        <x:v>gold_bipyramid</x:v>
      </x:c>
      <x:c r="F13" s="20" t="str">
        <x:v>L-Cys-Phe</x:v>
      </x:c>
      <x:c r="G13" s="20" t="str">
        <x:v>CF</x:v>
      </x:c>
      <x:c r="H13" s="20" t="str">
        <x:v>L</x:v>
      </x:c>
      <x:c r="I13" s="20" t="str">
        <x:v>Chiral L peptide; SH-PEG surface stabilization</x:v>
      </x:c>
      <x:c r="J13" s="20"/>
      <x:c r="K13" s="20"/>
      <x:c r="L13" s="20"/>
      <x:c r="M13" s="20"/>
      <x:c r="N13" s="20" t="str">
        <x:v>Sea-cucumber-like spiked GBP; ~200×50 nm</x:v>
      </x:c>
      <x:c r="O13" s="20" t="str">
        <x:v>HAuCl4</x:v>
      </x:c>
      <x:c r="P13" s="20" t="str">
        <x:v>Seed-mediated growth with Cys-Phe</x:v>
      </x:c>
      <x:c r="Q13" s="20" t="str">
        <x:v>Ascorbic acid</x:v>
      </x:c>
      <x:c r="R13" s="20"/>
      <x:c r="S13" s="20"/>
      <x:c r="T13" s="20"/>
      <x:c r="U13" s="20" t="str">
        <x:v>~100 nm Au NBP seeds; aqueous growth</x:v>
      </x:c>
      <x:c r="V13" s="20"/>
      <x:c r="W13" s="20"/>
      <x:c r="X13" s="20"/>
      <x:c r="Y13" s="20" t="n">
        <x:v>536</x:v>
      </x:c>
      <x:c r="Z13" s="20"/>
      <x:c r="AA13" s="20" t="n">
        <x:v>808</x:v>
      </x:c>
      <x:c r="AB13" s="20" t="n">
        <x:v>0.8</x:v>
      </x:c>
      <x:c r="AC13" s="20" t="str">
        <x:v>&gt;45</x:v>
      </x:c>
      <x:c r="AD13" s="20" t="n">
        <x:v>5</x:v>
      </x:c>
      <x:c r="AE13" s="20" t="str">
        <x:v>Antibacterial PTT</x:v>
      </x:c>
      <x:c r="AF13" s="20" t="str">
        <x:v>L-form forms mirror-chiral GBP and has lower bacterial affinity than D-form</x:v>
      </x:c>
      <x:c r="AG13" s="20" t="str">
        <x:v>Main text pp.2–4</x:v>
      </x:c>
      <x:c r="AH13" s="20" t="str">
        <x:v>https://doi.org/10.1039/d2sc03443c</x:v>
      </x:c>
      <x:c r="AI13" s="24" t="n">
        <x:f>ROUND(100*COUNTA(G13,J13,L13,R13,S13,T13,V13,X13,AA13,AC13)/10,0)</x:f>
        <x:v>30</x:v>
      </x:c>
      <x:c r="AJ13" s="20" t="str">
        <x:v>MECHANISTIC_ONLY</x:v>
      </x:c>
      <x:c r="AK13" s="20" t="str">
        <x:v>EXACT_FROM_UPLOADED_PRIMARY</x:v>
      </x:c>
      <x:c r="AL13" s="20" t="str">
        <x:v>Cross-regime peptide→gold mechanism; not an atomically precise AuNC training target.</x:v>
      </x:c>
      <x:c r="AM13" s="20" t="str">
        <x:v>2026-09-07</x:v>
      </x:c>
      <x:c r="AN13" s="20" t="str">
        <x:v>UPLOADED_PRIMARY_OR_REVIEW</x:v>
      </x:c>
      <x:c r="AO13" s="54" t="n">
        <x:v>1</x:v>
      </x:c>
      <x:c r="AP13" s="20" t="str">
        <x:v>single_ligand</x:v>
      </x:c>
      <x:c r="AQ13" s="20" t="str">
        <x:v>PEER_REVIEWED_CROSS_REGIME</x:v>
      </x:c>
    </x:row>
    <x:row r="14">
      <x:c r="A14" s="20" t="str">
        <x:v>R011</x:v>
      </x:c>
      <x:c r="B14" s="20" t="str">
        <x:v>S03</x:v>
      </x:c>
      <x:c r="C14" s="20" t="str">
        <x:v>B1 PEPTIDE_AUNP_MECHANISM</x:v>
      </x:c>
      <x:c r="D14" s="20" t="str">
        <x:v>DIRECT</x:v>
      </x:c>
      <x:c r="E14" s="20" t="str">
        <x:v>gold_superstructure</x:v>
      </x:c>
      <x:c r="F14" s="20" t="str">
        <x:v>C18-(PEPAuM-ox)2</x:v>
      </x:c>
      <x:c r="G14" s="20" t="str">
        <x:v>AYSSGAPPMoxPPF</x:v>
      </x:c>
      <x:c r="H14" s="20" t="str">
        <x:v>L</x:v>
      </x:c>
      <x:c r="I14" s="20" t="str">
        <x:v>C18 tail; methionine oxidized to sulfoxide</x:v>
      </x:c>
      <x:c r="J14" s="20"/>
      <x:c r="K14" s="20"/>
      <x:c r="L14" s="20"/>
      <x:c r="M14" s="20"/>
      <x:c r="N14" s="20" t="str">
        <x:v>Single-helical superstructure; rod-like AuNP 16.6×9.6 nm</x:v>
      </x:c>
      <x:c r="O14" s="20" t="str">
        <x:v>Gold salt</x:v>
      </x:c>
      <x:c r="P14" s="20" t="str">
        <x:v>Peptide conjugate + assembly buffer</x:v>
      </x:c>
      <x:c r="Q14" s="20" t="str">
        <x:v>Reducing agent used</x:v>
      </x:c>
      <x:c r="R14" s="20"/>
      <x:c r="S14" s="20"/>
      <x:c r="T14" s="20" t="n">
        <x:v>15</x:v>
      </x:c>
      <x:c r="U14" s="20" t="str">
        <x:v>In-situ growth on peptide fibers</x:v>
      </x:c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 t="str">
        <x:v>Chiral assembly</x:v>
      </x:c>
      <x:c r="AF14" s="20" t="str">
        <x:v>Methionine oxidation alone switches product toward single helices under otherwise nearly identical synthesis conditions</x:v>
      </x:c>
      <x:c r="AG14" s="20" t="str">
        <x:v>Main text p.2; Fig.1–2</x:v>
      </x:c>
      <x:c r="AH14" s="20" t="str">
        <x:v>https://doi.org/10.1021/jacs.6b07322</x:v>
      </x:c>
      <x:c r="AI14" s="24" t="n">
        <x:f>ROUND(100*COUNTA(G14,J14,L14,R14,S14,T14,V14,X14,AA14,AC14)/10,0)</x:f>
        <x:v>20</x:v>
      </x:c>
      <x:c r="AJ14" s="20" t="str">
        <x:v>MECHANISTIC_ONLY</x:v>
      </x:c>
      <x:c r="AK14" s="20" t="str">
        <x:v>EXACT_FROM_UPLOADED_PRIMARY</x:v>
      </x:c>
      <x:c r="AL14" s="20" t="str">
        <x:v>Cross-regime peptide→gold mechanism; not an atomically precise AuNC training target.</x:v>
      </x:c>
      <x:c r="AM14" s="20" t="str">
        <x:v>2026-09-07</x:v>
      </x:c>
      <x:c r="AN14" s="20" t="str">
        <x:v>UPLOADED_PRIMARY_OR_REVIEW</x:v>
      </x:c>
      <x:c r="AO14" s="54" t="n">
        <x:v>1</x:v>
      </x:c>
      <x:c r="AP14" s="20" t="str">
        <x:v>single_ligand</x:v>
      </x:c>
      <x:c r="AQ14" s="20" t="str">
        <x:v>PEER_REVIEWED_CROSS_REGIME</x:v>
      </x:c>
    </x:row>
    <x:row r="15">
      <x:c r="A15" s="20" t="str">
        <x:v>R012</x:v>
      </x:c>
      <x:c r="B15" s="20" t="str">
        <x:v>S03</x:v>
      </x:c>
      <x:c r="C15" s="20" t="str">
        <x:v>B1 PEPTIDE_AUNP_MECHANISM</x:v>
      </x:c>
      <x:c r="D15" s="20" t="str">
        <x:v>DIRECT</x:v>
      </x:c>
      <x:c r="E15" s="20" t="str">
        <x:v>gold_superstructure</x:v>
      </x:c>
      <x:c r="F15" s="20" t="str">
        <x:v>C18-(PEPAu)2</x:v>
      </x:c>
      <x:c r="G15" s="20" t="str">
        <x:v>AYSSGAPPMPPF</x:v>
      </x:c>
      <x:c r="H15" s="20" t="str">
        <x:v>L</x:v>
      </x:c>
      <x:c r="I15" s="20" t="str">
        <x:v>C18 tail; unoxidized methionine</x:v>
      </x:c>
      <x:c r="J15" s="20"/>
      <x:c r="K15" s="20"/>
      <x:c r="L15" s="20"/>
      <x:c r="M15" s="20"/>
      <x:c r="N15" s="20" t="str">
        <x:v>Double-helical superstructure</x:v>
      </x:c>
      <x:c r="O15" s="20" t="str">
        <x:v>Gold salt</x:v>
      </x:c>
      <x:c r="P15" s="20" t="str">
        <x:v>Peptide conjugate + assembly buffer</x:v>
      </x:c>
      <x:c r="Q15" s="20" t="str">
        <x:v>Reducing agent used</x:v>
      </x:c>
      <x:c r="R15" s="20"/>
      <x:c r="S15" s="20"/>
      <x:c r="T15" s="20"/>
      <x:c r="U15" s="20" t="str">
        <x:v>In-situ growth on peptide fibers</x:v>
      </x:c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 t="str">
        <x:v>Chiral assembly</x:v>
      </x:c>
      <x:c r="AF15" s="20" t="str">
        <x:v>Unoxidized conjugate directs double-helical assembly; serves as paired comparator to oxidized peptide</x:v>
      </x:c>
      <x:c r="AG15" s="20" t="str">
        <x:v>Main text pp.1–2</x:v>
      </x:c>
      <x:c r="AH15" s="20" t="str">
        <x:v>https://doi.org/10.1021/jacs.6b07322</x:v>
      </x:c>
      <x:c r="AI15" s="24" t="n">
        <x:f>ROUND(100*COUNTA(G15,J15,L15,R15,S15,T15,V15,X15,AA15,AC15)/10,0)</x:f>
        <x:v>10</x:v>
      </x:c>
      <x:c r="AJ15" s="20" t="str">
        <x:v>MECHANISTIC_ONLY</x:v>
      </x:c>
      <x:c r="AK15" s="20" t="str">
        <x:v>EXACT_FROM_UPLOADED_PRIMARY</x:v>
      </x:c>
      <x:c r="AL15" s="20" t="str">
        <x:v>Cross-regime peptide→gold mechanism; not an atomically precise AuNC training target.</x:v>
      </x:c>
      <x:c r="AM15" s="20" t="str">
        <x:v>2026-09-07</x:v>
      </x:c>
      <x:c r="AN15" s="20" t="str">
        <x:v>UPLOADED_PRIMARY_OR_REVIEW</x:v>
      </x:c>
      <x:c r="AO15" s="54" t="n">
        <x:v>1</x:v>
      </x:c>
      <x:c r="AP15" s="20" t="str">
        <x:v>single_ligand</x:v>
      </x:c>
      <x:c r="AQ15" s="20" t="str">
        <x:v>PEER_REVIEWED_CROSS_REGIME</x:v>
      </x:c>
    </x:row>
    <x:row r="16">
      <x:c r="A16" s="20" t="str">
        <x:v>R013</x:v>
      </x:c>
      <x:c r="B16" s="20" t="str">
        <x:v>S04</x:v>
      </x:c>
      <x:c r="C16" s="20" t="str">
        <x:v>B1 PEPTIDE_AUNP_MECHANISM</x:v>
      </x:c>
      <x:c r="D16" s="20" t="str">
        <x:v>DIRECT</x:v>
      </x:c>
      <x:c r="E16" s="20" t="str">
        <x:v>gold_superstructure</x:v>
      </x:c>
      <x:c r="F16" s="20" t="str">
        <x:v>C12-L-PEPAu</x:v>
      </x:c>
      <x:c r="G16" s="20" t="str">
        <x:v>AYSSGAPPMPPF</x:v>
      </x:c>
      <x:c r="H16" s="20" t="str">
        <x:v>L</x:v>
      </x:c>
      <x:c r="I16" s="20" t="str">
        <x:v>C12 acyl tail</x:v>
      </x:c>
      <x:c r="J16" s="20"/>
      <x:c r="K16" s="20"/>
      <x:c r="L16" s="20" t="n">
        <x:v>5.74</x:v>
      </x:c>
      <x:c r="M16" s="20"/>
      <x:c r="N16" s="20" t="str">
        <x:v>Left-handed double helix</x:v>
      </x:c>
      <x:c r="O16" s="20" t="str">
        <x:v>Gold precursor</x:v>
      </x:c>
      <x:c r="P16" s="20" t="str">
        <x:v>Mixed with HEPES buffer</x:v>
      </x:c>
      <x:c r="Q16" s="20"/>
      <x:c r="R16" s="20"/>
      <x:c r="S16" s="20"/>
      <x:c r="T16" s="20"/>
      <x:c r="U16" s="20" t="str">
        <x:v>Peptide self-assembly + Au growth</x:v>
      </x:c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 t="str">
        <x:v>Chiral plasmonics</x:v>
      </x:c>
      <x:c r="AF16" s="20" t="str">
        <x:v>L-peptide gives left-handed helices; initial particles 5.74±0.75 nm</x:v>
      </x:c>
      <x:c r="AG16" s="20" t="str">
        <x:v>Main text pp.1–2</x:v>
      </x:c>
      <x:c r="AH16" s="20" t="str">
        <x:v>https://doi.org/10.1021/nl4013776</x:v>
      </x:c>
      <x:c r="AI16" s="24" t="n">
        <x:f>ROUND(100*COUNTA(G16,J16,L16,R16,S16,T16,V16,X16,AA16,AC16)/10,0)</x:f>
        <x:v>20</x:v>
      </x:c>
      <x:c r="AJ16" s="20" t="str">
        <x:v>MECHANISTIC_ONLY</x:v>
      </x:c>
      <x:c r="AK16" s="20" t="str">
        <x:v>EXACT_FROM_UPLOADED_PRIMARY</x:v>
      </x:c>
      <x:c r="AL16" s="20" t="str">
        <x:v>Cross-regime peptide→gold mechanism; not an atomically precise AuNC training target.</x:v>
      </x:c>
      <x:c r="AM16" s="20" t="str">
        <x:v>2026-09-07</x:v>
      </x:c>
      <x:c r="AN16" s="20" t="str">
        <x:v>UPLOADED_PRIMARY_OR_REVIEW</x:v>
      </x:c>
      <x:c r="AO16" s="54" t="n">
        <x:v>1</x:v>
      </x:c>
      <x:c r="AP16" s="20" t="str">
        <x:v>single_ligand</x:v>
      </x:c>
      <x:c r="AQ16" s="20" t="str">
        <x:v>PEER_REVIEWED_CROSS_REGIME</x:v>
      </x:c>
    </x:row>
    <x:row r="17">
      <x:c r="A17" s="20" t="str">
        <x:v>R014</x:v>
      </x:c>
      <x:c r="B17" s="20" t="str">
        <x:v>S04</x:v>
      </x:c>
      <x:c r="C17" s="20" t="str">
        <x:v>B1 PEPTIDE_AUNP_MECHANISM</x:v>
      </x:c>
      <x:c r="D17" s="20" t="str">
        <x:v>DIRECT</x:v>
      </x:c>
      <x:c r="E17" s="20" t="str">
        <x:v>gold_superstructure</x:v>
      </x:c>
      <x:c r="F17" s="20" t="str">
        <x:v>C12-D-PEPAu</x:v>
      </x:c>
      <x:c r="G17" s="20" t="str">
        <x:v>AYSSGAPPMPPF</x:v>
      </x:c>
      <x:c r="H17" s="20" t="str">
        <x:v>D</x:v>
      </x:c>
      <x:c r="I17" s="20" t="str">
        <x:v>C12 acyl tail</x:v>
      </x:c>
      <x:c r="J17" s="20"/>
      <x:c r="K17" s="20"/>
      <x:c r="L17" s="20" t="n">
        <x:v>5.25</x:v>
      </x:c>
      <x:c r="M17" s="20"/>
      <x:c r="N17" s="20" t="str">
        <x:v>Right-handed double helix</x:v>
      </x:c>
      <x:c r="O17" s="20" t="str">
        <x:v>Gold precursor</x:v>
      </x:c>
      <x:c r="P17" s="20" t="str">
        <x:v>Mixed with HEPES buffer</x:v>
      </x:c>
      <x:c r="Q17" s="20"/>
      <x:c r="R17" s="20"/>
      <x:c r="S17" s="20"/>
      <x:c r="T17" s="20"/>
      <x:c r="U17" s="20" t="str">
        <x:v>Peptide self-assembly + Au growth</x:v>
      </x:c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 t="str">
        <x:v>Chiral plasmonics</x:v>
      </x:c>
      <x:c r="AF17" s="20" t="str">
        <x:v>D-peptide gives right-handed helices; initial particles 5.25±0.79 nm</x:v>
      </x:c>
      <x:c r="AG17" s="20" t="str">
        <x:v>Main text pp.1–2</x:v>
      </x:c>
      <x:c r="AH17" s="20" t="str">
        <x:v>https://doi.org/10.1021/nl4013776</x:v>
      </x:c>
      <x:c r="AI17" s="24" t="n">
        <x:f>ROUND(100*COUNTA(G17,J17,L17,R17,S17,T17,V17,X17,AA17,AC17)/10,0)</x:f>
        <x:v>20</x:v>
      </x:c>
      <x:c r="AJ17" s="20" t="str">
        <x:v>MECHANISTIC_ONLY</x:v>
      </x:c>
      <x:c r="AK17" s="20" t="str">
        <x:v>EXACT_FROM_UPLOADED_PRIMARY</x:v>
      </x:c>
      <x:c r="AL17" s="20" t="str">
        <x:v>Cross-regime peptide→gold mechanism; not an atomically precise AuNC training target.</x:v>
      </x:c>
      <x:c r="AM17" s="20" t="str">
        <x:v>2026-09-07</x:v>
      </x:c>
      <x:c r="AN17" s="20" t="str">
        <x:v>UPLOADED_PRIMARY_OR_REVIEW</x:v>
      </x:c>
      <x:c r="AO17" s="54" t="n">
        <x:v>1</x:v>
      </x:c>
      <x:c r="AP17" s="20" t="str">
        <x:v>single_ligand</x:v>
      </x:c>
      <x:c r="AQ17" s="20" t="str">
        <x:v>PEER_REVIEWED_CROSS_REGIME</x:v>
      </x:c>
    </x:row>
    <x:row r="18">
      <x:c r="A18" s="20" t="str">
        <x:v>R015</x:v>
      </x:c>
      <x:c r="B18" s="20" t="str">
        <x:v>S14</x:v>
      </x:c>
      <x:c r="C18" s="20" t="str">
        <x:v>A1 DIRECT_PEPTIDE_ATOMIC_AUNC</x:v>
      </x:c>
      <x:c r="D18" s="20" t="str">
        <x:v>DIRECT</x:v>
      </x:c>
      <x:c r="E18" s="20" t="str">
        <x:v>atomically_precise_AuNC</x:v>
      </x:c>
      <x:c r="F18" s="20" t="str">
        <x:v>Glutathione (SG)</x:v>
      </x:c>
      <x:c r="G18" s="20" t="str">
        <x:v>γ-ECG</x:v>
      </x:c>
      <x:c r="H18" s="20" t="str">
        <x:v>L</x:v>
      </x:c>
      <x:c r="I18" s="20" t="str">
        <x:v>Thiolate ligand</x:v>
      </x:c>
      <x:c r="J18" s="20" t="n">
        <x:v>22</x:v>
      </x:c>
      <x:c r="K18" s="20" t="n">
        <x:v>18</x:v>
      </x:c>
      <x:c r="L18" s="20" t="n">
        <x:v>1.5</x:v>
      </x:c>
      <x:c r="M18" s="20" t="n">
        <x:v>2.01</x:v>
      </x:c>
      <x:c r="N18" s="20" t="str">
        <x:v>Atomically precise Au22(SG)18</x:v>
      </x:c>
      <x:c r="O18" s="20" t="str">
        <x:v>HAuCl4</x:v>
      </x:c>
      <x:c r="P18" s="20" t="str">
        <x:v>20 mM HAuCl4 12.5 mL + 50 mM GSH 7.5 mL in 180 mL water</x:v>
      </x:c>
      <x:c r="Q18" s="20" t="str">
        <x:v>NaBH4</x:v>
      </x:c>
      <x:c r="R18" s="20" t="n">
        <x:v>12</x:v>
      </x:c>
      <x:c r="S18" s="20" t="n">
        <x:v>25</x:v>
      </x:c>
      <x:c r="T18" s="20" t="n">
        <x:v>0.5</x:v>
      </x:c>
      <x:c r="U18" s="20" t="str">
        <x:v>500 rpm after NaBH4; then acidification</x:v>
      </x:c>
      <x:c r="V18" s="20" t="n">
        <x:v>925</x:v>
      </x:c>
      <x:c r="W18" s="20" t="str">
        <x:v>925–1300 tail</x:v>
      </x:c>
      <x:c r="X18" s="20" t="n">
        <x:v>0.16</x:v>
      </x:c>
      <x:c r="Y18" s="20" t="n">
        <x:v>515</x:v>
      </x:c>
      <x:c r="Z18" s="20"/>
      <x:c r="AA18" s="20" t="n">
        <x:v>808</x:v>
      </x:c>
      <x:c r="AB18" s="20"/>
      <x:c r="AC18" s="20"/>
      <x:c r="AD18" s="20"/>
      <x:c r="AE18" s="20" t="str">
        <x:v>NIR-II imaging / bioactivity</x:v>
      </x:c>
      <x:c r="AF18" s="20" t="str">
        <x:v>Atomic-precision Au22; pH later shifted to 2.5 and sealed/stirred 8 h for size focusing/purification</x:v>
      </x:c>
      <x:c r="AG18" s="20" t="str">
        <x:v>Results p.2 + Methods p.13</x:v>
      </x:c>
      <x:c r="AH18" s="20" t="str">
        <x:v>https://doi.org/10.1126/sciadv.adh7828</x:v>
      </x:c>
      <x:c r="AI18" s="24" t="n">
        <x:f>ROUND(100*COUNTA(G18,J18,L18,R18,S18,T18,V18,X18,AA18,AC18)/10,0)</x:f>
        <x:v>90</x:v>
      </x:c>
      <x:c r="AJ18" s="20" t="str">
        <x:v>TRAIN_CORE</x:v>
      </x:c>
      <x:c r="AK18" s="20" t="str">
        <x:v>EXACT_FROM_UPLOADED_PRIMARY</x:v>
      </x:c>
      <x:c r="AL18" s="20" t="str">
        <x:v>Atomic record; keep same-paper records grouped in validation.</x:v>
      </x:c>
      <x:c r="AM18" s="20" t="str">
        <x:v>2026-09-07</x:v>
      </x:c>
      <x:c r="AN18" s="20" t="str">
        <x:v>UPLOADED_PRIMARY_OR_REVIEW</x:v>
      </x:c>
      <x:c r="AO18" s="54" t="n">
        <x:v>1</x:v>
      </x:c>
      <x:c r="AP18" s="20" t="str">
        <x:v>single_ligand</x:v>
      </x:c>
      <x:c r="AQ18" s="20" t="str">
        <x:v>PEER_REVIEWED_OR_UPLOADED_PRIMARY</x:v>
      </x:c>
    </x:row>
    <x:row r="19">
      <x:c r="A19" s="20" t="str">
        <x:v>R016</x:v>
      </x:c>
      <x:c r="B19" s="20" t="str">
        <x:v>S14</x:v>
      </x:c>
      <x:c r="C19" s="20" t="str">
        <x:v>A1 DIRECT_PEPTIDE_ATOMIC_AUNC</x:v>
      </x:c>
      <x:c r="D19" s="20" t="str">
        <x:v>DIRECT</x:v>
      </x:c>
      <x:c r="E19" s="20" t="str">
        <x:v>atomically_precise_AuNC</x:v>
      </x:c>
      <x:c r="F19" s="20" t="str">
        <x:v>Glutathione (SG)</x:v>
      </x:c>
      <x:c r="G19" s="20" t="str">
        <x:v>γ-ECG</x:v>
      </x:c>
      <x:c r="H19" s="20" t="str">
        <x:v>L</x:v>
      </x:c>
      <x:c r="I19" s="20" t="str">
        <x:v>Single Cu atom doping</x:v>
      </x:c>
      <x:c r="J19" s="20" t="n">
        <x:v>21</x:v>
      </x:c>
      <x:c r="K19" s="20" t="n">
        <x:v>18</x:v>
      </x:c>
      <x:c r="L19" s="20" t="n">
        <x:v>1.5</x:v>
      </x:c>
      <x:c r="M19" s="20"/>
      <x:c r="N19" s="20" t="str">
        <x:v>Au21Cu1(SG)18</x:v>
      </x:c>
      <x:c r="O19" s="20" t="str">
        <x:v>HAuCl4 + Cu2+</x:v>
      </x:c>
      <x:c r="P19" s="20" t="str">
        <x:v>Same Au22 method; Cu2+ added</x:v>
      </x:c>
      <x:c r="Q19" s="20" t="str">
        <x:v>NaBH4</x:v>
      </x:c>
      <x:c r="R19" s="20" t="n">
        <x:v>12</x:v>
      </x:c>
      <x:c r="S19" s="20" t="n">
        <x:v>25</x:v>
      </x:c>
      <x:c r="T19" s="20" t="n">
        <x:v>8.5</x:v>
      </x:c>
      <x:c r="U19" s="20" t="str">
        <x:v>500 rpm 30 min; pH 2.5; sealed 200 rpm 8 h</x:v>
      </x:c>
      <x:c r="V19" s="20"/>
      <x:c r="W19" s="20"/>
      <x:c r="X19" s="20"/>
      <x:c r="Y19" s="20"/>
      <x:c r="Z19" s="20"/>
      <x:c r="AA19" s="20" t="n">
        <x:v>808</x:v>
      </x:c>
      <x:c r="AB19" s="20"/>
      <x:c r="AC19" s="20"/>
      <x:c r="AD19" s="20"/>
      <x:c r="AE19" s="20" t="str">
        <x:v>NIR-II imaging / nanozyme</x:v>
      </x:c>
      <x:c r="AF19" s="20" t="str">
        <x:v>Cu single-atom substitution lowers bandgap 1.33→1.28 eV and strongly increases enzyme-mimetic activity</x:v>
      </x:c>
      <x:c r="AG19" s="20" t="str">
        <x:v>Results pp.1–2 + Methods p.13</x:v>
      </x:c>
      <x:c r="AH19" s="20" t="str">
        <x:v>https://doi.org/10.1126/sciadv.adh7828</x:v>
      </x:c>
      <x:c r="AI19" s="24" t="n">
        <x:f>ROUND(100*COUNTA(G19,J19,L19,R19,S19,T19,V19,X19,AA19,AC19)/10,0)</x:f>
        <x:v>70</x:v>
      </x:c>
      <x:c r="AJ19" s="20" t="str">
        <x:v>TRAIN_CORE</x:v>
      </x:c>
      <x:c r="AK19" s="20" t="str">
        <x:v>EXACT_FROM_UPLOADED_PRIMARY</x:v>
      </x:c>
      <x:c r="AL19" s="20" t="str">
        <x:v>Atomic record; keep same-paper records grouped in validation.</x:v>
      </x:c>
      <x:c r="AM19" s="20" t="str">
        <x:v>2026-09-07</x:v>
      </x:c>
      <x:c r="AN19" s="20" t="str">
        <x:v>UPLOADED_PRIMARY_OR_REVIEW</x:v>
      </x:c>
      <x:c r="AO19" s="54" t="n">
        <x:v>1</x:v>
      </x:c>
      <x:c r="AP19" s="20" t="str">
        <x:v>single_ligand</x:v>
      </x:c>
      <x:c r="AQ19" s="20" t="str">
        <x:v>PEER_REVIEWED_OR_UPLOADED_PRIMARY</x:v>
      </x:c>
    </x:row>
    <x:row r="20">
      <x:c r="A20" s="20" t="str">
        <x:v>R017</x:v>
      </x:c>
      <x:c r="B20" s="20" t="str">
        <x:v>S10</x:v>
      </x:c>
      <x:c r="C20" s="20" t="str">
        <x:v>A1 DIRECT_PEPTIDE_ATOMIC_AUNC</x:v>
      </x:c>
      <x:c r="D20" s="20" t="str">
        <x:v>DIRECT</x:v>
      </x:c>
      <x:c r="E20" s="20" t="str">
        <x:v>atomically_precise_AuNC</x:v>
      </x:c>
      <x:c r="F20" s="20" t="str">
        <x:v>Glutathione (SG)</x:v>
      </x:c>
      <x:c r="G20" s="20" t="str">
        <x:v>γ-ECG</x:v>
      </x:c>
      <x:c r="H20" s="20" t="str">
        <x:v>L</x:v>
      </x:c>
      <x:c r="I20" s="20" t="str">
        <x:v>Thiolate ligand</x:v>
      </x:c>
      <x:c r="J20" s="20" t="n">
        <x:v>25</x:v>
      </x:c>
      <x:c r="K20" s="20" t="n">
        <x:v>18</x:v>
      </x:c>
      <x:c r="L20" s="20" t="str">
        <x:v>&lt;2</x:v>
      </x:c>
      <x:c r="M20" s="20" t="n">
        <x:v>3.2</x:v>
      </x:c>
      <x:c r="N20" s="20" t="str">
        <x:v>Au25(SG)18; 13-Au core + six Au2(SG)3 shell motifs</x:v>
      </x:c>
      <x:c r="O20" s="20" t="str">
        <x:v>Not fully specified in main paper</x:v>
      </x:c>
      <x:c r="P20" s="20" t="str">
        <x:v>Main paper refers to prior method / SI</x:v>
      </x:c>
      <x:c r="Q20" s="20" t="str">
        <x:v>Not fully specified</x:v>
      </x:c>
      <x:c r="R20" s="20"/>
      <x:c r="S20" s="20"/>
      <x:c r="T20" s="20"/>
      <x:c r="U20" s="20" t="str">
        <x:v>See Supporting Information</x:v>
      </x:c>
      <x:c r="V20" s="20"/>
      <x:c r="W20" s="20" t="str">
        <x:v>1100–1350</x:v>
      </x:c>
      <x:c r="X20" s="20"/>
      <x:c r="Y20" s="20"/>
      <x:c r="Z20" s="20"/>
      <x:c r="AA20" s="20"/>
      <x:c r="AB20" s="20"/>
      <x:c r="AC20" s="20"/>
      <x:c r="AD20" s="20"/>
      <x:c r="AE20" s="20" t="str">
        <x:v>NIR-II imaging</x:v>
      </x:c>
      <x:c r="AF20" s="20" t="str">
        <x:v>Atomic-precision Au25 with strong NIR-II emission; exact synthesis must be taken from SI/primary synthesis method</x:v>
      </x:c>
      <x:c r="AG20" s="20" t="str">
        <x:v>Main text pp.1–2; Experimental points to SI</x:v>
      </x:c>
      <x:c r="AH20" s="20" t="str">
        <x:v>https://doi.org/10.1002/adma.201901015</x:v>
      </x:c>
      <x:c r="AI20" s="24" t="n">
        <x:f>ROUND(100*COUNTA(G20,J20,L20,R20,S20,T20,V20,X20,AA20,AC20)/10,0)</x:f>
        <x:v>30</x:v>
      </x:c>
      <x:c r="AJ20" s="20" t="str">
        <x:v>QC_HOLD</x:v>
      </x:c>
      <x:c r="AK20" s="20" t="str">
        <x:v>EXACT_LIGAND_ID</x:v>
      </x:c>
      <x:c r="AL20" s="20" t="str">
        <x:v>Atomic Au25(SG)18, but exact synthesis details require Supporting Information / prior method.</x:v>
      </x:c>
      <x:c r="AM20" s="20" t="str">
        <x:v>2026-09-07</x:v>
      </x:c>
      <x:c r="AN20" s="20" t="str">
        <x:v>UPLOADED_PRIMARY_OR_REVIEW</x:v>
      </x:c>
      <x:c r="AO20" s="54" t="n">
        <x:v>1</x:v>
      </x:c>
      <x:c r="AP20" s="20" t="str">
        <x:v>single_ligand</x:v>
      </x:c>
      <x:c r="AQ20" s="20" t="str">
        <x:v>PEER_REVIEWED_OR_UPLOADED_PRIMARY</x:v>
      </x:c>
    </x:row>
    <x:row r="21">
      <x:c r="A21" s="20" t="str">
        <x:v>R018</x:v>
      </x:c>
      <x:c r="B21" s="20" t="str">
        <x:v>S11</x:v>
      </x:c>
      <x:c r="C21" s="20" t="str">
        <x:v>C1 AUNC_PTT_BENCHMARK</x:v>
      </x:c>
      <x:c r="D21" s="20" t="str">
        <x:v>DIRECT</x:v>
      </x:c>
      <x:c r="E21" s="20" t="str">
        <x:v>atomically_precise_AuNC</x:v>
      </x:c>
      <x:c r="F21" s="20" t="str">
        <x:v>Phosphorylcholine-functionalized Au25</x:v>
      </x:c>
      <x:c r="G21" s="20" t="str">
        <x:v>N/A</x:v>
      </x:c>
      <x:c r="H21" s="20" t="str">
        <x:v>N/A</x:v>
      </x:c>
      <x:c r="I21" s="20" t="str">
        <x:v>PC surface coating</x:v>
      </x:c>
      <x:c r="J21" s="20" t="n">
        <x:v>25</x:v>
      </x:c>
      <x:c r="K21" s="20"/>
      <x:c r="L21" s="20" t="str">
        <x:v>~2</x:v>
      </x:c>
      <x:c r="M21" s="20"/>
      <x:c r="N21" s="20" t="str">
        <x:v>Molecular Au25 cluster</x:v>
      </x:c>
      <x:c r="O21" s="20" t="str">
        <x:v>Au25 precursor/system</x:v>
      </x:c>
      <x:c r="P21" s="20" t="str">
        <x:v>25 mg/mL AuPC aqueous solution</x:v>
      </x:c>
      <x:c r="Q21" s="20" t="str">
        <x:v>N/A</x:v>
      </x:c>
      <x:c r="R21" s="20"/>
      <x:c r="S21" s="20"/>
      <x:c r="T21" s="20"/>
      <x:c r="U21" s="20" t="str">
        <x:v>Benchmark material</x:v>
      </x:c>
      <x:c r="V21" s="20" t="n">
        <x:v>1090</x:v>
      </x:c>
      <x:c r="W21" s="20" t="str">
        <x:v>900–1500</x:v>
      </x:c>
      <x:c r="X21" s="20" t="n">
        <x:v>0.38</x:v>
      </x:c>
      <x:c r="Y21" s="20"/>
      <x:c r="Z21" s="20"/>
      <x:c r="AA21" s="20" t="n">
        <x:v>808</x:v>
      </x:c>
      <x:c r="AB21" s="20" t="n">
        <x:v>0.3</x:v>
      </x:c>
      <x:c r="AC21" s="20" t="n">
        <x:v>70</x:v>
      </x:c>
      <x:c r="AD21" s="20" t="n">
        <x:v>10</x:v>
      </x:c>
      <x:c r="AE21" s="20" t="str">
        <x:v>Cancer PTT benchmark</x:v>
      </x:c>
      <x:c r="AF21" s="20" t="str">
        <x:v>In vitro: ~70°C from room temperature within 10 min under 808 nm, 0.3 W/cm²</x:v>
      </x:c>
      <x:c r="AG21" s="20" t="str">
        <x:v>Main text p.4; Fig.4</x:v>
      </x:c>
      <x:c r="AH21" s="20" t="str">
        <x:v>https://doi.org/10.1073/pnas.2318265121</x:v>
      </x:c>
      <x:c r="AI21" s="24" t="n">
        <x:f>ROUND(100*COUNTA(G21,J21,L21,R21,S21,T21,V21,X21,AA21,AC21)/10,0)</x:f>
        <x:v>70</x:v>
      </x:c>
      <x:c r="AJ21" s="20" t="str">
        <x:v>BENCHMARK_ONLY</x:v>
      </x:c>
      <x:c r="AK21" s="20" t="str">
        <x:v>NOT_APPLICABLE</x:v>
      </x:c>
      <x:c r="AL21" s="20" t="str">
        <x:v>Non-peptide AuNC biomedical/PTT benchmark; do not train peptide-sequence model.</x:v>
      </x:c>
      <x:c r="AM21" s="20" t="str">
        <x:v>2026-09-07</x:v>
      </x:c>
      <x:c r="AN21" s="20" t="str">
        <x:v>UPLOADED_PRIMARY_OR_REVIEW</x:v>
      </x:c>
      <x:c r="AO21" s="54"/>
      <x:c r="AP21" s="20" t="str">
        <x:v>single_ligand</x:v>
      </x:c>
      <x:c r="AQ21" s="20" t="str">
        <x:v>PEER_REVIEWED_OR_UPLOADED_PRIMARY</x:v>
      </x:c>
    </x:row>
    <x:row r="22">
      <x:c r="A22" s="20" t="str">
        <x:v>R019</x:v>
      </x:c>
      <x:c r="B22" s="20" t="str">
        <x:v>S11</x:v>
      </x:c>
      <x:c r="C22" s="20" t="str">
        <x:v>C1 AUNC_PTT_BENCHMARK</x:v>
      </x:c>
      <x:c r="D22" s="20" t="str">
        <x:v>DIRECT</x:v>
      </x:c>
      <x:c r="E22" s="20" t="str">
        <x:v>atomically_precise_AuNC</x:v>
      </x:c>
      <x:c r="F22" s="20" t="str">
        <x:v>Phosphorylcholine-functionalized Au25</x:v>
      </x:c>
      <x:c r="G22" s="20" t="str">
        <x:v>N/A</x:v>
      </x:c>
      <x:c r="H22" s="20" t="str">
        <x:v>N/A</x:v>
      </x:c>
      <x:c r="I22" s="20" t="str">
        <x:v>PC surface coating</x:v>
      </x:c>
      <x:c r="J22" s="20" t="n">
        <x:v>25</x:v>
      </x:c>
      <x:c r="K22" s="20"/>
      <x:c r="L22" s="20" t="str">
        <x:v>~2</x:v>
      </x:c>
      <x:c r="M22" s="20"/>
      <x:c r="N22" s="20" t="str">
        <x:v>Molecular Au25 cluster</x:v>
      </x:c>
      <x:c r="O22" s="20" t="str">
        <x:v>Au25 precursor/system</x:v>
      </x:c>
      <x:c r="P22" s="20" t="str">
        <x:v>20–40 µL of 25 mg/mL intratumorally</x:v>
      </x:c>
      <x:c r="Q22" s="20" t="str">
        <x:v>N/A</x:v>
      </x:c>
      <x:c r="R22" s="20"/>
      <x:c r="S22" s="20"/>
      <x:c r="T22" s="20"/>
      <x:c r="U22" s="20" t="str">
        <x:v>4T1 tumor, intratumoral injection</x:v>
      </x:c>
      <x:c r="V22" s="20" t="n">
        <x:v>1090</x:v>
      </x:c>
      <x:c r="W22" s="20" t="str">
        <x:v>900–1500</x:v>
      </x:c>
      <x:c r="X22" s="20" t="n">
        <x:v>0.38</x:v>
      </x:c>
      <x:c r="Y22" s="20"/>
      <x:c r="Z22" s="20"/>
      <x:c r="AA22" s="20" t="n">
        <x:v>808</x:v>
      </x:c>
      <x:c r="AB22" s="20" t="n">
        <x:v>0.3</x:v>
      </x:c>
      <x:c r="AC22" s="20" t="n">
        <x:v>60</x:v>
      </x:c>
      <x:c r="AD22" s="20" t="n">
        <x:v>30</x:v>
      </x:c>
      <x:c r="AE22" s="20" t="str">
        <x:v>Cancer PTT benchmark</x:v>
      </x:c>
      <x:c r="AF22" s="20" t="str">
        <x:v>In vivo: ~53°C at 3 min, rising to ~60°C; 94.4% 60-day relative survival reported</x:v>
      </x:c>
      <x:c r="AG22" s="20" t="str">
        <x:v>Main text pp.4–6; Fig.5</x:v>
      </x:c>
      <x:c r="AH22" s="20" t="str">
        <x:v>https://doi.org/10.1073/pnas.2318265121</x:v>
      </x:c>
      <x:c r="AI22" s="24" t="n">
        <x:f>ROUND(100*COUNTA(G22,J22,L22,R22,S22,T22,V22,X22,AA22,AC22)/10,0)</x:f>
        <x:v>70</x:v>
      </x:c>
      <x:c r="AJ22" s="20" t="str">
        <x:v>BENCHMARK_ONLY</x:v>
      </x:c>
      <x:c r="AK22" s="20" t="str">
        <x:v>NOT_APPLICABLE</x:v>
      </x:c>
      <x:c r="AL22" s="20" t="str">
        <x:v>Non-peptide AuNC biomedical/PTT benchmark; do not train peptide-sequence model.</x:v>
      </x:c>
      <x:c r="AM22" s="20" t="str">
        <x:v>2026-09-07</x:v>
      </x:c>
      <x:c r="AN22" s="20" t="str">
        <x:v>UPLOADED_PRIMARY_OR_REVIEW</x:v>
      </x:c>
      <x:c r="AO22" s="54"/>
      <x:c r="AP22" s="20" t="str">
        <x:v>single_ligand</x:v>
      </x:c>
      <x:c r="AQ22" s="20" t="str">
        <x:v>PEER_REVIEWED_OR_UPLOADED_PRIMARY</x:v>
      </x:c>
    </x:row>
    <x:row r="23">
      <x:c r="A23" s="20" t="str">
        <x:v>R020</x:v>
      </x:c>
      <x:c r="B23" s="20" t="str">
        <x:v>S13</x:v>
      </x:c>
      <x:c r="C23" s="20" t="str">
        <x:v>C2 AUNC_BIOMEDICAL_BENCHMARK</x:v>
      </x:c>
      <x:c r="D23" s="20" t="str">
        <x:v>DIRECT</x:v>
      </x:c>
      <x:c r="E23" s="20" t="str">
        <x:v>atomically_precise_AuNC</x:v>
      </x:c>
      <x:c r="F23" s="20" t="str">
        <x:v>Phosphorylcholine-functionalized Au25</x:v>
      </x:c>
      <x:c r="G23" s="20" t="str">
        <x:v>N/A</x:v>
      </x:c>
      <x:c r="H23" s="20" t="str">
        <x:v>N/A</x:v>
      </x:c>
      <x:c r="I23" s="20" t="str">
        <x:v>PC surface coating</x:v>
      </x:c>
      <x:c r="J23" s="20" t="n">
        <x:v>25</x:v>
      </x:c>
      <x:c r="K23" s="20"/>
      <x:c r="L23" s="20"/>
      <x:c r="M23" s="20"/>
      <x:c r="N23" s="20" t="str">
        <x:v>Au25-PC molecular cluster</x:v>
      </x:c>
      <x:c r="O23" s="20" t="str">
        <x:v>Au25 precursor/system</x:v>
      </x:c>
      <x:c r="P23" s="20" t="str">
        <x:v>Surface-functionalized with PC</x:v>
      </x:c>
      <x:c r="Q23" s="20" t="str">
        <x:v>N/A</x:v>
      </x:c>
      <x:c r="R23" s="20"/>
      <x:c r="S23" s="20"/>
      <x:c r="T23" s="20"/>
      <x:c r="U23" s="20" t="str">
        <x:v>Subcutaneous injection</x:v>
      </x:c>
      <x:c r="V23" s="20"/>
      <x:c r="W23" s="20" t="str">
        <x:v>1000–3000 imaging window</x:v>
      </x:c>
      <x:c r="X23" s="20"/>
      <x:c r="Y23" s="20"/>
      <x:c r="Z23" s="20"/>
      <x:c r="AA23" s="20"/>
      <x:c r="AB23" s="20"/>
      <x:c r="AC23" s="20"/>
      <x:c r="AD23" s="20"/>
      <x:c r="AE23" s="20" t="str">
        <x:v>Lymph-node NIR-II imaging</x:v>
      </x:c>
      <x:c r="AF23" s="20" t="str">
        <x:v>Super-stealth behavior; optimal LN imaging ~0.5–1 h with rapid renal clearance</x:v>
      </x:c>
      <x:c r="AG23" s="20" t="str">
        <x:v>Abstract / main text p.1</x:v>
      </x:c>
      <x:c r="AH23" s="20" t="str">
        <x:v>https://doi.org/10.1038/s41467-022-33341-6</x:v>
      </x:c>
      <x:c r="AI23" s="24" t="n">
        <x:f>ROUND(100*COUNTA(G23,J23,L23,R23,S23,T23,V23,X23,AA23,AC23)/10,0)</x:f>
        <x:v>20</x:v>
      </x:c>
      <x:c r="AJ23" s="20" t="str">
        <x:v>BENCHMARK_ONLY</x:v>
      </x:c>
      <x:c r="AK23" s="20" t="str">
        <x:v>NOT_APPLICABLE</x:v>
      </x:c>
      <x:c r="AL23" s="20" t="str">
        <x:v>Non-peptide AuNC biomedical/PTT benchmark; do not train peptide-sequence model.</x:v>
      </x:c>
      <x:c r="AM23" s="20" t="str">
        <x:v>2026-09-07</x:v>
      </x:c>
      <x:c r="AN23" s="20" t="str">
        <x:v>UPLOADED_PRIMARY_OR_REVIEW</x:v>
      </x:c>
      <x:c r="AO23" s="54"/>
      <x:c r="AP23" s="20" t="str">
        <x:v>single_ligand</x:v>
      </x:c>
      <x:c r="AQ23" s="20" t="str">
        <x:v>PEER_REVIEWED_OR_UPLOADED_PRIMARY</x:v>
      </x:c>
    </x:row>
    <x:row r="24">
      <x:c r="A24" s="20" t="str">
        <x:v>R021</x:v>
      </x:c>
      <x:c r="B24" s="20" t="str">
        <x:v>S12</x:v>
      </x:c>
      <x:c r="C24" s="20" t="str">
        <x:v>D1 METHOD_REFERENCE</x:v>
      </x:c>
      <x:c r="D24" s="20" t="str">
        <x:v>REVIEW-DERIVED</x:v>
      </x:c>
      <x:c r="E24" s="20" t="str">
        <x:v>atomically_precise_AuNC</x:v>
      </x:c>
      <x:c r="F24" s="20" t="str">
        <x:v>Glutathione (GSH)</x:v>
      </x:c>
      <x:c r="G24" s="20" t="str">
        <x:v>γ-ECG</x:v>
      </x:c>
      <x:c r="H24" s="20" t="str">
        <x:v>L</x:v>
      </x:c>
      <x:c r="I24" s="20" t="str">
        <x:v>Review table entry</x:v>
      </x:c>
      <x:c r="J24" s="20" t="n">
        <x:v>25</x:v>
      </x:c>
      <x:c r="K24" s="20" t="n">
        <x:v>18</x:v>
      </x:c>
      <x:c r="L24" s="20"/>
      <x:c r="M24" s="20"/>
      <x:c r="N24" s="20" t="str">
        <x:v>Au25(GSH)18</x:v>
      </x:c>
      <x:c r="O24" s="20" t="str">
        <x:v>N/A</x:v>
      </x:c>
      <x:c r="P24" s="20" t="str">
        <x:v>Review-derived optical entry</x:v>
      </x:c>
      <x:c r="Q24" s="20" t="str">
        <x:v>N/A</x:v>
      </x:c>
      <x:c r="R24" s="20"/>
      <x:c r="S24" s="20"/>
      <x:c r="T24" s="20"/>
      <x:c r="U24" s="20" t="str">
        <x:v>Primary paper required</x:v>
      </x:c>
      <x:c r="V24" s="20" t="n">
        <x:v>1120</x:v>
      </x:c>
      <x:c r="W24" s="20" t="str">
        <x:v>900–1500</x:v>
      </x:c>
      <x:c r="X24" s="20" t="n">
        <x:v>0.13</x:v>
      </x:c>
      <x:c r="Y24" s="20"/>
      <x:c r="Z24" s="20"/>
      <x:c r="AA24" s="20" t="n">
        <x:v>808</x:v>
      </x:c>
      <x:c r="AB24" s="20"/>
      <x:c r="AC24" s="20"/>
      <x:c r="AD24" s="20"/>
      <x:c r="AE24" s="20" t="str">
        <x:v>Imaging benchmark</x:v>
      </x:c>
      <x:c r="AF24" s="20" t="str">
        <x:v>Review table lists Au25(GSH)18 with NIR-II emission and low PLQY; primary paper must be extracted before training</x:v>
      </x:c>
      <x:c r="AG24" s="20" t="str">
        <x:v>Chem. Rev. Table 1</x:v>
      </x:c>
      <x:c r="AH24" s="20" t="str">
        <x:v>https://doi.org/10.1021/acs.chemrev.4c00835</x:v>
      </x:c>
      <x:c r="AI24" s="24" t="n">
        <x:f>ROUND(100*COUNTA(G24,J24,L24,R24,S24,T24,V24,X24,AA24,AC24)/10,0)</x:f>
        <x:v>50</x:v>
      </x:c>
      <x:c r="AJ24" s="20" t="str">
        <x:v>REVIEW_LEAD</x:v>
      </x:c>
      <x:c r="AK24" s="20" t="str">
        <x:v>REVIEW_DERIVED</x:v>
      </x:c>
      <x:c r="AL24" s="20" t="str">
        <x:v>Primary paper must be extracted before model training.</x:v>
      </x:c>
      <x:c r="AM24" s="20" t="str">
        <x:v>2026-09-07</x:v>
      </x:c>
      <x:c r="AN24" s="20" t="str">
        <x:v>UPLOADED_PRIMARY_OR_REVIEW</x:v>
      </x:c>
      <x:c r="AO24" s="54"/>
      <x:c r="AP24" s="20" t="str">
        <x:v>single_ligand</x:v>
      </x:c>
      <x:c r="AQ24" s="20" t="str">
        <x:v>PEER_REVIEWED_OR_UPLOADED_PRIMARY</x:v>
      </x:c>
    </x:row>
    <x:row r="25">
      <x:c r="A25" s="20" t="str">
        <x:v>R022</x:v>
      </x:c>
      <x:c r="B25" s="20" t="str">
        <x:v>S12</x:v>
      </x:c>
      <x:c r="C25" s="20" t="str">
        <x:v>D1 METHOD_REFERENCE</x:v>
      </x:c>
      <x:c r="D25" s="20" t="str">
        <x:v>REVIEW-DERIVED</x:v>
      </x:c>
      <x:c r="E25" s="20" t="str">
        <x:v>atomically_precise_AuNC</x:v>
      </x:c>
      <x:c r="F25" s="20" t="str">
        <x:v>4-mercaptobenzoic acid (MBA)</x:v>
      </x:c>
      <x:c r="G25" s="20" t="str">
        <x:v>N/A</x:v>
      </x:c>
      <x:c r="H25" s="20" t="str">
        <x:v>N/A</x:v>
      </x:c>
      <x:c r="I25" s="20" t="str">
        <x:v>Review table entry</x:v>
      </x:c>
      <x:c r="J25" s="20" t="n">
        <x:v>44</x:v>
      </x:c>
      <x:c r="K25" s="20" t="n">
        <x:v>26</x:v>
      </x:c>
      <x:c r="L25" s="20"/>
      <x:c r="M25" s="20"/>
      <x:c r="N25" s="20" t="str">
        <x:v>Au44(MBA)26</x:v>
      </x:c>
      <x:c r="O25" s="20" t="str">
        <x:v>N/A</x:v>
      </x:c>
      <x:c r="P25" s="20" t="str">
        <x:v>Review-derived optical/PTT entry</x:v>
      </x:c>
      <x:c r="Q25" s="20" t="str">
        <x:v>N/A</x:v>
      </x:c>
      <x:c r="R25" s="20"/>
      <x:c r="S25" s="20"/>
      <x:c r="T25" s="20"/>
      <x:c r="U25" s="20" t="str">
        <x:v>Primary paper required</x:v>
      </x:c>
      <x:c r="V25" s="20" t="n">
        <x:v>1080</x:v>
      </x:c>
      <x:c r="W25" s="20" t="str">
        <x:v>~1080 and 1280</x:v>
      </x:c>
      <x:c r="X25" s="20" t="n">
        <x:v>4.5</x:v>
      </x:c>
      <x:c r="Y25" s="20"/>
      <x:c r="Z25" s="20"/>
      <x:c r="AA25" s="20" t="n">
        <x:v>808</x:v>
      </x:c>
      <x:c r="AB25" s="20"/>
      <x:c r="AC25" s="20"/>
      <x:c r="AD25" s="20"/>
      <x:c r="AE25" s="20" t="str">
        <x:v>PTT / theranostics</x:v>
      </x:c>
      <x:c r="AF25" s="20" t="str">
        <x:v>Review identifies Au44(MBA)26 as high-PCE PTT-capable cluster; not peptide-templated and must remain a benchmark</x:v>
      </x:c>
      <x:c r="AG25" s="20" t="str">
        <x:v>Chem. Rev. Table 1 + PTT section</x:v>
      </x:c>
      <x:c r="AH25" s="20" t="str">
        <x:v>https://doi.org/10.1021/acs.chemrev.4c00835</x:v>
      </x:c>
      <x:c r="AI25" s="24" t="n">
        <x:f>ROUND(100*COUNTA(G25,J25,L25,R25,S25,T25,V25,X25,AA25,AC25)/10,0)</x:f>
        <x:v>50</x:v>
      </x:c>
      <x:c r="AJ25" s="20" t="str">
        <x:v>REVIEW_LEAD</x:v>
      </x:c>
      <x:c r="AK25" s="20" t="str">
        <x:v>REVIEW_DERIVED</x:v>
      </x:c>
      <x:c r="AL25" s="20" t="str">
        <x:v>Primary paper must be extracted before model training.</x:v>
      </x:c>
      <x:c r="AM25" s="20" t="str">
        <x:v>2026-09-07</x:v>
      </x:c>
      <x:c r="AN25" s="20" t="str">
        <x:v>UPLOADED_PRIMARY_OR_REVIEW</x:v>
      </x:c>
      <x:c r="AO25" s="54"/>
      <x:c r="AP25" s="20" t="str">
        <x:v>single_ligand</x:v>
      </x:c>
      <x:c r="AQ25" s="20" t="str">
        <x:v>PEER_REVIEWED_OR_UPLOADED_PRIMARY</x:v>
      </x:c>
    </x:row>
    <x:row r="26">
      <x:c r="A26" s="20" t="str">
        <x:v>R023</x:v>
      </x:c>
      <x:c r="B26" s="20" t="str">
        <x:v>W01</x:v>
      </x:c>
      <x:c r="C26" s="20" t="str">
        <x:v>A2 DIRECT_PEPTIDE_NONPRECISE_AUNC</x:v>
      </x:c>
      <x:c r="D26" s="20" t="str">
        <x:v>DIRECT</x:v>
      </x:c>
      <x:c r="E26" s="20" t="str">
        <x:v>ultrasmall_AuNC_unknown_nuclearity</x:v>
      </x:c>
      <x:c r="F26" s="20" t="str">
        <x:v>SV polypeptide — blue AuNC</x:v>
      </x:c>
      <x:c r="G26" s="20" t="str">
        <x:v>CCYGGPKKKRKVG</x:v>
      </x:c>
      <x:c r="H26" s="20" t="str">
        <x:v>L</x:v>
      </x:c>
      <x:c r="I26" s="20" t="str">
        <x:v>NH2- / -COOH</x:v>
      </x:c>
      <x:c r="J26" s="20"/>
      <x:c r="K26" s="20"/>
      <x:c r="L26" s="20" t="str">
        <x:v>&lt;2</x:v>
      </x:c>
      <x:c r="M26" s="20"/>
      <x:c r="N26" s="20" t="str">
        <x:v>Blue-emitting peptide-templated AuNC</x:v>
      </x:c>
      <x:c r="O26" s="20" t="str">
        <x:v>HAuCl4</x:v>
      </x:c>
      <x:c r="P26" s="20" t="str">
        <x:v>Same SV peptide; synthesis conditions optimized separately from red product</x:v>
      </x:c>
      <x:c r="Q26" s="20" t="str">
        <x:v>Peptide-templated / conditions dependent</x:v>
      </x:c>
      <x:c r="R26" s="20"/>
      <x:c r="S26" s="20"/>
      <x:c r="T26" s="20"/>
      <x:c r="U26" s="20" t="str">
        <x:v>Light, pH, Au:peptide ratio, time and temperature were optimization variables</x:v>
      </x:c>
      <x:c r="V26" s="20" t="n">
        <x:v>405</x:v>
      </x:c>
      <x:c r="W26" s="20" t="str">
        <x:v>λex 320 / λem 405</x:v>
      </x:c>
      <x:c r="X26" s="20"/>
      <x:c r="Y26" s="20"/>
      <x:c r="Z26" s="20"/>
      <x:c r="AA26" s="20"/>
      <x:c r="AB26" s="20"/>
      <x:c r="AC26" s="20"/>
      <x:c r="AD26" s="20"/>
      <x:c r="AE26" s="20" t="str">
        <x:v>Cell-nucleus multimodal imaging</x:v>
      </x:c>
      <x:c r="AF26" s="20" t="str">
        <x:v>The same exact peptide produced a blue AuNC under one synthesis condition set and a red AuNC under another, proving synthesis context is indispensable.</x:v>
      </x:c>
      <x:c r="AG26" s="20" t="str">
        <x:v>ACS Applied Bio Materials abstract + SI listing</x:v>
      </x:c>
      <x:c r="AH26" s="20" t="str">
        <x:v>https://doi.org/10.1021/acsabm.9b01078</x:v>
      </x:c>
      <x:c r="AI26" s="24" t="n">
        <x:f>ROUND(100*COUNTA(G26,J26,L26,R26,S26,T26,V26,X26,AA26,AC26)/10,0)</x:f>
        <x:v>30</x:v>
      </x:c>
      <x:c r="AJ26" s="20" t="str">
        <x:v>QC_HOLD</x:v>
      </x:c>
      <x:c r="AK26" s="20" t="str">
        <x:v>EXACT_FROM_PRIMARY</x:v>
      </x:c>
      <x:c r="AL26" s="20" t="str">
        <x:v>Exact numerical synthesis condition set still needs full main-text/SI extraction.</x:v>
      </x:c>
      <x:c r="AM26" s="20" t="str">
        <x:v>2026-09-07</x:v>
      </x:c>
      <x:c r="AN26" s="20" t="str">
        <x:v>WEB_PRIMARY</x:v>
      </x:c>
      <x:c r="AO26" s="54" t="n">
        <x:v>1</x:v>
      </x:c>
      <x:c r="AP26" s="20" t="str">
        <x:v>single_ligand</x:v>
      </x:c>
      <x:c r="AQ26" s="20" t="str">
        <x:v>PEER_REVIEWED_OR_UPLOADED_PRIMARY</x:v>
      </x:c>
    </x:row>
    <x:row r="27">
      <x:c r="A27" s="20" t="str">
        <x:v>R024</x:v>
      </x:c>
      <x:c r="B27" s="20" t="str">
        <x:v>W01</x:v>
      </x:c>
      <x:c r="C27" s="20" t="str">
        <x:v>A2 DIRECT_PEPTIDE_NONPRECISE_AUNC</x:v>
      </x:c>
      <x:c r="D27" s="20" t="str">
        <x:v>DIRECT</x:v>
      </x:c>
      <x:c r="E27" s="20" t="str">
        <x:v>ultrasmall_AuNC_unknown_nuclearity</x:v>
      </x:c>
      <x:c r="F27" s="20" t="str">
        <x:v>SV polypeptide — red AuNC</x:v>
      </x:c>
      <x:c r="G27" s="20" t="str">
        <x:v>CCYGGPKKKRKVG</x:v>
      </x:c>
      <x:c r="H27" s="20" t="str">
        <x:v>L</x:v>
      </x:c>
      <x:c r="I27" s="20" t="str">
        <x:v>NH2- / -COOH</x:v>
      </x:c>
      <x:c r="J27" s="20"/>
      <x:c r="K27" s="20"/>
      <x:c r="L27" s="20" t="str">
        <x:v>&lt;2</x:v>
      </x:c>
      <x:c r="M27" s="20"/>
      <x:c r="N27" s="20" t="str">
        <x:v>Red-emitting peptide-templated AuNC</x:v>
      </x:c>
      <x:c r="O27" s="20" t="str">
        <x:v>HAuCl4</x:v>
      </x:c>
      <x:c r="P27" s="20" t="str">
        <x:v>Same SV peptide; synthesis conditions optimized separately from blue product</x:v>
      </x:c>
      <x:c r="Q27" s="20" t="str">
        <x:v>Peptide-templated / conditions dependent</x:v>
      </x:c>
      <x:c r="R27" s="20"/>
      <x:c r="S27" s="20"/>
      <x:c r="T27" s="20"/>
      <x:c r="U27" s="20" t="str">
        <x:v>Light, pH, Au:peptide ratio, time and temperature were optimization variables</x:v>
      </x:c>
      <x:c r="V27" s="20" t="n">
        <x:v>657</x:v>
      </x:c>
      <x:c r="W27" s="20" t="str">
        <x:v>λex 560 / λem 657</x:v>
      </x:c>
      <x:c r="X27" s="20"/>
      <x:c r="Y27" s="20"/>
      <x:c r="Z27" s="20"/>
      <x:c r="AA27" s="20"/>
      <x:c r="AB27" s="20"/>
      <x:c r="AC27" s="20"/>
      <x:c r="AD27" s="20"/>
      <x:c r="AE27" s="20" t="str">
        <x:v>Cell-nucleus multimodal imaging</x:v>
      </x:c>
      <x:c r="AF27" s="20" t="str">
        <x:v>Paired with R023: identical peptide sequence can yield sharply different optical outcomes when the synthesis environment changes.</x:v>
      </x:c>
      <x:c r="AG27" s="20" t="str">
        <x:v>ACS Applied Bio Materials abstract + SI listing</x:v>
      </x:c>
      <x:c r="AH27" s="20" t="str">
        <x:v>https://doi.org/10.1021/acsabm.9b01078</x:v>
      </x:c>
      <x:c r="AI27" s="24" t="n">
        <x:f>ROUND(100*COUNTA(G27,J27,L27,R27,S27,T27,V27,X27,AA27,AC27)/10,0)</x:f>
        <x:v>30</x:v>
      </x:c>
      <x:c r="AJ27" s="20" t="str">
        <x:v>QC_HOLD</x:v>
      </x:c>
      <x:c r="AK27" s="20" t="str">
        <x:v>EXACT_FROM_PRIMARY</x:v>
      </x:c>
      <x:c r="AL27" s="20" t="str">
        <x:v>Exact numerical synthesis condition set still needs full main-text/SI extraction.</x:v>
      </x:c>
      <x:c r="AM27" s="20" t="str">
        <x:v>2026-09-07</x:v>
      </x:c>
      <x:c r="AN27" s="20" t="str">
        <x:v>WEB_PRIMARY</x:v>
      </x:c>
      <x:c r="AO27" s="54" t="n">
        <x:v>1</x:v>
      </x:c>
      <x:c r="AP27" s="20" t="str">
        <x:v>single_ligand</x:v>
      </x:c>
      <x:c r="AQ27" s="20" t="str">
        <x:v>PEER_REVIEWED_OR_UPLOADED_PRIMARY</x:v>
      </x:c>
    </x:row>
    <x:row r="28">
      <x:c r="A28" s="20" t="str">
        <x:v>R025</x:v>
      </x:c>
      <x:c r="B28" s="20" t="str">
        <x:v>W02</x:v>
      </x:c>
      <x:c r="C28" s="20" t="str">
        <x:v>A2 DIRECT_PEPTIDE_NONPRECISE_AUNC</x:v>
      </x:c>
      <x:c r="D28" s="20" t="str">
        <x:v>DIRECT</x:v>
      </x:c>
      <x:c r="E28" s="20" t="str">
        <x:v>ultrasmall_AuNC_unknown_nuclearity</x:v>
      </x:c>
      <x:c r="F28" s="20" t="str">
        <x:v>Cyclodecapeptide-templated AuNC</x:v>
      </x:c>
      <x:c r="G28" s="20" t="str">
        <x:v>Cyclodecapeptide: 1 Tyr + 2 Cys; exact sequence pending</x:v>
      </x:c>
      <x:c r="H28" s="20" t="str">
        <x:v>L</x:v>
      </x:c>
      <x:c r="I28" s="20" t="str">
        <x:v>Cyclic peptide</x:v>
      </x:c>
      <x:c r="J28" s="20"/>
      <x:c r="K28" s="20"/>
      <x:c r="L28" s="20"/>
      <x:c r="M28" s="20"/>
      <x:c r="N28" s="20" t="str">
        <x:v>Red-fluorescent CP-AuNC</x:v>
      </x:c>
      <x:c r="O28" s="20" t="str">
        <x:v>HAuCl4</x:v>
      </x:c>
      <x:c r="P28" s="20" t="str">
        <x:v>100 µL 25 mM HAuCl4 + 1 mL 2 mM cyclodecapeptide</x:v>
      </x:c>
      <x:c r="Q28" s="20" t="str">
        <x:v>Peptide biomineralization / alkaline condition</x:v>
      </x:c>
      <x:c r="R28" s="20"/>
      <x:c r="S28" s="20" t="n">
        <x:v>37</x:v>
      </x:c>
      <x:c r="T28" s="20" t="n">
        <x:v>15</x:v>
      </x:c>
      <x:c r="U28" s="20" t="str">
        <x:v>Vigorous stirring; NaOH 75 µL 0.5 M added after 2 min; sealed 37°C</x:v>
      </x:c>
      <x:c r="V28" s="20"/>
      <x:c r="W28" s="20" t="str">
        <x:v>Red fluorescence; exact peak to extract</x:v>
      </x:c>
      <x:c r="X28" s="20"/>
      <x:c r="Y28" s="20"/>
      <x:c r="Z28" s="20"/>
      <x:c r="AA28" s="20"/>
      <x:c r="AB28" s="20"/>
      <x:c r="AC28" s="20"/>
      <x:c r="AD28" s="20"/>
      <x:c r="AE28" s="20" t="str">
        <x:v>Dual fluorescence/MR imaging after Gd3+ functionalization</x:v>
      </x:c>
      <x:c r="AF28" s="20" t="str">
        <x:v>Direct designed cyclic peptide acts as AuNC template and later Gd3+ chelator; exact peptide sequence must be recovered from structure figure/SI.</x:v>
      </x:c>
      <x:c r="AG28" s="20" t="str">
        <x:v>RSC Supporting Information synthesis</x:v>
      </x:c>
      <x:c r="AH28" s="20" t="str">
        <x:v>https://doi.org/10.1039/C3TB20440E</x:v>
      </x:c>
      <x:c r="AI28" s="24" t="n">
        <x:f>ROUND(100*COUNTA(G28,J28,L28,R28,S28,T28,V28,X28,AA28,AC28)/10,0)</x:f>
        <x:v>30</x:v>
      </x:c>
      <x:c r="AJ28" s="20" t="str">
        <x:v>QC_HOLD</x:v>
      </x:c>
      <x:c r="AK28" s="20" t="str">
        <x:v>INCOMPLETE_SEQUENCE</x:v>
      </x:c>
      <x:c r="AL28" s="20" t="str">
        <x:v>Exact cyclodecapeptide sequence not recovered from searchable text.</x:v>
      </x:c>
      <x:c r="AM28" s="20" t="str">
        <x:v>2026-09-07</x:v>
      </x:c>
      <x:c r="AN28" s="20" t="str">
        <x:v>WEB_PRIMARY+SI</x:v>
      </x:c>
      <x:c r="AO28" s="54" t="n">
        <x:v>1</x:v>
      </x:c>
      <x:c r="AP28" s="20" t="str">
        <x:v>cyclic_single_ligand</x:v>
      </x:c>
      <x:c r="AQ28" s="20" t="str">
        <x:v>PEER_REVIEWED_OR_UPLOADED_PRIMARY</x:v>
      </x:c>
    </x:row>
    <x:row r="29">
      <x:c r="A29" s="20" t="str">
        <x:v>R026</x:v>
      </x:c>
      <x:c r="B29" s="20" t="str">
        <x:v>W03</x:v>
      </x:c>
      <x:c r="C29" s="20" t="str">
        <x:v>A1 DIRECT_PEPTIDE_ATOMIC_AUNC</x:v>
      </x:c>
      <x:c r="D29" s="20" t="str">
        <x:v>DIRECT</x:v>
      </x:c>
      <x:c r="E29" s="20" t="str">
        <x:v>atomically_precise_AuNC</x:v>
      </x:c>
      <x:c r="F29" s="20" t="str">
        <x:v>CCYJNP5 peptide</x:v>
      </x:c>
      <x:c r="G29" s="20" t="str">
        <x:v>CCYLQLQAEER</x:v>
      </x:c>
      <x:c r="H29" s="20" t="str">
        <x:v>L</x:v>
      </x:c>
      <x:c r="I29" s="20" t="str">
        <x:v>C-terminal amide (-NH2)</x:v>
      </x:c>
      <x:c r="J29" s="20" t="n">
        <x:v>21</x:v>
      </x:c>
      <x:c r="K29" s="20"/>
      <x:c r="L29" s="20" t="n">
        <x:v>2</x:v>
      </x:c>
      <x:c r="M29" s="20"/>
      <x:c r="N29" s="20" t="str">
        <x:v>Peptide-conjugated Au21 nanocluster</x:v>
      </x:c>
      <x:c r="O29" s="20" t="str">
        <x:v>HAuCl4</x:v>
      </x:c>
      <x:c r="P29" s="20" t="str">
        <x:v>1 mL 4.428 mM HAuCl4 + 1 mL CCYJNP5; optimized peptide:HAuCl4 = 1:1</x:v>
      </x:c>
      <x:c r="Q29" s="20" t="str">
        <x:v>Peptide self-reduction via Tyr under alkaline pH</x:v>
      </x:c>
      <x:c r="R29" s="20" t="n">
        <x:v>11.5</x:v>
      </x:c>
      <x:c r="S29" s="20" t="n">
        <x:v>25</x:v>
      </x:c>
      <x:c r="T29" s="20" t="n">
        <x:v>18</x:v>
      </x:c>
      <x:c r="U29" s="20" t="str">
        <x:v>Magnetic stirring; 130 µL 1 M NaOH; dialysis MWCO 8000 for 12 h</x:v>
      </x:c>
      <x:c r="V29" s="20" t="n">
        <x:v>640</x:v>
      </x:c>
      <x:c r="W29" s="20" t="str">
        <x:v>λex 380 / λem 640</x:v>
      </x:c>
      <x:c r="X29" s="20" t="n">
        <x:v>2.86</x:v>
      </x:c>
      <x:c r="Y29" s="20"/>
      <x:c r="Z29" s="20"/>
      <x:c r="AA29" s="20"/>
      <x:c r="AB29" s="20"/>
      <x:c r="AC29" s="20"/>
      <x:c r="AD29" s="20"/>
      <x:c r="AE29" s="20" t="str">
        <x:v>FGFR2-targeted tumor-cell imaging</x:v>
      </x:c>
      <x:c r="AF29" s="20" t="str">
        <x:v>MALDI-TOF indicated 21 Au atoms; CCY motif is required for strong fluorescence; ~33% Au(I) at surface.</x:v>
      </x:c>
      <x:c r="AG29" s="20" t="str">
        <x:v>RSC Adv. main text, Methods + Results</x:v>
      </x:c>
      <x:c r="AH29" s="20" t="str">
        <x:v>https://doi.org/10.1039/C5RA20113F</x:v>
      </x:c>
      <x:c r="AI29" s="24" t="n">
        <x:f>ROUND(100*COUNTA(G29,J29,L29,R29,S29,T29,V29,X29,AA29,AC29)/10,0)</x:f>
        <x:v>80</x:v>
      </x:c>
      <x:c r="AJ29" s="20" t="str">
        <x:v>TRAIN_CORE</x:v>
      </x:c>
      <x:c r="AK29" s="20" t="str">
        <x:v>EXACT_FROM_PRIMARY</x:v>
      </x:c>
      <x:c r="AL29" s="20" t="str">
        <x:v>High-value atomic sequence+synthesis+optical record. Group with all same-paper variants in validation.</x:v>
      </x:c>
      <x:c r="AM29" s="20" t="str">
        <x:v>2026-09-07</x:v>
      </x:c>
      <x:c r="AN29" s="20" t="str">
        <x:v>WEB_PRIMARY</x:v>
      </x:c>
      <x:c r="AO29" s="54" t="n">
        <x:v>1</x:v>
      </x:c>
      <x:c r="AP29" s="20" t="str">
        <x:v>single_ligand</x:v>
      </x:c>
      <x:c r="AQ29" s="20" t="str">
        <x:v>PEER_REVIEWED_OR_UPLOADED_PRIMARY</x:v>
      </x:c>
    </x:row>
    <x:row r="30">
      <x:c r="A30" s="20" t="str">
        <x:v>R027</x:v>
      </x:c>
      <x:c r="B30" s="20" t="str">
        <x:v>W04</x:v>
      </x:c>
      <x:c r="C30" s="20" t="str">
        <x:v>A1 DIRECT_PEPTIDE_ATOMIC_AUNC</x:v>
      </x:c>
      <x:c r="D30" s="20" t="str">
        <x:v>DIRECT</x:v>
      </x:c>
      <x:c r="E30" s="20" t="str">
        <x:v>atomically_precise_AuNC</x:v>
      </x:c>
      <x:c r="F30" s="20" t="str">
        <x:v>Integrin-targeting peptide Au cluster</x:v>
      </x:c>
      <x:c r="G30" s="20" t="str">
        <x:v>CONFLICT: CGPDGRDGRDGPDGR (Materials) | CCGPDGRDGRDGRDGR (Results)</x:v>
      </x:c>
      <x:c r="H30" s="20" t="str">
        <x:v>L</x:v>
      </x:c>
      <x:c r="I30" s="20" t="str">
        <x:v>N- and C-termini reported NH2-/ -COOH</x:v>
      </x:c>
      <x:c r="J30" s="20" t="n">
        <x:v>7</x:v>
      </x:c>
      <x:c r="K30" s="20" t="n">
        <x:v>5</x:v>
      </x:c>
      <x:c r="L30" s="20" t="n">
        <x:v>2.85</x:v>
      </x:c>
      <x:c r="M30" s="20"/>
      <x:c r="N30" s="20" t="str">
        <x:v>Au7Peptide5 inferred from MALDI-TOF</x:v>
      </x:c>
      <x:c r="O30" s="20" t="str">
        <x:v>HAuCl4</x:v>
      </x:c>
      <x:c r="P30" s="20" t="str">
        <x:v>6 mg peptide in 1 mL water + 40 µL 25 mM HAuCl4</x:v>
      </x:c>
      <x:c r="Q30" s="20" t="str">
        <x:v>Peptide biomimetic mineralization; NaOH-assisted</x:v>
      </x:c>
      <x:c r="R30" s="20"/>
      <x:c r="S30" s="20" t="n">
        <x:v>55</x:v>
      </x:c>
      <x:c r="T30" s="20" t="n">
        <x:v>12</x:v>
      </x:c>
      <x:c r="U30" s="20" t="str">
        <x:v>5 min after Au addition: 200 µL 0.5 M NaOH; MWCO 3 kDa purification</x:v>
      </x:c>
      <x:c r="V30" s="20" t="n">
        <x:v>420</x:v>
      </x:c>
      <x:c r="W30" s="20" t="str">
        <x:v>λex 330 / λem 420</x:v>
      </x:c>
      <x:c r="X30" s="20"/>
      <x:c r="Y30" s="20"/>
      <x:c r="Z30" s="20"/>
      <x:c r="AA30" s="20"/>
      <x:c r="AB30" s="20"/>
      <x:c r="AC30" s="20"/>
      <x:c r="AD30" s="20"/>
      <x:c r="AE30" s="20" t="str">
        <x:v>Tumor-selective enzyme-like catalysis / apoptosis</x:v>
      </x:c>
      <x:c r="AF30" s="20" t="str">
        <x:v>MALDI peaks assigned Au7SxNay; Au7Peptide5 inferred. HRTEM-derived ~2.85±0.55 nm may be beam-affected.</x:v>
      </x:c>
      <x:c r="AG30" s="20" t="str">
        <x:v>Nanomaterials Methods 2.1–2.3 and Results 3.1</x:v>
      </x:c>
      <x:c r="AH30" s="20" t="str">
        <x:v>https://doi.org/10.3390/nano8121040</x:v>
      </x:c>
      <x:c r="AI30" s="24" t="n">
        <x:f>ROUND(100*COUNTA(G30,J30,L30,R30,S30,T30,V30,X30,AA30,AC30)/10,0)</x:f>
        <x:v>60</x:v>
      </x:c>
      <x:c r="AJ30" s="20" t="str">
        <x:v>QC_HOLD</x:v>
      </x:c>
      <x:c r="AK30" s="20" t="str">
        <x:v>SOURCE_CONFLICT</x:v>
      </x:c>
      <x:c r="AL30" s="20" t="str">
        <x:v>Critical sequence inconsistency inside the primary article; verify typeset PDF/author correction before encoding sequence.</x:v>
      </x:c>
      <x:c r="AM30" s="20" t="str">
        <x:v>2026-09-07</x:v>
      </x:c>
      <x:c r="AN30" s="20" t="str">
        <x:v>WEB_PRIMARY</x:v>
      </x:c>
      <x:c r="AO30" s="54" t="n">
        <x:v>1</x:v>
      </x:c>
      <x:c r="AP30" s="20" t="str">
        <x:v>single_ligand</x:v>
      </x:c>
      <x:c r="AQ30" s="20" t="str">
        <x:v>PEER_REVIEWED_OR_UPLOADED_PRIMARY</x:v>
      </x:c>
    </x:row>
    <x:row r="31">
      <x:c r="A31" s="20" t="str">
        <x:v>R028</x:v>
      </x:c>
      <x:c r="B31" s="20" t="str">
        <x:v>W05</x:v>
      </x:c>
      <x:c r="C31" s="20" t="str">
        <x:v>A1 DIRECT_PEPTIDE_ATOMIC_AUNC</x:v>
      </x:c>
      <x:c r="D31" s="20" t="str">
        <x:v>DIRECT</x:v>
      </x:c>
      <x:c r="E31" s="20" t="str">
        <x:v>atomically_precise_AuNC</x:v>
      </x:c>
      <x:c r="F31" s="20" t="str">
        <x:v>Sv peptide</x:v>
      </x:c>
      <x:c r="G31" s="20" t="str">
        <x:v>CCYGGPKKKRKPG</x:v>
      </x:c>
      <x:c r="H31" s="20" t="str">
        <x:v>L</x:v>
      </x:c>
      <x:c r="I31" s="20" t="str">
        <x:v>NH2- / -COOH</x:v>
      </x:c>
      <x:c r="J31" s="20" t="n">
        <x:v>25</x:v>
      </x:c>
      <x:c r="K31" s="20" t="n">
        <x:v>9</x:v>
      </x:c>
      <x:c r="L31" s="20"/>
      <x:c r="M31" s="20"/>
      <x:c r="N31" s="20" t="str">
        <x:v>Au25Sv9</x:v>
      </x:c>
      <x:c r="O31" s="20" t="str">
        <x:v>HAuCl4</x:v>
      </x:c>
      <x:c r="P31" s="20" t="str">
        <x:v>HAuCl4 25 mM, 16 µL + Sv peptide 1.06 mM, 376 µL</x:v>
      </x:c>
      <x:c r="Q31" s="20" t="str">
        <x:v>Sv peptide as template/reducing agent; NaOH-triggered biomimetic synthesis</x:v>
      </x:c>
      <x:c r="R31" s="20" t="n">
        <x:v>10</x:v>
      </x:c>
      <x:c r="S31" s="20"/>
      <x:c r="T31" s="20" t="n">
        <x:v>15</x:v>
      </x:c>
      <x:c r="U31" s="20" t="str">
        <x:v>Vigorous stirring during Au addition; add 8 µL 0.5 M NaOH within 30 s; seal and keep dark/undisturbed 15 h; dialysis 12 h MWCO 500; ultrafiltration MWCO 3000</x:v>
      </x:c>
      <x:c r="V31" s="20" t="n">
        <x:v>645</x:v>
      </x:c>
      <x:c r="W31" s="20" t="str">
        <x:v>Red fluorescence; emission peak ~645</x:v>
      </x:c>
      <x:c r="X31" s="20"/>
      <x:c r="Y31" s="20"/>
      <x:c r="Z31" s="20"/>
      <x:c r="AA31" s="20"/>
      <x:c r="AB31" s="20"/>
      <x:c r="AC31" s="20"/>
      <x:c r="AD31" s="20"/>
      <x:c r="AE31" s="20" t="str">
        <x:v>Chronic lymphocytic leukemia therapy</x:v>
      </x:c>
      <x:c r="AF31" s="20" t="str">
        <x:v>Atomic Au25Sv9 binds/inhibits thioredoxin reductase 1 and increases oxidative stress in CLL cells.</x:v>
      </x:c>
      <x:c r="AG31" s="20" t="str">
        <x:v>Science Bulletin 2017, Methods §2.2, pp. 538; full-text PDF</x:v>
      </x:c>
      <x:c r="AH31" s="20" t="str">
        <x:v>https://doi.org/10.1016/j.scib.2017.03.024</x:v>
      </x:c>
      <x:c r="AI31" s="24" t="n">
        <x:f>ROUND(100*COUNTA(G31,J31,L31,R31,S31,T31,V31,X31,AA31,AC31)/10,0)</x:f>
        <x:v>50</x:v>
      </x:c>
      <x:c r="AJ31" s="20" t="str">
        <x:v>TRAIN_CORE</x:v>
      </x:c>
      <x:c r="AK31" s="20" t="str">
        <x:v>EXACT_FROM_PRIMARY</x:v>
      </x:c>
      <x:c r="AL31" s="20" t="str">
        <x:v>Full exact synthesis recovered from peer-reviewed primary article. Temperature not explicitly specified for the 15 h dark synthesis, so left blank rather than inferred.</x:v>
      </x:c>
      <x:c r="AM31" s="20" t="str">
        <x:v>2026-09-07</x:v>
      </x:c>
      <x:c r="AN31" s="20" t="str">
        <x:v>WEB_PRIMARY_FULLTEXT</x:v>
      </x:c>
      <x:c r="AO31" s="54" t="n">
        <x:v>1</x:v>
      </x:c>
      <x:c r="AP31" s="20" t="str">
        <x:v>single_ligand</x:v>
      </x:c>
      <x:c r="AQ31" s="20" t="str">
        <x:v>PEER_REVIEWED_PRIMARY_FULLTEXT</x:v>
      </x:c>
    </x:row>
    <x:row r="32">
      <x:c r="A32" s="20" t="str">
        <x:v>R029</x:v>
      </x:c>
      <x:c r="B32" s="20" t="str">
        <x:v>W06</x:v>
      </x:c>
      <x:c r="C32" s="20" t="str">
        <x:v>A2 DIRECT_PEPTIDE_NONPRECISE_AUNC</x:v>
      </x:c>
      <x:c r="D32" s="20" t="str">
        <x:v>DIRECT</x:v>
      </x:c>
      <x:c r="E32" s="20" t="str">
        <x:v>ultrasmall_AuNC_unknown_nuclearity</x:v>
      </x:c>
      <x:c r="F32" s="20" t="str">
        <x:v>DGEAGC oligopeptide</x:v>
      </x:c>
      <x:c r="G32" s="20" t="str">
        <x:v>DGEAGC</x:v>
      </x:c>
      <x:c r="H32" s="20" t="str">
        <x:v>L</x:v>
      </x:c>
      <x:c r="I32" s="20" t="str">
        <x:v>None</x:v>
      </x:c>
      <x:c r="J32" s="20"/>
      <x:c r="K32" s="20"/>
      <x:c r="L32" s="20" t="n">
        <x:v>1.3</x:v>
      </x:c>
      <x:c r="M32" s="20"/>
      <x:c r="N32" s="20" t="str">
        <x:v>Monodispersed ultrasmall peptide-protected AuNC</x:v>
      </x:c>
      <x:c r="O32" s="20" t="str">
        <x:v>HAuCl4</x:v>
      </x:c>
      <x:c r="P32" s="20" t="str">
        <x:v>68 µL HAuCl4 0.2 g/mL + 1.0 mL peptide 50 mg/mL + 17.6 mL water</x:v>
      </x:c>
      <x:c r="Q32" s="20" t="str">
        <x:v>Thermal reduction</x:v>
      </x:c>
      <x:c r="R32" s="20"/>
      <x:c r="S32" s="20" t="n">
        <x:v>70</x:v>
      </x:c>
      <x:c r="T32" s="20" t="n">
        <x:v>2</x:v>
      </x:c>
      <x:c r="U32" s="20" t="str">
        <x:v>Vigorous stirring RT 5 min, then 70°C for 2 h; PAGE purification used for characterization</x:v>
      </x:c>
      <x:c r="V32" s="20" t="n">
        <x:v>600</x:v>
      </x:c>
      <x:c r="W32" s="20" t="str">
        <x:v>λex 400 / λem 600</x:v>
      </x:c>
      <x:c r="X32" s="20"/>
      <x:c r="Y32" s="20" t="n">
        <x:v>400</x:v>
      </x:c>
      <x:c r="Z32" s="20"/>
      <x:c r="AA32" s="20"/>
      <x:c r="AB32" s="20"/>
      <x:c r="AC32" s="20"/>
      <x:c r="AD32" s="20"/>
      <x:c r="AE32" s="20" t="str">
        <x:v>Peroxidase mimic / cell imaging</x:v>
      </x:c>
      <x:c r="AF32" s="20" t="str">
        <x:v>Straightforward one-pot sequence+synthesis+size+optical record; article introduction contains a DGECGC typo but Methods specify DGEAGC.</x:v>
      </x:c>
      <x:c r="AG32" s="20" t="str">
        <x:v>Molecules 2023 Methods 3.1/3.3 + Results 2.1</x:v>
      </x:c>
      <x:c r="AH32" s="20" t="str">
        <x:v>https://doi.org/10.3390/molecules28010070</x:v>
      </x:c>
      <x:c r="AI32" s="24" t="n">
        <x:f>ROUND(100*COUNTA(G32,J32,L32,R32,S32,T32,V32,X32,AA32,AC32)/10,0)</x:f>
        <x:v>50</x:v>
      </x:c>
      <x:c r="AJ32" s="20" t="str">
        <x:v>TRAIN_OPTICAL_SIZE</x:v>
      </x:c>
      <x:c r="AK32" s="20" t="str">
        <x:v>EXACT_FROM_METHODS</x:v>
      </x:c>
      <x:c r="AL32" s="20" t="str">
        <x:v>Use DGEAGC from Materials/Methods; record introduction typo DGECGC in QC log.</x:v>
      </x:c>
      <x:c r="AM32" s="20" t="str">
        <x:v>2026-09-07</x:v>
      </x:c>
      <x:c r="AN32" s="20" t="str">
        <x:v>WEB_PRIMARY</x:v>
      </x:c>
      <x:c r="AO32" s="54" t="n">
        <x:v>1</x:v>
      </x:c>
      <x:c r="AP32" s="20" t="str">
        <x:v>single_ligand</x:v>
      </x:c>
      <x:c r="AQ32" s="20" t="str">
        <x:v>PEER_REVIEWED_OR_UPLOADED_PRIMARY</x:v>
      </x:c>
    </x:row>
    <x:row r="33">
      <x:c r="A33" s="20" t="str">
        <x:v>R030</x:v>
      </x:c>
      <x:c r="B33" s="20" t="str">
        <x:v>W07</x:v>
      </x:c>
      <x:c r="C33" s="20" t="str">
        <x:v>A2 DIRECT_PEPTIDE_NONPRECISE_AUNC</x:v>
      </x:c>
      <x:c r="D33" s="20" t="str">
        <x:v>DIRECT</x:v>
      </x:c>
      <x:c r="E33" s="20" t="str">
        <x:v>ultrasmall_AuNC_unknown_nuclearity</x:v>
      </x:c>
      <x:c r="F33" s="20" t="str">
        <x:v>Cyclic RGD peptide</x:v>
      </x:c>
      <x:c r="G33" s="20" t="str">
        <x:v>c(RGD) / c(RGDyE) family; exact sequence requires SI verification</x:v>
      </x:c>
      <x:c r="H33" s="20" t="str">
        <x:v>L</x:v>
      </x:c>
      <x:c r="I33" s="20" t="str">
        <x:v>Cyclic peptide</x:v>
      </x:c>
      <x:c r="J33" s="20"/>
      <x:c r="K33" s="20"/>
      <x:c r="L33" s="20"/>
      <x:c r="M33" s="20"/>
      <x:c r="N33" s="20" t="str">
        <x:v>RGD-conjugated AuNC</x:v>
      </x:c>
      <x:c r="O33" s="20" t="str">
        <x:v>Chloraurate</x:v>
      </x:c>
      <x:c r="P33" s="20" t="str">
        <x:v>Cyclic RGD used as both reducing and protecting agent</x:v>
      </x:c>
      <x:c r="Q33" s="20" t="str">
        <x:v>Peptide self-reduction under alkaline condition</x:v>
      </x:c>
      <x:c r="R33" s="20"/>
      <x:c r="S33" s="20" t="n">
        <x:v>25</x:v>
      </x:c>
      <x:c r="T33" s="20" t="n">
        <x:v>0.25</x:v>
      </x:c>
      <x:c r="U33" s="20" t="str">
        <x:v>Direct alkaline synthesis; complete in 15 min at room temperature</x:v>
      </x:c>
      <x:c r="V33" s="20"/>
      <x:c r="W33" s="20" t="str">
        <x:v>Fluorescent; exact λ from full paper/SI to extract</x:v>
      </x:c>
      <x:c r="X33" s="20"/>
      <x:c r="Y33" s="20"/>
      <x:c r="Z33" s="20"/>
      <x:c r="AA33" s="20"/>
      <x:c r="AB33" s="20"/>
      <x:c r="AC33" s="20"/>
      <x:c r="AD33" s="20"/>
      <x:c r="AE33" s="20" t="str">
        <x:v>αvβ3-positive melanoma A375 imaging</x:v>
      </x:c>
      <x:c r="AF33" s="20" t="str">
        <x:v>Very fast direct peptide-AuNC synthesis; exact cyclic peptide identity/condition optimization resides in SI.</x:v>
      </x:c>
      <x:c r="AG33" s="20" t="str">
        <x:v>Bioconjugate Chemistry abstract + SI description</x:v>
      </x:c>
      <x:c r="AH33" s="20" t="str">
        <x:v>https://doi.org/10.1021/bc500505c</x:v>
      </x:c>
      <x:c r="AI33" s="24" t="n">
        <x:f>ROUND(100*COUNTA(G33,J33,L33,R33,S33,T33,V33,X33,AA33,AC33)/10,0)</x:f>
        <x:v>30</x:v>
      </x:c>
      <x:c r="AJ33" s="20" t="str">
        <x:v>QC_HOLD</x:v>
      </x:c>
      <x:c r="AK33" s="20" t="str">
        <x:v>PARTIAL_SEQUENCE</x:v>
      </x:c>
      <x:c r="AL33" s="20" t="str">
        <x:v>Acquire SI/full text before model training.</x:v>
      </x:c>
      <x:c r="AM33" s="20" t="str">
        <x:v>2026-09-07</x:v>
      </x:c>
      <x:c r="AN33" s="20" t="str">
        <x:v>WEB_PRIMARY</x:v>
      </x:c>
      <x:c r="AO33" s="54" t="n">
        <x:v>1</x:v>
      </x:c>
      <x:c r="AP33" s="20" t="str">
        <x:v>single_ligand</x:v>
      </x:c>
      <x:c r="AQ33" s="20" t="str">
        <x:v>PEER_REVIEWED_OR_UPLOADED_PRIMARY</x:v>
      </x:c>
    </x:row>
    <x:row r="34">
      <x:c r="A34" s="20" t="str">
        <x:v>R031</x:v>
      </x:c>
      <x:c r="B34" s="20" t="str">
        <x:v>W08</x:v>
      </x:c>
      <x:c r="C34" s="20" t="str">
        <x:v>C1 AUNC_PTT_BENCHMARK</x:v>
      </x:c>
      <x:c r="D34" s="20" t="str">
        <x:v>DIRECT</x:v>
      </x:c>
      <x:c r="E34" s="20" t="str">
        <x:v>ultrasmall_AuNC_unknown_nuclearity</x:v>
      </x:c>
      <x:c r="F34" s="20" t="str">
        <x:v>LHRH analogue-functionalized AuNC</x:v>
      </x:c>
      <x:c r="G34" s="20" t="str">
        <x:v>LHRHa; exact sequence pending primary full text</x:v>
      </x:c>
      <x:c r="H34" s="20" t="str">
        <x:v>L</x:v>
      </x:c>
      <x:c r="I34" s="20" t="str">
        <x:v>Post-synthesis peptide functionalization</x:v>
      </x:c>
      <x:c r="J34" s="20"/>
      <x:c r="K34" s="20"/>
      <x:c r="L34" s="20"/>
      <x:c r="M34" s="20"/>
      <x:c r="N34" s="20" t="str">
        <x:v>PEI-modified AuNC + LHRHa nanosystem</x:v>
      </x:c>
      <x:c r="O34" s="20"/>
      <x:c r="P34" s="20" t="str">
        <x:v>PEI-AuNC combined with LHRH analogue</x:v>
      </x:c>
      <x:c r="Q34" s="20"/>
      <x:c r="R34" s="20"/>
      <x:c r="S34" s="20"/>
      <x:c r="T34" s="20"/>
      <x:c r="U34" s="20" t="str">
        <x:v>Post-functionalized targeting nanosystem</x:v>
      </x:c>
      <x:c r="V34" s="20"/>
      <x:c r="W34" s="20"/>
      <x:c r="X34" s="20"/>
      <x:c r="Y34" s="20"/>
      <x:c r="Z34" s="20"/>
      <x:c r="AA34" s="20"/>
      <x:c r="AB34" s="20"/>
      <x:c r="AC34" s="20"/>
      <x:c r="AD34" s="20"/>
      <x:c r="AE34" s="20" t="str">
        <x:v>Targeted prostate-cancer FL/CT + PTT</x:v>
      </x:c>
      <x:c r="AF34" s="20" t="str">
        <x:v>Useful peptide-functionalized AuNC PTT benchmark, but not a peptide-templated atomic-nuclearity training record.</x:v>
      </x:c>
      <x:c r="AG34" s="20" t="str">
        <x:v>J. Mater. Chem. B abstract</x:v>
      </x:c>
      <x:c r="AH34" s="20" t="str">
        <x:v>https://doi.org/10.1039/D2TB00531J</x:v>
      </x:c>
      <x:c r="AI34" s="24" t="n">
        <x:f>ROUND(100*COUNTA(G34,J34,L34,R34,S34,T34,V34,X34,AA34,AC34)/10,0)</x:f>
        <x:v>10</x:v>
      </x:c>
      <x:c r="AJ34" s="20" t="str">
        <x:v>BENCHMARK_ONLY</x:v>
      </x:c>
      <x:c r="AK34" s="20" t="str">
        <x:v>INCOMPLETE_SEQUENCE</x:v>
      </x:c>
      <x:c r="AL34" s="20" t="str">
        <x:v>Need exact LHRHa identity and laser/PCE/heating data from full primary paper.</x:v>
      </x:c>
      <x:c r="AM34" s="20" t="str">
        <x:v>2026-09-07</x:v>
      </x:c>
      <x:c r="AN34" s="20" t="str">
        <x:v>WEB_PRIMARY</x:v>
      </x:c>
      <x:c r="AO34" s="54"/>
      <x:c r="AP34" s="20" t="str">
        <x:v>single_ligand</x:v>
      </x:c>
      <x:c r="AQ34" s="20" t="str">
        <x:v>PEER_REVIEWED_OR_UPLOADED_PRIMARY</x:v>
      </x:c>
    </x:row>
    <x:row r="35">
      <x:c r="A35" s="20" t="str">
        <x:v>R032</x:v>
      </x:c>
      <x:c r="B35" s="20" t="str">
        <x:v>W09</x:v>
      </x:c>
      <x:c r="C35" s="20" t="str">
        <x:v>A2 DIRECT_PEPTIDE_NONPRECISE_AUNC</x:v>
      </x:c>
      <x:c r="D35" s="20" t="str">
        <x:v>DIRECT</x:v>
      </x:c>
      <x:c r="E35" s="20" t="str">
        <x:v>ultrasmall_AuNC_unknown_nuclearity</x:v>
      </x:c>
      <x:c r="F35" s="20" t="str">
        <x:v>CMMMMM peptide</x:v>
      </x:c>
      <x:c r="G35" s="20" t="str">
        <x:v>CMMMMM</x:v>
      </x:c>
      <x:c r="H35" s="20" t="str">
        <x:v>L</x:v>
      </x:c>
      <x:c r="I35" s="20" t="str">
        <x:v>None</x:v>
      </x:c>
      <x:c r="J35" s="20"/>
      <x:c r="K35" s="20"/>
      <x:c r="L35" s="20"/>
      <x:c r="M35" s="20"/>
      <x:c r="N35" s="20" t="str">
        <x:v>Peptide-coated fluorescent AuNC</x:v>
      </x:c>
      <x:c r="O35" s="20" t="str">
        <x:v>Gold precursor; exact SI protocol pending</x:v>
      </x:c>
      <x:c r="P35" s="20" t="str">
        <x:v>Screened peptide synthesis</x:v>
      </x:c>
      <x:c r="Q35" s="20"/>
      <x:c r="R35" s="20"/>
      <x:c r="S35" s="20"/>
      <x:c r="T35" s="20"/>
      <x:c r="U35" s="20" t="str">
        <x:v>Exact synthesis conditions in Supporting Information</x:v>
      </x:c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str">
        <x:v>Protein/serum discrimination</x:v>
      </x:c>
      <x:c r="AF35" s="20" t="str">
        <x:v>CMMMMM-AuNC fluorescence intensity was 230% higher than CYYYYY comparator; &gt;90% fluorescence remained after 60 min UV vs &lt;30% for CYYYYY.</x:v>
      </x:c>
      <x:c r="AG35" s="20" t="str">
        <x:v>Analytical Chemistry abstract</x:v>
      </x:c>
      <x:c r="AH35" s="20" t="str">
        <x:v>https://doi.org/10.1021/acs.analchem.9b03463</x:v>
      </x:c>
      <x:c r="AI35" s="24" t="n">
        <x:f>ROUND(100*COUNTA(G35,J35,L35,R35,S35,T35,V35,X35,AA35,AC35)/10,0)</x:f>
        <x:v>10</x:v>
      </x:c>
      <x:c r="AJ35" s="20" t="str">
        <x:v>QC_HOLD</x:v>
      </x:c>
      <x:c r="AK35" s="20" t="str">
        <x:v>EXACT_FROM_PRIMARY</x:v>
      </x:c>
      <x:c r="AL35" s="20" t="str">
        <x:v>Strong sequence-effect pair, but exact synthesis variables must be extracted before training.</x:v>
      </x:c>
      <x:c r="AM35" s="20" t="str">
        <x:v>2026-09-07</x:v>
      </x:c>
      <x:c r="AN35" s="20" t="str">
        <x:v>WEB_PRIMARY</x:v>
      </x:c>
      <x:c r="AO35" s="54" t="n">
        <x:v>1</x:v>
      </x:c>
      <x:c r="AP35" s="20" t="str">
        <x:v>single_ligand</x:v>
      </x:c>
      <x:c r="AQ35" s="20" t="str">
        <x:v>PEER_REVIEWED_OR_UPLOADED_PRIMARY</x:v>
      </x:c>
    </x:row>
    <x:row r="36">
      <x:c r="A36" s="20" t="str">
        <x:v>R033</x:v>
      </x:c>
      <x:c r="B36" s="20" t="str">
        <x:v>W09</x:v>
      </x:c>
      <x:c r="C36" s="20" t="str">
        <x:v>A2 DIRECT_PEPTIDE_NONPRECISE_AUNC</x:v>
      </x:c>
      <x:c r="D36" s="20" t="str">
        <x:v>DIRECT</x:v>
      </x:c>
      <x:c r="E36" s="20" t="str">
        <x:v>ultrasmall_AuNC_unknown_nuclearity</x:v>
      </x:c>
      <x:c r="F36" s="20" t="str">
        <x:v>CYYYYY comparator</x:v>
      </x:c>
      <x:c r="G36" s="20" t="str">
        <x:v>CYYYYY</x:v>
      </x:c>
      <x:c r="H36" s="20" t="str">
        <x:v>L</x:v>
      </x:c>
      <x:c r="I36" s="20" t="str">
        <x:v>None</x:v>
      </x:c>
      <x:c r="J36" s="20"/>
      <x:c r="K36" s="20"/>
      <x:c r="L36" s="20"/>
      <x:c r="M36" s="20"/>
      <x:c r="N36" s="20" t="str">
        <x:v>Comparator peptide-coated AuNC</x:v>
      </x:c>
      <x:c r="O36" s="20" t="str">
        <x:v>Gold precursor; exact SI protocol pending</x:v>
      </x:c>
      <x:c r="P36" s="20" t="str">
        <x:v>Comparator peptide synthesis</x:v>
      </x:c>
      <x:c r="Q36" s="20"/>
      <x:c r="R36" s="20"/>
      <x:c r="S36" s="20"/>
      <x:c r="T36" s="20"/>
      <x:c r="U36" s="20" t="str">
        <x:v>Exact synthesis conditions in Supporting Information</x:v>
      </x:c>
      <x:c r="V36" s="20"/>
      <x:c r="W36" s="20"/>
      <x:c r="X36" s="20"/>
      <x:c r="Y36" s="20"/>
      <x:c r="Z36" s="20"/>
      <x:c r="AA36" s="20"/>
      <x:c r="AB36" s="20"/>
      <x:c r="AC36" s="20"/>
      <x:c r="AD36" s="20"/>
      <x:c r="AE36" s="20" t="str">
        <x:v>Comparator for fluorescence/stability</x:v>
      </x:c>
      <x:c r="AF36" s="20" t="str">
        <x:v>Matched comparator to CMMMMM; lower fluorescence and markedly poorer UV photostability.</x:v>
      </x:c>
      <x:c r="AG36" s="20" t="str">
        <x:v>Analytical Chemistry abstract</x:v>
      </x:c>
      <x:c r="AH36" s="20" t="str">
        <x:v>https://doi.org/10.1021/acs.analchem.9b03463</x:v>
      </x:c>
      <x:c r="AI36" s="24" t="n">
        <x:f>ROUND(100*COUNTA(G36,J36,L36,R36,S36,T36,V36,X36,AA36,AC36)/10,0)</x:f>
        <x:v>10</x:v>
      </x:c>
      <x:c r="AJ36" s="20" t="str">
        <x:v>QC_HOLD</x:v>
      </x:c>
      <x:c r="AK36" s="20" t="str">
        <x:v>EXACT_FROM_PRIMARY</x:v>
      </x:c>
      <x:c r="AL36" s="20" t="str">
        <x:v>Paired comparator is highly informative once SI synthesis variables are obtained.</x:v>
      </x:c>
      <x:c r="AM36" s="20" t="str">
        <x:v>2026-09-07</x:v>
      </x:c>
      <x:c r="AN36" s="20" t="str">
        <x:v>WEB_PRIMARY</x:v>
      </x:c>
      <x:c r="AO36" s="54" t="n">
        <x:v>1</x:v>
      </x:c>
      <x:c r="AP36" s="20" t="str">
        <x:v>single_ligand</x:v>
      </x:c>
      <x:c r="AQ36" s="20" t="str">
        <x:v>PEER_REVIEWED_OR_UPLOADED_PRIMARY</x:v>
      </x:c>
    </x:row>
    <x:row r="37">
      <x:c r="A37" s="20" t="str">
        <x:v>R034</x:v>
      </x:c>
      <x:c r="B37" s="20" t="str">
        <x:v>W10</x:v>
      </x:c>
      <x:c r="C37" s="20" t="str">
        <x:v>A2 DIRECT_PEPTIDE_NONPRECISE_AUNC</x:v>
      </x:c>
      <x:c r="D37" s="20" t="str">
        <x:v>DIRECT</x:v>
      </x:c>
      <x:c r="E37" s="20" t="str">
        <x:v>ultrasmall_AuNC_unknown_nuclearity</x:v>
      </x:c>
      <x:c r="F37" s="20" t="str">
        <x:v>Y-containing peptide-motif library</x:v>
      </x:c>
      <x:c r="G37" s="20" t="str">
        <x:v>Multiple CCY-containing designed peptides</x:v>
      </x:c>
      <x:c r="H37" s="20" t="str">
        <x:v>L</x:v>
      </x:c>
      <x:c r="I37" s="20" t="str">
        <x:v>Sequence panel / permutations</x:v>
      </x:c>
      <x:c r="J37" s="20"/>
      <x:c r="K37" s="20"/>
      <x:c r="L37" s="20"/>
      <x:c r="M37" s="20"/>
      <x:c r="N37" s="20" t="str">
        <x:v>Peptide-AuNC sequence-panel study</x:v>
      </x:c>
      <x:c r="O37" s="20" t="str">
        <x:v>Gold ions</x:v>
      </x:c>
      <x:c r="P37" s="20" t="str">
        <x:v>Series of tyrosine-containing peptide motifs built around CCY core sequence</x:v>
      </x:c>
      <x:c r="Q37" s="20" t="str">
        <x:v>Peptide serves as reducing + protecting ligand</x:v>
      </x:c>
      <x:c r="R37" s="20"/>
      <x:c r="S37" s="20"/>
      <x:c r="T37" s="20"/>
      <x:c r="U37" s="20" t="str">
        <x:v>One-step real-time fluorescence monitoring</x:v>
      </x:c>
      <x:c r="V37" s="20"/>
      <x:c r="W37" s="20" t="str">
        <x:v>Red fluorescent optimized P-AuNC; exact peak requires full text/SI</x:v>
      </x:c>
      <x:c r="X37" s="20" t="n">
        <x:v>18</x:v>
      </x:c>
      <x:c r="Y37" s="20"/>
      <x:c r="Z37" s="20"/>
      <x:c r="AA37" s="20"/>
      <x:c r="AB37" s="20"/>
      <x:c r="AC37" s="20"/>
      <x:c r="AD37" s="20"/>
      <x:c r="AE37" s="20" t="str">
        <x:v>Temperature/Hg2+ sensing; cell labeling/imaging</x:v>
      </x:c>
      <x:c r="AF37" s="20" t="str">
        <x:v>Study reports ~18% quantum yield and demonstrates that peptide motifs and permutations/combinations modulate reaction products and optical properties.</x:v>
      </x:c>
      <x:c r="AG37" s="20" t="str">
        <x:v>ScienceDirect abstract/highlights</x:v>
      </x:c>
      <x:c r="AH37" s="20" t="str">
        <x:v>https://doi.org/10.1016/j.colsurfb.2022.112820</x:v>
      </x:c>
      <x:c r="AI37" s="24" t="n">
        <x:f>ROUND(100*COUNTA(G37,J37,L37,R37,S37,T37,V37,X37,AA37,AC37)/10,0)</x:f>
        <x:v>20</x:v>
      </x:c>
      <x:c r="AJ37" s="20" t="str">
        <x:v>SEQUENCE_PANEL_PENDING</x:v>
      </x:c>
      <x:c r="AK37" s="20" t="str">
        <x:v>MULTIPLE_EXACT_SEQUENCES_IN_LIBRARY</x:v>
      </x:c>
      <x:c r="AL37" s="20" t="str">
        <x:v>Per-sequence outcome and condition mapping still required before row-level ML training.</x:v>
      </x:c>
      <x:c r="AM37" s="20" t="str">
        <x:v>2026-09-07</x:v>
      </x:c>
      <x:c r="AN37" s="20" t="str">
        <x:v>WEB_PRIMARY</x:v>
      </x:c>
      <x:c r="AO37" s="54" t="n">
        <x:v>1</x:v>
      </x:c>
      <x:c r="AP37" s="20" t="str">
        <x:v>single_ligand</x:v>
      </x:c>
      <x:c r="AQ37" s="20" t="str">
        <x:v>PEER_REVIEWED_OR_UPLOADED_PRIMARY</x:v>
      </x:c>
    </x:row>
    <x:row r="38">
      <x:c r="A38" s="20" t="str">
        <x:v>R035</x:v>
      </x:c>
      <x:c r="B38" s="20" t="str">
        <x:v>W16</x:v>
      </x:c>
      <x:c r="C38" s="20" t="str">
        <x:v>A2 DIRECT_PEPTIDE_NONPRECISE_AUNC</x:v>
      </x:c>
      <x:c r="D38" s="20" t="str">
        <x:v>DIRECT</x:v>
      </x:c>
      <x:c r="E38" s="20" t="str">
        <x:v>silver_doped_gold_nanocluster</x:v>
      </x:c>
      <x:c r="F38" s="20" t="str">
        <x:v>DCG tripeptide-stabilized Ag-doped AuNC</x:v>
      </x:c>
      <x:c r="G38" s="20" t="str">
        <x:v>DCG</x:v>
      </x:c>
      <x:c r="H38" s="20" t="str">
        <x:v>L</x:v>
      </x:c>
      <x:c r="I38" s="20" t="str">
        <x:v>Tripeptide ligand</x:v>
      </x:c>
      <x:c r="J38" s="20"/>
      <x:c r="K38" s="20"/>
      <x:c r="L38" s="20"/>
      <x:c r="M38" s="20"/>
      <x:c r="N38" s="20" t="str">
        <x:v>Silver-doped peptide-stabilized gold nanocluster</x:v>
      </x:c>
      <x:c r="O38" s="20"/>
      <x:c r="P38" s="20" t="str">
        <x:v>DCG tripeptide; one-step green synthesis</x:v>
      </x:c>
      <x:c r="Q38" s="20" t="str">
        <x:v>Peptide-templated</x:v>
      </x:c>
      <x:c r="R38" s="20"/>
      <x:c r="S38" s="20"/>
      <x:c r="T38" s="20"/>
      <x:c r="U38" s="20" t="str">
        <x:v>One-step green synthesis; exact nanocluster synthesis values require article/SI extraction</x:v>
      </x:c>
      <x:c r="V38" s="20"/>
      <x:c r="W38" s="20"/>
      <x:c r="X38" s="20"/>
      <x:c r="Y38" s="20"/>
      <x:c r="Z38" s="20"/>
      <x:c r="AA38" s="20"/>
      <x:c r="AB38" s="20"/>
      <x:c r="AC38" s="20"/>
      <x:c r="AD38" s="20"/>
      <x:c r="AE38" s="20" t="str">
        <x:v>Bioimaging + photodynamic therapy</x:v>
      </x:c>
      <x:c r="AF38" s="20" t="str">
        <x:v>2023 primary study reports two tripeptide-stabilized silver-doped gold nanoclusters with inherent photosensitizing activity for cancer imaging/PDT.</x:v>
      </x:c>
      <x:c r="AG38" s="20" t="str">
        <x:v>ACS Sustainable Chem. Eng. abstract + SI landing page</x:v>
      </x:c>
      <x:c r="AH38" s="20" t="str">
        <x:v>https://doi.org/10.1021/acssuschemeng.2c04857</x:v>
      </x:c>
      <x:c r="AI38" s="24" t="n">
        <x:f>ROUND(100*COUNTA(G38,J38,L38,R38,S38,T38,V38,X38,AA38,AC38)/10,0)</x:f>
        <x:v>10</x:v>
      </x:c>
      <x:c r="AJ38" s="20" t="str">
        <x:v>THERAPY_ADJACENT</x:v>
      </x:c>
      <x:c r="AK38" s="20" t="str">
        <x:v>EXACT_FROM_SI</x:v>
      </x:c>
      <x:c r="AL38" s="20" t="str">
        <x:v>Different material regime because of Ag doping; use as auxiliary therapeutic evidence, not core pure-AuNC training.</x:v>
      </x:c>
      <x:c r="AM38" s="20" t="str">
        <x:v>2026-09-07</x:v>
      </x:c>
      <x:c r="AN38" s="20" t="str">
        <x:v>WEB_PRIMARY+SI</x:v>
      </x:c>
      <x:c r="AO38" s="54" t="n">
        <x:v>1</x:v>
      </x:c>
      <x:c r="AP38" s="20" t="str">
        <x:v>single_ligand_doped_system</x:v>
      </x:c>
      <x:c r="AQ38" s="20" t="str">
        <x:v>PEER_REVIEWED_OR_UPLOADED_PRIMARY</x:v>
      </x:c>
    </x:row>
    <x:row r="39">
      <x:c r="A39" s="20" t="str">
        <x:v>R036</x:v>
      </x:c>
      <x:c r="B39" s="20" t="str">
        <x:v>W16</x:v>
      </x:c>
      <x:c r="C39" s="20" t="str">
        <x:v>A2 DIRECT_PEPTIDE_NONPRECISE_AUNC</x:v>
      </x:c>
      <x:c r="D39" s="20" t="str">
        <x:v>DIRECT</x:v>
      </x:c>
      <x:c r="E39" s="20" t="str">
        <x:v>silver_doped_gold_nanocluster</x:v>
      </x:c>
      <x:c r="F39" s="20" t="str">
        <x:v>DCS tripeptide-stabilized Ag-doped AuNC</x:v>
      </x:c>
      <x:c r="G39" s="20" t="str">
        <x:v>DCS</x:v>
      </x:c>
      <x:c r="H39" s="20" t="str">
        <x:v>L</x:v>
      </x:c>
      <x:c r="I39" s="20" t="str">
        <x:v>Tripeptide ligand</x:v>
      </x:c>
      <x:c r="J39" s="20"/>
      <x:c r="K39" s="20"/>
      <x:c r="L39" s="20"/>
      <x:c r="M39" s="20"/>
      <x:c r="N39" s="20" t="str">
        <x:v>Silver-doped peptide-stabilized gold nanocluster</x:v>
      </x:c>
      <x:c r="O39" s="20"/>
      <x:c r="P39" s="20" t="str">
        <x:v>DCS tripeptide; one-step green synthesis</x:v>
      </x:c>
      <x:c r="Q39" s="20" t="str">
        <x:v>Peptide-templated</x:v>
      </x:c>
      <x:c r="R39" s="20"/>
      <x:c r="S39" s="20"/>
      <x:c r="T39" s="20"/>
      <x:c r="U39" s="20" t="str">
        <x:v>One-step green synthesis; exact nanocluster synthesis values require article/SI extraction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 t="str">
        <x:v>Bioimaging + photodynamic therapy</x:v>
      </x:c>
      <x:c r="AF39" s="20" t="str">
        <x:v>Companion tripeptide system in the same 2023 primary study; useful for sequence-composition and therapy-aware feature development.</x:v>
      </x:c>
      <x:c r="AG39" s="20" t="str">
        <x:v>ACS Sustainable Chem. Eng. abstract + SI landing page</x:v>
      </x:c>
      <x:c r="AH39" s="20" t="str">
        <x:v>https://doi.org/10.1021/acssuschemeng.2c04857</x:v>
      </x:c>
      <x:c r="AI39" s="24" t="n">
        <x:f>ROUND(100*COUNTA(G39,J39,L39,R39,S39,T39,V39,X39,AA39,AC39)/10,0)</x:f>
        <x:v>10</x:v>
      </x:c>
      <x:c r="AJ39" s="20" t="str">
        <x:v>THERAPY_ADJACENT</x:v>
      </x:c>
      <x:c r="AK39" s="20" t="str">
        <x:v>EXACT_FROM_SI</x:v>
      </x:c>
      <x:c r="AL39" s="20" t="str">
        <x:v>Different material regime because of Ag doping; use as auxiliary therapeutic evidence, not core pure-AuNC training.</x:v>
      </x:c>
      <x:c r="AM39" s="20" t="str">
        <x:v>2026-09-07</x:v>
      </x:c>
      <x:c r="AN39" s="20" t="str">
        <x:v>WEB_PRIMARY+SI</x:v>
      </x:c>
      <x:c r="AO39" s="54" t="n">
        <x:v>1</x:v>
      </x:c>
      <x:c r="AP39" s="20" t="str">
        <x:v>single_ligand_doped_system</x:v>
      </x:c>
      <x:c r="AQ39" s="20" t="str">
        <x:v>PEER_REVIEWED_OR_UPLOADED_PRIMARY</x:v>
      </x:c>
    </x:row>
    <x:row r="40">
      <x:c r="A40" s="20" t="str">
        <x:v>R037</x:v>
      </x:c>
      <x:c r="B40" s="20" t="str">
        <x:v>W17</x:v>
      </x:c>
      <x:c r="C40" s="20" t="str">
        <x:v>A2 DIRECT_PEPTIDE_NONPRECISE_AUNC</x:v>
      </x:c>
      <x:c r="D40" s="20" t="str">
        <x:v>DIRECT</x:v>
      </x:c>
      <x:c r="E40" s="20" t="str">
        <x:v>ultrasmall_AuNC_unknown_nuclearity</x:v>
      </x:c>
      <x:c r="F40" s="20" t="str">
        <x:v>K4-AuNC dual-peptide system</x:v>
      </x:c>
      <x:c r="G40" s="20" t="str">
        <x:v>KRKC-NH2 + γ-ECG</x:v>
      </x:c>
      <x:c r="H40" s="20" t="str">
        <x:v>L</x:v>
      </x:c>
      <x:c r="I40" s="20" t="str">
        <x:v>KRKC C-terminal amide + reduced GSH</x:v>
      </x:c>
      <x:c r="J40" s="20"/>
      <x:c r="K40" s="20"/>
      <x:c r="L40" s="20" t="n">
        <x:v>1.8</x:v>
      </x:c>
      <x:c r="M40" s="20" t="n">
        <x:v>2.3</x:v>
      </x:c>
      <x:c r="N40" s="20" t="str">
        <x:v>Ultrasmall core-shell peptide-stabilized AuNC</x:v>
      </x:c>
      <x:c r="O40" s="20" t="str">
        <x:v>HAuCl4</x:v>
      </x:c>
      <x:c r="P40" s="20" t="str">
        <x:v>HAuCl4 20 mM 400 µL + KRKC-NH2 20 mM 600 µL + GSH 20 mM 200 µL; Au:KRKC:GSH = 2:3:1</x:v>
      </x:c>
      <x:c r="Q40" s="20" t="str">
        <x:v>No separate reductant reported; synergistic peptide stabilization</x:v>
      </x:c>
      <x:c r="R40" s="20"/>
      <x:c r="S40" s="20" t="n">
        <x:v>70</x:v>
      </x:c>
      <x:c r="T40" s="20" t="n">
        <x:v>34</x:v>
      </x:c>
      <x:c r="U40" s="20" t="str">
        <x:v>Mix components under stirring 2 min; then 70°C 34 h; purify with 10 kDa ultrafiltration</x:v>
      </x:c>
      <x:c r="V40" s="20" t="n">
        <x:v>600</x:v>
      </x:c>
      <x:c r="W40" s="20" t="str">
        <x:v>λex 400 / λem 600</x:v>
      </x:c>
      <x:c r="X40" s="20" t="n">
        <x:v>21</x:v>
      </x:c>
      <x:c r="Y40" s="20" t="n">
        <x:v>400</x:v>
      </x:c>
      <x:c r="Z40" s="20" t="n">
        <x:v>6.7</x:v>
      </x:c>
      <x:c r="AA40" s="20"/>
      <x:c r="AB40" s="20"/>
      <x:c r="AC40" s="20"/>
      <x:c r="AD40" s="20"/>
      <x:c r="AE40" s="20" t="str">
        <x:v>Nucleic-acid staining, sensing and gene transfection</x:v>
      </x:c>
      <x:c r="AF40" s="20" t="str">
        <x:v>Peer-reviewed dual-ligand AuNC: 1.8 nm core, 2.3 nm hydrodynamic diameter, 21% QY. The article explicitly reports synergistic KRKC-NH2 + GSH stabilization.</x:v>
      </x:c>
      <x:c r="AG40" s="20" t="str">
        <x:v>Particle &amp; Particle Systems Characterization 2019, Results + Experimental Section</x:v>
      </x:c>
      <x:c r="AH40" s="20" t="str">
        <x:v>https://doi.org/10.1002/ppsc.201900281</x:v>
      </x:c>
      <x:c r="AI40" s="24" t="n">
        <x:f>ROUND(100*COUNTA(G40,J40,L40,R40,S40,T40,V40,X40,AA40,AC40)/10,0)</x:f>
        <x:v>60</x:v>
      </x:c>
      <x:c r="AJ40" s="20" t="str">
        <x:v>TRAIN_OPTICAL_SIZE_MULTI_LIGAND</x:v>
      </x:c>
      <x:c r="AK40" s="20" t="str">
        <x:v>EXACT_MULTI_LIGAND</x:v>
      </x:c>
      <x:c r="AL40" s="20" t="str">
        <x:v>Multi-ligand system requires a ligand-set encoder rather than sequence concatenation. Zeta 6.7±0.4 mV in TAE; 4.7±0.1 mV in PBS.</x:v>
      </x:c>
      <x:c r="AM40" s="20" t="str">
        <x:v>2026-09-07</x:v>
      </x:c>
      <x:c r="AN40" s="20" t="str">
        <x:v>WEB_PRIMARY_FULLTEXT</x:v>
      </x:c>
      <x:c r="AO40" s="54" t="n">
        <x:v>1</x:v>
      </x:c>
      <x:c r="AP40" s="20" t="str">
        <x:v>multi_ligand</x:v>
      </x:c>
      <x:c r="AQ40" s="20" t="str">
        <x:v>PEER_REVIEWED_PRIMARY_FULLTEXT</x:v>
      </x:c>
    </x:row>
    <x:row r="41">
      <x:c r="A41" s="20" t="str">
        <x:v>R038</x:v>
      </x:c>
      <x:c r="B41" s="20" t="str">
        <x:v>W17</x:v>
      </x:c>
      <x:c r="C41" s="20" t="str">
        <x:v>A2 DIRECT_PEPTIDE_NONPRECISE_AUNC</x:v>
      </x:c>
      <x:c r="D41" s="20" t="str">
        <x:v>DIRECT</x:v>
      </x:c>
      <x:c r="E41" s="20" t="str">
        <x:v>no_AuNC_formation</x:v>
      </x:c>
      <x:c r="F41" s="20" t="str">
        <x:v>K4-AuNC control — KRKC deleted</x:v>
      </x:c>
      <x:c r="G41" s="20" t="str">
        <x:v>γ-ECG</x:v>
      </x:c>
      <x:c r="H41" s="20" t="str">
        <x:v>L</x:v>
      </x:c>
      <x:c r="I41" s="20" t="str">
        <x:v>GSH only under K4 study condition</x:v>
      </x:c>
      <x:c r="J41" s="20"/>
      <x:c r="K41" s="20"/>
      <x:c r="L41" s="20"/>
      <x:c r="M41" s="20"/>
      <x:c r="N41" s="20" t="str">
        <x:v>No gold nanocluster obtained</x:v>
      </x:c>
      <x:c r="O41" s="20" t="str">
        <x:v>HAuCl4</x:v>
      </x:c>
      <x:c r="P41" s="20" t="str">
        <x:v>Optimized K4 recipe with KRKC-NH2 removed; GSH retained</x:v>
      </x:c>
      <x:c r="Q41" s="20" t="str">
        <x:v>No separate reductant reported</x:v>
      </x:c>
      <x:c r="R41" s="20"/>
      <x:c r="S41" s="20" t="n">
        <x:v>70</x:v>
      </x:c>
      <x:c r="T41" s="20" t="n">
        <x:v>34</x:v>
      </x:c>
      <x:c r="U41" s="20" t="str">
        <x:v>Same study-level optimized synthesis context; one stabilizing peptide deleted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str">
        <x:v>Formation control</x:v>
      </x:c>
      <x:c r="AF41" s="20" t="str">
        <x:v>Control experiment: no gold nanoclusters were obtained when KRKC-NH2 was deleted from the optimized dual-peptide recipe.</x:v>
      </x:c>
      <x:c r="AG41" s="20" t="str">
        <x:v>Particle &amp; Particle Systems Characterization 2019, Results p.2</x:v>
      </x:c>
      <x:c r="AH41" s="20" t="str">
        <x:v>https://doi.org/10.1002/ppsc.201900281</x:v>
      </x:c>
      <x:c r="AI41" s="24" t="n">
        <x:f>ROUND(100*COUNTA(G41,J41,L41,R41,S41,T41,V41,X41,AA41,AC41)/10,0)</x:f>
        <x:v>30</x:v>
      </x:c>
      <x:c r="AJ41" s="20" t="str">
        <x:v>FORMATION_NEGATIVE</x:v>
      </x:c>
      <x:c r="AK41" s="20" t="str">
        <x:v>EXACT_CONTROL_COMPONENT</x:v>
      </x:c>
      <x:c r="AL41" s="20" t="str">
        <x:v>High-value explicit negative. Do not generalize to 'GSH can never form AuNCs'; this is conditional on this specific recipe.</x:v>
      </x:c>
      <x:c r="AM41" s="20" t="str">
        <x:v>2026-09-07</x:v>
      </x:c>
      <x:c r="AN41" s="20" t="str">
        <x:v>WEB_PRIMARY_FULLTEXT</x:v>
      </x:c>
      <x:c r="AO41" s="54" t="n">
        <x:v>0</x:v>
      </x:c>
      <x:c r="AP41" s="20" t="str">
        <x:v>single_remaining_ligand_control</x:v>
      </x:c>
      <x:c r="AQ41" s="20" t="str">
        <x:v>PEER_REVIEWED_PRIMARY_FULLTEXT</x:v>
      </x:c>
    </x:row>
    <x:row r="42">
      <x:c r="A42" s="20" t="str">
        <x:v>R039</x:v>
      </x:c>
      <x:c r="B42" s="20" t="str">
        <x:v>W17</x:v>
      </x:c>
      <x:c r="C42" s="20" t="str">
        <x:v>A2 DIRECT_PEPTIDE_NONPRECISE_AUNC</x:v>
      </x:c>
      <x:c r="D42" s="20" t="str">
        <x:v>DIRECT</x:v>
      </x:c>
      <x:c r="E42" s="20" t="str">
        <x:v>no_AuNC_formation</x:v>
      </x:c>
      <x:c r="F42" s="20" t="str">
        <x:v>K4-AuNC control — GSH deleted</x:v>
      </x:c>
      <x:c r="G42" s="20" t="str">
        <x:v>KRKC</x:v>
      </x:c>
      <x:c r="H42" s="20" t="str">
        <x:v>L</x:v>
      </x:c>
      <x:c r="I42" s="20" t="str">
        <x:v>KRKC-NH2 only under K4 study condition</x:v>
      </x:c>
      <x:c r="J42" s="20"/>
      <x:c r="K42" s="20"/>
      <x:c r="L42" s="20"/>
      <x:c r="M42" s="20"/>
      <x:c r="N42" s="20" t="str">
        <x:v>No gold nanocluster obtained</x:v>
      </x:c>
      <x:c r="O42" s="20" t="str">
        <x:v>HAuCl4</x:v>
      </x:c>
      <x:c r="P42" s="20" t="str">
        <x:v>Optimized K4 recipe with GSH removed; KRKC-NH2 retained</x:v>
      </x:c>
      <x:c r="Q42" s="20" t="str">
        <x:v>No separate reductant reported</x:v>
      </x:c>
      <x:c r="R42" s="20"/>
      <x:c r="S42" s="20" t="n">
        <x:v>70</x:v>
      </x:c>
      <x:c r="T42" s="20" t="n">
        <x:v>34</x:v>
      </x:c>
      <x:c r="U42" s="20" t="str">
        <x:v>Same study-level optimized synthesis context; one stabilizing peptide deleted</x:v>
      </x:c>
      <x:c r="V42" s="20"/>
      <x:c r="W42" s="20"/>
      <x:c r="X42" s="20"/>
      <x:c r="Y42" s="20"/>
      <x:c r="Z42" s="20"/>
      <x:c r="AA42" s="20"/>
      <x:c r="AB42" s="20"/>
      <x:c r="AC42" s="20"/>
      <x:c r="AD42" s="20"/>
      <x:c r="AE42" s="20" t="str">
        <x:v>Formation control</x:v>
      </x:c>
      <x:c r="AF42" s="20" t="str">
        <x:v>Control experiment: no gold nanoclusters were obtained when GSH was deleted from the optimized dual-peptide recipe.</x:v>
      </x:c>
      <x:c r="AG42" s="20" t="str">
        <x:v>Particle &amp; Particle Systems Characterization 2019, Results p.2</x:v>
      </x:c>
      <x:c r="AH42" s="20" t="str">
        <x:v>https://doi.org/10.1002/ppsc.201900281</x:v>
      </x:c>
      <x:c r="AI42" s="24" t="n">
        <x:f>ROUND(100*COUNTA(G42,J42,L42,R42,S42,T42,V42,X42,AA42,AC42)/10,0)</x:f>
        <x:v>30</x:v>
      </x:c>
      <x:c r="AJ42" s="20" t="str">
        <x:v>FORMATION_NEGATIVE</x:v>
      </x:c>
      <x:c r="AK42" s="20" t="str">
        <x:v>EXACT_CONTROL_COMPONENT</x:v>
      </x:c>
      <x:c r="AL42" s="20" t="str">
        <x:v>Condition-specific negative. Particularly valuable because a different KCK peptide can form AuNCs under another synthesis route.</x:v>
      </x:c>
      <x:c r="AM42" s="20" t="str">
        <x:v>2026-09-07</x:v>
      </x:c>
      <x:c r="AN42" s="20" t="str">
        <x:v>WEB_PRIMARY_FULLTEXT</x:v>
      </x:c>
      <x:c r="AO42" s="54" t="n">
        <x:v>0</x:v>
      </x:c>
      <x:c r="AP42" s="20" t="str">
        <x:v>single_remaining_ligand_control</x:v>
      </x:c>
      <x:c r="AQ42" s="20" t="str">
        <x:v>PEER_REVIEWED_PRIMARY_FULLTEXT</x:v>
      </x:c>
    </x:row>
    <x:row r="43">
      <x:c r="A43" s="20" t="str">
        <x:v>R040</x:v>
      </x:c>
      <x:c r="B43" s="20" t="str">
        <x:v>W18</x:v>
      </x:c>
      <x:c r="C43" s="20" t="str">
        <x:v>A2 DIRECT_PEPTIDE_NONPRECISE_AUNC</x:v>
      </x:c>
      <x:c r="D43" s="20" t="str">
        <x:v>PATENT_DIRECT</x:v>
      </x:c>
      <x:c r="E43" s="20" t="str">
        <x:v>ultrasmall_AuNC_unknown_nuclearity</x:v>
      </x:c>
      <x:c r="F43" s="20" t="str">
        <x:v>KCK-AuNC</x:v>
      </x:c>
      <x:c r="G43" s="20" t="str">
        <x:v>KCK</x:v>
      </x:c>
      <x:c r="H43" s="20" t="str">
        <x:v>L</x:v>
      </x:c>
      <x:c r="I43" s="20" t="str">
        <x:v>None</x:v>
      </x:c>
      <x:c r="J43" s="20"/>
      <x:c r="K43" s="20"/>
      <x:c r="L43" s="20" t="n">
        <x:v>2.1</x:v>
      </x:c>
      <x:c r="M43" s="20"/>
      <x:c r="N43" s="20" t="str">
        <x:v>Red fluorescent KCK-protected AuNC</x:v>
      </x:c>
      <x:c r="O43" s="20" t="str">
        <x:v>HAuCl4</x:v>
      </x:c>
      <x:c r="P43" s="20" t="str">
        <x:v>20 mM KCK 500 µL + 20 mM TCEP 500 µL; heat 70°C 10 min; add 20 mM HAuCl4 500 µL; 70°C 15 min</x:v>
      </x:c>
      <x:c r="Q43" s="20" t="str">
        <x:v>TCEP + NaBH4; patent specifies NaBH4 stock 0.1 mM</x:v>
      </x:c>
      <x:c r="R43" s="20"/>
      <x:c r="S43" s="20" t="n">
        <x:v>70</x:v>
      </x:c>
      <x:c r="T43" s="20" t="n">
        <x:v>12</x:v>
      </x:c>
      <x:c r="U43" s="20" t="str">
        <x:v>After preheating, remove from bath; stir 300 rpm; add 50 µL 1.5 M NaOH and 8 µL NaBH4; dilute Au to 2 mM; 70°C 12 h; 8000 rpm 5 min; 10 kDa UF</x:v>
      </x:c>
      <x:c r="V43" s="20" t="n">
        <x:v>680</x:v>
      </x:c>
      <x:c r="W43" s="20" t="str">
        <x:v>600–800</x:v>
      </x:c>
      <x:c r="X43" s="20" t="n">
        <x:v>12</x:v>
      </x:c>
      <x:c r="Y43" s="20" t="n">
        <x:v>500</x:v>
      </x:c>
      <x:c r="Z43" s="20"/>
      <x:c r="AA43" s="20"/>
      <x:c r="AB43" s="20"/>
      <x:c r="AC43" s="20"/>
      <x:c r="AD43" s="20"/>
      <x:c r="AE43" s="20" t="str">
        <x:v>Nucleolus-targeted fluorescence imaging</x:v>
      </x:c>
      <x:c r="AF43" s="20" t="str">
        <x:v>Patent Example 1 reports size 1.8–2.8 nm (mean 2.1 nm), absorption ~500 nm, λex 480 nm, λem 680 nm and 12% QY.</x:v>
      </x:c>
      <x:c r="AG43" s="20" t="str">
        <x:v>CN106010513A, Example 1</x:v>
      </x:c>
      <x:c r="AH43" s="20" t="str">
        <x:v>https://patents.google.com/patent/CN106010513A/en</x:v>
      </x:c>
      <x:c r="AI43" s="24" t="n">
        <x:f>ROUND(100*COUNTA(G43,J43,L43,R43,S43,T43,V43,X43,AA43,AC43)/10,0)</x:f>
        <x:v>60</x:v>
      </x:c>
      <x:c r="AJ43" s="20" t="str">
        <x:v>TRAIN_OPTICAL_SIZE_PATENT</x:v>
      </x:c>
      <x:c r="AK43" s="20" t="str">
        <x:v>EXACT_FROM_PATENT</x:v>
      </x:c>
      <x:c r="AL43" s="20" t="str">
        <x:v>Patent-backed experimental record. Track separately from peer-reviewed evidence; do not use patents alone for final external-validation claims.</x:v>
      </x:c>
      <x:c r="AM43" s="20" t="str">
        <x:v>2026-09-07</x:v>
      </x:c>
      <x:c r="AN43" s="20" t="str">
        <x:v>PATENT_PRIMARY</x:v>
      </x:c>
      <x:c r="AO43" s="54" t="n">
        <x:v>1</x:v>
      </x:c>
      <x:c r="AP43" s="20" t="str">
        <x:v>single_ligand</x:v>
      </x:c>
      <x:c r="AQ43" s="20" t="str">
        <x:v>PATENT_PRIMARY</x:v>
      </x:c>
    </x:row>
    <x:row r="44">
      <x:c r="A44" s="20" t="str">
        <x:v>R041</x:v>
      </x:c>
      <x:c r="B44" s="20" t="str">
        <x:v>W19</x:v>
      </x:c>
      <x:c r="C44" s="20" t="str">
        <x:v>A2 DIRECT_PEPTIDE_NONPRECISE_AUNC</x:v>
      </x:c>
      <x:c r="D44" s="20" t="str">
        <x:v>PATENT_DIRECT</x:v>
      </x:c>
      <x:c r="E44" s="20" t="str">
        <x:v>ultrasmall_AuNC_unknown_nuclearity</x:v>
      </x:c>
      <x:c r="F44" s="20" t="str">
        <x:v>KRKC+GSH-AuNC</x:v>
      </x:c>
      <x:c r="G44" s="20" t="str">
        <x:v>KRKC + γ-ECG</x:v>
      </x:c>
      <x:c r="H44" s="20" t="str">
        <x:v>L</x:v>
      </x:c>
      <x:c r="I44" s="20" t="str">
        <x:v>Dual peptide ligands</x:v>
      </x:c>
      <x:c r="J44" s="20"/>
      <x:c r="K44" s="20"/>
      <x:c r="L44" s="20" t="n">
        <x:v>1.9</x:v>
      </x:c>
      <x:c r="M44" s="20"/>
      <x:c r="N44" s="20" t="str">
        <x:v>Red fluorescent dual-peptide AuNC</x:v>
      </x:c>
      <x:c r="O44" s="20" t="str">
        <x:v>HAuCl4</x:v>
      </x:c>
      <x:c r="P44" s="20" t="str">
        <x:v>20 mM KRKC 450 µL + 20 mM GSH 150 µL + 20 mM HAuCl4 300 µL; dilute final Au to 2 mM</x:v>
      </x:c>
      <x:c r="Q44" s="20" t="str">
        <x:v>Peptide-stabilized hydrothermal route</x:v>
      </x:c>
      <x:c r="R44" s="20"/>
      <x:c r="S44" s="20"/>
      <x:c r="T44" s="20" t="n">
        <x:v>12</x:v>
      </x:c>
      <x:c r="U44" s="20" t="str">
        <x:v>Constant water bath 70–80°C for 12 h; centrifuge macromolecular material; 10 kDa ultrafiltration or dialysis/solvent precipitation</x:v>
      </x:c>
      <x:c r="V44" s="20" t="n">
        <x:v>586</x:v>
      </x:c>
      <x:c r="W44" s="20" t="str">
        <x:v>500–750</x:v>
      </x:c>
      <x:c r="X44" s="20" t="n">
        <x:v>7</x:v>
      </x:c>
      <x:c r="Y44" s="20" t="n">
        <x:v>400</x:v>
      </x:c>
      <x:c r="Z44" s="20"/>
      <x:c r="AA44" s="20"/>
      <x:c r="AB44" s="20"/>
      <x:c r="AC44" s="20"/>
      <x:c r="AD44" s="20"/>
      <x:c r="AE44" s="20" t="str">
        <x:v>Nucleolus-targeted fluorescence imaging</x:v>
      </x:c>
      <x:c r="AF44" s="20" t="str">
        <x:v>Patent reports 1.5–2.8 nm range, mean 1.9 nm, absorption ~400 nm, λex 400 nm, λem ~586 nm, QY 7%.</x:v>
      </x:c>
      <x:c r="AG44" s="20" t="str">
        <x:v>CN106085420A, Example 1 / claims</x:v>
      </x:c>
      <x:c r="AH44" s="20" t="str">
        <x:v>https://patents.google.com/patent/CN106085420A/en</x:v>
      </x:c>
      <x:c r="AI44" s="24" t="n">
        <x:f>ROUND(100*COUNTA(G44,J44,L44,R44,S44,T44,V44,X44,AA44,AC44)/10,0)</x:f>
        <x:v>50</x:v>
      </x:c>
      <x:c r="AJ44" s="20" t="str">
        <x:v>TRAIN_OPTICAL_SIZE_MULTI_LIGAND_PATENT</x:v>
      </x:c>
      <x:c r="AK44" s="20" t="str">
        <x:v>EXACT_MULTI_LIGAND</x:v>
      </x:c>
      <x:c r="AL44" s="20" t="str">
        <x:v>Patent reports a 70–80°C reaction range rather than one exact temperature. Numeric Temperature_C is intentionally blank; the exact range is preserved in Mixing_or_Process. Prefer peer-reviewed W17 record for validation.</x:v>
      </x:c>
      <x:c r="AM44" s="20" t="str">
        <x:v>2026-09-07</x:v>
      </x:c>
      <x:c r="AN44" s="20" t="str">
        <x:v>PATENT_PRIMARY</x:v>
      </x:c>
      <x:c r="AO44" s="54" t="n">
        <x:v>1</x:v>
      </x:c>
      <x:c r="AP44" s="20" t="str">
        <x:v>multi_ligand</x:v>
      </x:c>
      <x:c r="AQ44" s="20" t="str">
        <x:v>PATENT_PRIMARY</x:v>
      </x:c>
    </x:row>
    <x:row r="45">
      <x:c r="A45" s="20" t="str">
        <x:v>R042</x:v>
      </x:c>
      <x:c r="B45" s="20" t="str">
        <x:v>W20</x:v>
      </x:c>
      <x:c r="C45" s="20" t="str">
        <x:v>A2 DIRECT_PEPTIDE_NONPRECISE_AUNC</x:v>
      </x:c>
      <x:c r="D45" s="20" t="str">
        <x:v>PATENT_DIRECT</x:v>
      </x:c>
      <x:c r="E45" s="20" t="str">
        <x:v>ultrasmall_AuNC_unknown_nuclearity</x:v>
      </x:c>
      <x:c r="F45" s="20" t="str">
        <x:v>AuNCs-TAT</x:v>
      </x:c>
      <x:c r="G45" s="20" t="str">
        <x:v>CYRGRKKRRQRRR</x:v>
      </x:c>
      <x:c r="H45" s="20" t="str">
        <x:v>L</x:v>
      </x:c>
      <x:c r="I45" s="20" t="str">
        <x:v>Post-synthesis TAT modification on GSH-AuNC</x:v>
      </x:c>
      <x:c r="J45" s="20"/>
      <x:c r="K45" s="20"/>
      <x:c r="L45" s="20" t="n">
        <x:v>1.9</x:v>
      </x:c>
      <x:c r="M45" s="20"/>
      <x:c r="N45" s="20" t="str">
        <x:v>TAT/GSH-modified AuNC</x:v>
      </x:c>
      <x:c r="O45" s="20" t="str">
        <x:v>HAuCl4</x:v>
      </x:c>
      <x:c r="P45" s="20" t="str">
        <x:v>GSH-AuNC core synthesized first; then 10 mM TAT added at Au:TAT 1:0.04–0.08 depending example</x:v>
      </x:c>
      <x:c r="Q45" s="20" t="str">
        <x:v>GSH-mediated alkaline synthesis; no separate final TAT reductant</x:v>
      </x:c>
      <x:c r="R45" s="20" t="n">
        <x:v>11</x:v>
      </x:c>
      <x:c r="S45" s="20" t="n">
        <x:v>37</x:v>
      </x:c>
      <x:c r="T45" s="20" t="n">
        <x:v>27</x:v>
      </x:c>
      <x:c r="U45" s="20" t="str">
        <x:v>GSH + HAuCl4; adjust pH 10–12; first dark stirring; organic-solvent precipitation; add TAT and dark-stir 10–24 h; reprecipitate</x:v>
      </x:c>
      <x:c r="V45" s="20" t="n">
        <x:v>650</x:v>
      </x:c>
      <x:c r="W45" s="20"/>
      <x:c r="X45" s="20"/>
      <x:c r="Y45" s="20"/>
      <x:c r="Z45" s="20"/>
      <x:c r="AA45" s="20" t="n">
        <x:v>808</x:v>
      </x:c>
      <x:c r="AB45" s="20" t="n">
        <x:v>1.5</x:v>
      </x:c>
      <x:c r="AC45" s="20"/>
      <x:c r="AD45" s="20" t="n">
        <x:v>15</x:v>
      </x:c>
      <x:c r="AE45" s="20" t="str">
        <x:v>NIR-triggered photodynamic therapy (PDT), including hypoxic tumor context</x:v>
      </x:c>
      <x:c r="AF45" s="20" t="str">
        <x:v>Patent reports AuNCs-TAT size ~1.9±0.4 nm, λex 370 nm, λem 650 nm and ROS generation under 808 nm irradiation. This is PDT evidence, not PTT.</x:v>
      </x:c>
      <x:c r="AG45" s="20" t="str">
        <x:v>CN111956808A, description/examples</x:v>
      </x:c>
      <x:c r="AH45" s="20" t="str">
        <x:v>https://patents.google.com/patent/CN111956808A/en</x:v>
      </x:c>
      <x:c r="AI45" s="24" t="n">
        <x:f>ROUND(100*COUNTA(G45,J45,L45,R45,S45,T45,V45,X45,AA45,AC45)/10,0)</x:f>
        <x:v>70</x:v>
      </x:c>
      <x:c r="AJ45" s="20" t="str">
        <x:v>PDT_ADJACENT</x:v>
      </x:c>
      <x:c r="AK45" s="20" t="str">
        <x:v>EXACT_FROM_PATENT</x:v>
      </x:c>
      <x:c r="AL45" s="20" t="str">
        <x:v>Do not use 808 nm irradiation as a photothermal label: the patent explicitly frames the mechanism as ROS-generating photodynamic therapy.</x:v>
      </x:c>
      <x:c r="AM45" s="20" t="str">
        <x:v>2026-09-07</x:v>
      </x:c>
      <x:c r="AN45" s="20" t="str">
        <x:v>PATENT_PRIMARY</x:v>
      </x:c>
      <x:c r="AO45" s="54" t="n">
        <x:v>1</x:v>
      </x:c>
      <x:c r="AP45" s="20" t="str">
        <x:v>postfunctionalized_multi_ligand</x:v>
      </x:c>
      <x:c r="AQ45" s="20" t="str">
        <x:v>PATENT_PRIMARY</x:v>
      </x:c>
    </x:row>
    <x:row r="46">
      <x:c r="A46" s="20" t="str">
        <x:v>R043</x:v>
      </x:c>
      <x:c r="B46" s="20" t="str">
        <x:v>W21</x:v>
      </x:c>
      <x:c r="C46" s="20" t="str">
        <x:v>A2 DIRECT_PEPTIDE_NONPRECISE_AUNC</x:v>
      </x:c>
      <x:c r="D46" s="20" t="str">
        <x:v>PATENT_DIRECT</x:v>
      </x:c>
      <x:c r="E46" s="20" t="str">
        <x:v>ultrasmall_AuNC_unknown_nuclearity</x:v>
      </x:c>
      <x:c r="F46" s="20" t="str">
        <x:v>Anti-FLT1 peptide AuNC (AF@AuNCs)</x:v>
      </x:c>
      <x:c r="G46" s="20" t="str">
        <x:v>CGNQWFI</x:v>
      </x:c>
      <x:c r="H46" s="20" t="str">
        <x:v>L</x:v>
      </x:c>
      <x:c r="I46" s="20" t="str">
        <x:v>None</x:v>
      </x:c>
      <x:c r="J46" s="20"/>
      <x:c r="K46" s="20"/>
      <x:c r="L46" s="20" t="n">
        <x:v>2</x:v>
      </x:c>
      <x:c r="M46" s="20"/>
      <x:c r="N46" s="20" t="str">
        <x:v>Anti-FLT1 peptide-mediated AuNC</x:v>
      </x:c>
      <x:c r="O46" s="20" t="str">
        <x:v>HAuCl4</x:v>
      </x:c>
      <x:c r="P46" s="20" t="str">
        <x:v>34.68 mg Anti-FLT1 in 15 mL water + 100 µL 100 mM HAuCl4; reported Au:peptide preferred ratio 1:4</x:v>
      </x:c>
      <x:c r="Q46" s="20" t="str">
        <x:v>One-pot peptide-mediated synthesis</x:v>
      </x:c>
      <x:c r="R46" s="20"/>
      <x:c r="S46" s="20" t="n">
        <x:v>70</x:v>
      </x:c>
      <x:c r="T46" s="20" t="n">
        <x:v>8</x:v>
      </x:c>
      <x:c r="U46" s="20" t="str">
        <x:v>Mix at 25°C for 5 min; then 70°C 8 h; 10 kDa ultrafiltration; 10000 rpm 20 min</x:v>
      </x:c>
      <x:c r="V46" s="20" t="n">
        <x:v>605</x:v>
      </x:c>
      <x:c r="W46" s="20" t="str">
        <x:v>575–635</x:v>
      </x:c>
      <x:c r="X46" s="20"/>
      <x:c r="Y46" s="20" t="n">
        <x:v>330</x:v>
      </x:c>
      <x:c r="Z46" s="20"/>
      <x:c r="AA46" s="20"/>
      <x:c r="AB46" s="20"/>
      <x:c r="AC46" s="20"/>
      <x:c r="AD46" s="20"/>
      <x:c r="AE46" s="20" t="str">
        <x:v>Anti-angiogenesis + photodynamic therapy</x:v>
      </x:c>
      <x:c r="AF46" s="20" t="str">
        <x:v>Patent reports ~2 nm AF@AuNCs, excitation/absorption near 330 nm and emission peak 605 nm; peptide sequence is CGNQWFI.</x:v>
      </x:c>
      <x:c r="AG46" s="20" t="str">
        <x:v>CN112618714B, Example 1 + optical characterization</x:v>
      </x:c>
      <x:c r="AH46" s="20" t="str">
        <x:v>https://patents.google.com/patent/CN112618714B/en</x:v>
      </x:c>
      <x:c r="AI46" s="24" t="n">
        <x:f>ROUND(100*COUNTA(G46,J46,L46,R46,S46,T46,V46,X46,AA46,AC46)/10,0)</x:f>
        <x:v>50</x:v>
      </x:c>
      <x:c r="AJ46" s="20" t="str">
        <x:v>PDT_ADJACENT</x:v>
      </x:c>
      <x:c r="AK46" s="20" t="str">
        <x:v>EXACT_FROM_PATENT</x:v>
      </x:c>
      <x:c r="AL46" s="20" t="str">
        <x:v>Cancer-therapy relevant, but mechanism is PDT/antiangiogenesis rather than PTT; keep outside PTT regression.</x:v>
      </x:c>
      <x:c r="AM46" s="20" t="str">
        <x:v>2026-09-07</x:v>
      </x:c>
      <x:c r="AN46" s="20" t="str">
        <x:v>PATENT_PRIMARY</x:v>
      </x:c>
      <x:c r="AO46" s="54" t="n">
        <x:v>1</x:v>
      </x:c>
      <x:c r="AP46" s="20" t="str">
        <x:v>single_ligand</x:v>
      </x:c>
      <x:c r="AQ46" s="20" t="str">
        <x:v>PATENT_PRIMARY</x:v>
      </x:c>
    </x:row>
  </x:sheetData>
  <x:conditionalFormatting sqref="AO4:AO46">
    <x:cfRule type="expression" dxfId="6" priority="1">
      <x:formula>AO4=0</x:formula>
    </x:cfRule>
    <x:cfRule type="expression" dxfId="7" priority="2">
      <x:formula>AO4=1</x:formula>
    </x:cfRule>
  </x:conditionalFormatting>
  <x:conditionalFormatting sqref="AQ4:AQ46">
    <x:cfRule type="expression" dxfId="8" priority="3">
      <x:formula>AQ4="PATENT_PRIMARY"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9a57e2e4f6445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30" hidden="0" customWidth="1"/>
    <x:col min="5" max="5" width="50" hidden="0" customWidth="1"/>
    <x:col min="6" max="6" width="10" hidden="0" customWidth="1"/>
    <x:col min="7" max="7" width="10" hidden="0" customWidth="1"/>
    <x:col min="8" max="8" width="12" hidden="0" customWidth="1"/>
    <x:col min="9" max="9" width="30" hidden="0" customWidth="1"/>
    <x:col min="10" max="10" width="70" hidden="0" customWidth="1"/>
  </x:cols>
  <x:sheetData>
    <x:row r="1">
      <x:c r="A1" s="48" t="str">
        <x:v>Peptide Sequence Library v0.4 — Single-, Multi-Ligand and Therapeutic Sequences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>
      <x:c r="A2"/>
      <x:c r="B2"/>
      <x:c r="C2"/>
      <x:c r="D2"/>
      <x:c r="E2"/>
      <x:c r="F2"/>
      <x:c r="G2"/>
      <x:c r="H2"/>
      <x:c r="I2"/>
      <x:c r="J2"/>
    </x:row>
    <x:row r="3">
      <x:c r="A3" s="53" t="str">
        <x:v>Seq_ID</x:v>
      </x:c>
      <x:c r="B3" s="53" t="str">
        <x:v>Sequence</x:v>
      </x:c>
      <x:c r="C3" s="53" t="str">
        <x:v>Source_Key</x:v>
      </x:c>
      <x:c r="D3" s="53" t="str">
        <x:v>Source_Evidence</x:v>
      </x:c>
      <x:c r="E3" s="53" t="str">
        <x:v>Role_or_Motif</x:v>
      </x:c>
      <x:c r="F3" s="53" t="str">
        <x:v>Ex_nm</x:v>
      </x:c>
      <x:c r="G3" s="53" t="str">
        <x:v>Em_nm</x:v>
      </x:c>
      <x:c r="H3" s="53" t="str">
        <x:v>PLQY_pct</x:v>
      </x:c>
      <x:c r="I3" s="53" t="str">
        <x:v>Training_Status</x:v>
      </x:c>
      <x:c r="J3" s="53" t="str">
        <x:v>Notes</x:v>
      </x:c>
    </x:row>
    <x:row r="4">
      <x:c r="A4" s="20" t="str">
        <x:v>Q001</x:v>
      </x:c>
      <x:c r="B4" s="20" t="str">
        <x:v>γ-ECG</x:v>
      </x:c>
      <x:c r="C4" s="20" t="str">
        <x:v>S14/S10</x:v>
      </x:c>
      <x:c r="D4" s="20" t="str">
        <x:v>UPLOADED PRIMARY</x:v>
      </x:c>
      <x:c r="E4" s="20" t="str">
        <x:v>Glutathione; thiol-rich atomic AuNC ligand</x:v>
      </x:c>
      <x:c r="F4" s="20" t="n">
        <x:v>808</x:v>
      </x:c>
      <x:c r="G4" s="20" t="n">
        <x:v>925</x:v>
      </x:c>
      <x:c r="H4" s="20" t="n">
        <x:v>0.16</x:v>
      </x:c>
      <x:c r="I4" s="20" t="str">
        <x:v>TRAINABLE IN SOURCE CONTEXT</x:v>
      </x:c>
      <x:c r="J4" s="20" t="str">
        <x:v>Au22(SG)18 direct atomic record; other GSH clusters must remain separate by nuclearity/protocol.</x:v>
      </x:c>
    </x:row>
    <x:row r="5">
      <x:c r="A5" s="20" t="str">
        <x:v>Q002</x:v>
      </x:c>
      <x:c r="B5" s="20" t="str">
        <x:v>CCYLQLQAEER</x:v>
      </x:c>
      <x:c r="C5" s="20" t="str">
        <x:v>W03</x:v>
      </x:c>
      <x:c r="D5" s="20" t="str">
        <x:v>WEB PRIMARY</x:v>
      </x:c>
      <x:c r="E5" s="20" t="str">
        <x:v>CCY mineralization + FGFR2-targeting JNP5</x:v>
      </x:c>
      <x:c r="F5" s="20" t="n">
        <x:v>380</x:v>
      </x:c>
      <x:c r="G5" s="20" t="n">
        <x:v>640</x:v>
      </x:c>
      <x:c r="H5" s="20" t="n">
        <x:v>2.86</x:v>
      </x:c>
      <x:c r="I5" s="20" t="str">
        <x:v>TRAIN_CORE</x:v>
      </x:c>
      <x:c r="J5" s="20" t="str">
        <x:v>Au21; one of the strongest current sequence+synthesis+atomic-property records.</x:v>
      </x:c>
    </x:row>
    <x:row r="6">
      <x:c r="A6" s="20" t="str">
        <x:v>Q003</x:v>
      </x:c>
      <x:c r="B6" s="20" t="str">
        <x:v>CCYGGPKKKRKVG</x:v>
      </x:c>
      <x:c r="C6" s="20" t="str">
        <x:v>W01</x:v>
      </x:c>
      <x:c r="D6" s="20" t="str">
        <x:v>WEB PRIMARY</x:v>
      </x:c>
      <x:c r="E6" s="20" t="str">
        <x:v>CCY mineralization + nuclear localization</x:v>
      </x:c>
      <x:c r="F6" s="20" t="n">
        <x:v>320</x:v>
      </x:c>
      <x:c r="G6" s="20" t="n">
        <x:v>405</x:v>
      </x:c>
      <x:c r="H6" s="20"/>
      <x:c r="I6" s="20" t="str">
        <x:v>QC_HOLD</x:v>
      </x:c>
      <x:c r="J6" s="20" t="str">
        <x:v>Same peptide also yields red λex/λem 560/657 under different conditions.</x:v>
      </x:c>
    </x:row>
    <x:row r="7">
      <x:c r="A7" s="20" t="str">
        <x:v>Q004</x:v>
      </x:c>
      <x:c r="B7" s="20" t="str">
        <x:v>CCYGGPKKKRKVG</x:v>
      </x:c>
      <x:c r="C7" s="20" t="str">
        <x:v>W01</x:v>
      </x:c>
      <x:c r="D7" s="20" t="str">
        <x:v>WEB PRIMARY</x:v>
      </x:c>
      <x:c r="E7" s="20" t="str">
        <x:v>Same sequence, alternate synthesis context</x:v>
      </x:c>
      <x:c r="F7" s="20" t="n">
        <x:v>560</x:v>
      </x:c>
      <x:c r="G7" s="20" t="n">
        <x:v>657</x:v>
      </x:c>
      <x:c r="H7" s="20"/>
      <x:c r="I7" s="20" t="str">
        <x:v>QC_HOLD</x:v>
      </x:c>
      <x:c r="J7" s="20" t="str">
        <x:v>Paired condition-dependent optical outcome; exact condition set required.</x:v>
      </x:c>
    </x:row>
    <x:row r="8">
      <x:c r="A8" s="20" t="str">
        <x:v>Q005</x:v>
      </x:c>
      <x:c r="B8" s="20" t="str">
        <x:v>CCYGGPKKKRKPG</x:v>
      </x:c>
      <x:c r="C8" s="20" t="str">
        <x:v>W05</x:v>
      </x:c>
      <x:c r="D8" s="20" t="str">
        <x:v>WEB PRIMARY</x:v>
      </x:c>
      <x:c r="E8" s="20" t="str">
        <x:v>Positively charged Sv cancer-therapeutic peptide</x:v>
      </x:c>
      <x:c r="F8" s="20"/>
      <x:c r="G8" s="20" t="n">
        <x:v>645</x:v>
      </x:c>
      <x:c r="H8" s="20"/>
      <x:c r="I8" s="20" t="str">
        <x:v>TRAIN_STRUCTURE_ONLY</x:v>
      </x:c>
      <x:c r="J8" s="20" t="str">
        <x:v>Au25Sv9. Treat as distinct from CCYGGPKKKRKVG and cluster sequences together during validation.</x:v>
      </x:c>
    </x:row>
    <x:row r="9">
      <x:c r="A9" s="20" t="str">
        <x:v>Q006</x:v>
      </x:c>
      <x:c r="B9" s="20" t="str">
        <x:v>DGEAGC</x:v>
      </x:c>
      <x:c r="C9" s="20" t="str">
        <x:v>W06</x:v>
      </x:c>
      <x:c r="D9" s="20" t="str">
        <x:v>WEB PRIMARY</x:v>
      </x:c>
      <x:c r="E9" s="20" t="str">
        <x:v>Biofunctional DGEA + terminal GC cluster-binding motif</x:v>
      </x:c>
      <x:c r="F9" s="20" t="n">
        <x:v>400</x:v>
      </x:c>
      <x:c r="G9" s="20" t="n">
        <x:v>600</x:v>
      </x:c>
      <x:c r="H9" s="20"/>
      <x:c r="I9" s="20" t="str">
        <x:v>TRAIN_OPTICAL_SIZE</x:v>
      </x:c>
      <x:c r="J9" s="20" t="str">
        <x:v>~1.3 nm; Methods specify DGEAGC despite an intro typo.</x:v>
      </x:c>
    </x:row>
    <x:row r="10">
      <x:c r="A10" s="20" t="str">
        <x:v>Q007</x:v>
      </x:c>
      <x:c r="B10" s="20" t="str">
        <x:v>CMMMMM</x:v>
      </x:c>
      <x:c r="C10" s="20" t="str">
        <x:v>W09</x:v>
      </x:c>
      <x:c r="D10" s="20" t="str">
        <x:v>WEB PRIMARY</x:v>
      </x:c>
      <x:c r="E10" s="20" t="str">
        <x:v>Cys-Met-rich screened fluorescence/stability peptide</x:v>
      </x:c>
      <x:c r="F10" s="20"/>
      <x:c r="G10" s="20"/>
      <x:c r="H10" s="20"/>
      <x:c r="I10" s="20" t="str">
        <x:v>QC_HOLD</x:v>
      </x:c>
      <x:c r="J10" s="20" t="str">
        <x:v>230% fluorescence increase vs CYYYYY; SI synthesis needed.</x:v>
      </x:c>
    </x:row>
    <x:row r="11">
      <x:c r="A11" s="20" t="str">
        <x:v>Q008</x:v>
      </x:c>
      <x:c r="B11" s="20" t="str">
        <x:v>CYYYYY</x:v>
      </x:c>
      <x:c r="C11" s="20" t="str">
        <x:v>W09</x:v>
      </x:c>
      <x:c r="D11" s="20" t="str">
        <x:v>WEB PRIMARY</x:v>
      </x:c>
      <x:c r="E11" s="20" t="str">
        <x:v>Cys-Tyr comparator</x:v>
      </x:c>
      <x:c r="F11" s="20"/>
      <x:c r="G11" s="20"/>
      <x:c r="H11" s="20"/>
      <x:c r="I11" s="20" t="str">
        <x:v>QC_HOLD</x:v>
      </x:c>
      <x:c r="J11" s="20" t="str">
        <x:v>Matched comparator to CMMMMM.</x:v>
      </x:c>
    </x:row>
    <x:row r="12">
      <x:c r="A12" s="20" t="str">
        <x:v>Q009</x:v>
      </x:c>
      <x:c r="B12" s="20" t="str">
        <x:v>KFFAAKCCYKFFAAKCCYKFFAAK</x:v>
      </x:c>
      <x:c r="C12" s="20" t="str">
        <x:v>W10</x:v>
      </x:c>
      <x:c r="D12" s="20" t="str">
        <x:v>ABSTRACT/REVIEW-DERIVED PRIMARY LEAD</x:v>
      </x:c>
      <x:c r="E12" s="20" t="str">
        <x:v>Repeated self-assembly + CCY motifs</x:v>
      </x:c>
      <x:c r="F12" s="20"/>
      <x:c r="G12" s="20"/>
      <x:c r="H12" s="20"/>
      <x:c r="I12" s="20" t="str">
        <x:v>PRIMARY_OUTCOME_NEEDED</x:v>
      </x:c>
      <x:c r="J12" s="20" t="str">
        <x:v>Part of 2022 seven-sequence motif library.</x:v>
      </x:c>
    </x:row>
    <x:row r="13">
      <x:c r="A13" s="20" t="str">
        <x:v>Q010</x:v>
      </x:c>
      <x:c r="B13" s="20" t="str">
        <x:v>CCY</x:v>
      </x:c>
      <x:c r="C13" s="20" t="str">
        <x:v>W10</x:v>
      </x:c>
      <x:c r="D13" s="20" t="str">
        <x:v>ABSTRACT/REVIEW-DERIVED PRIMARY LEAD</x:v>
      </x:c>
      <x:c r="E13" s="20" t="str">
        <x:v>Minimal Au-binding/reducing motif</x:v>
      </x:c>
      <x:c r="F13" s="20"/>
      <x:c r="G13" s="20"/>
      <x:c r="H13" s="20"/>
      <x:c r="I13" s="20" t="str">
        <x:v>PRIMARY_OUTCOME_NEEDED</x:v>
      </x:c>
      <x:c r="J13" s="20" t="str">
        <x:v>Part of 2022 sequence library.</x:v>
      </x:c>
    </x:row>
    <x:row r="14">
      <x:c r="A14" s="20" t="str">
        <x:v>Q011</x:v>
      </x:c>
      <x:c r="B14" s="20" t="str">
        <x:v>KFFAAK</x:v>
      </x:c>
      <x:c r="C14" s="20" t="str">
        <x:v>W10</x:v>
      </x:c>
      <x:c r="D14" s="20" t="str">
        <x:v>ABSTRACT/REVIEW-DERIVED PRIMARY LEAD</x:v>
      </x:c>
      <x:c r="E14" s="20" t="str">
        <x:v>Self-assembly control motif</x:v>
      </x:c>
      <x:c r="F14" s="20"/>
      <x:c r="G14" s="20"/>
      <x:c r="H14" s="20"/>
      <x:c r="I14" s="20" t="str">
        <x:v>PRIMARY_OUTCOME_NEEDED</x:v>
      </x:c>
      <x:c r="J14" s="20" t="str">
        <x:v>Likely negative/control behavior is especially valuable.</x:v>
      </x:c>
    </x:row>
    <x:row r="15">
      <x:c r="A15" s="20" t="str">
        <x:v>Q012</x:v>
      </x:c>
      <x:c r="B15" s="20" t="str">
        <x:v>CCYKFFAAKKFFAAK</x:v>
      </x:c>
      <x:c r="C15" s="20" t="str">
        <x:v>W10</x:v>
      </x:c>
      <x:c r="D15" s="20" t="str">
        <x:v>ABSTRACT/REVIEW-DERIVED PRIMARY LEAD</x:v>
      </x:c>
      <x:c r="E15" s="20" t="str">
        <x:v>CCY + fibril-forming motif</x:v>
      </x:c>
      <x:c r="F15" s="20"/>
      <x:c r="G15" s="20"/>
      <x:c r="H15" s="20"/>
      <x:c r="I15" s="20" t="str">
        <x:v>PRIMARY_OUTCOME_NEEDED</x:v>
      </x:c>
      <x:c r="J15" s="20" t="str">
        <x:v>Acquire full per-sequence outcomes.</x:v>
      </x:c>
    </x:row>
    <x:row r="16">
      <x:c r="A16" s="20" t="str">
        <x:v>Q013</x:v>
      </x:c>
      <x:c r="B16" s="20" t="str">
        <x:v>KFFAAKCCYKFFAAK</x:v>
      </x:c>
      <x:c r="C16" s="20" t="str">
        <x:v>W10</x:v>
      </x:c>
      <x:c r="D16" s="20" t="str">
        <x:v>ABSTRACT/REVIEW-DERIVED PRIMARY LEAD</x:v>
      </x:c>
      <x:c r="E16" s="20" t="str">
        <x:v>Interleaved motif architecture</x:v>
      </x:c>
      <x:c r="F16" s="20"/>
      <x:c r="G16" s="20"/>
      <x:c r="H16" s="20"/>
      <x:c r="I16" s="20" t="str">
        <x:v>PRIMARY_OUTCOME_NEEDED</x:v>
      </x:c>
      <x:c r="J16" s="20" t="str">
        <x:v>Acquire full per-sequence outcomes.</x:v>
      </x:c>
    </x:row>
    <x:row r="17">
      <x:c r="A17" s="20" t="str">
        <x:v>Q014</x:v>
      </x:c>
      <x:c r="B17" s="20" t="str">
        <x:v>CCYKFFAAKYCC</x:v>
      </x:c>
      <x:c r="C17" s="20" t="str">
        <x:v>W10</x:v>
      </x:c>
      <x:c r="D17" s="20" t="str">
        <x:v>ABSTRACT/REVIEW-DERIVED PRIMARY LEAD</x:v>
      </x:c>
      <x:c r="E17" s="20" t="str">
        <x:v>Two Cys-rich termini / motif positioning</x:v>
      </x:c>
      <x:c r="F17" s="20"/>
      <x:c r="G17" s="20"/>
      <x:c r="H17" s="20"/>
      <x:c r="I17" s="20" t="str">
        <x:v>PRIMARY_OUTCOME_NEEDED</x:v>
      </x:c>
      <x:c r="J17" s="20" t="str">
        <x:v>Position-specific design value.</x:v>
      </x:c>
    </x:row>
    <x:row r="18">
      <x:c r="A18" s="20" t="str">
        <x:v>Q015</x:v>
      </x:c>
      <x:c r="B18" s="20" t="str">
        <x:v>CCYKFFAAK</x:v>
      </x:c>
      <x:c r="C18" s="20" t="str">
        <x:v>W10</x:v>
      </x:c>
      <x:c r="D18" s="20" t="str">
        <x:v>ABSTRACT/REVIEW-DERIVED PRIMARY LEAD</x:v>
      </x:c>
      <x:c r="E18" s="20" t="str">
        <x:v>CCY + KFFAAK minimal combined motif</x:v>
      </x:c>
      <x:c r="F18" s="20"/>
      <x:c r="G18" s="20"/>
      <x:c r="H18" s="20"/>
      <x:c r="I18" s="20" t="str">
        <x:v>PRIMARY_OUTCOME_NEEDED</x:v>
      </x:c>
      <x:c r="J18" s="20" t="str">
        <x:v>Acquire full per-sequence outcomes.</x:v>
      </x:c>
    </x:row>
    <x:row r="19">
      <x:c r="A19" s="20" t="str">
        <x:v>Q016</x:v>
      </x:c>
      <x:c r="B19" s="20" t="str">
        <x:v>CMM</x:v>
      </x:c>
      <x:c r="C19" s="20" t="str">
        <x:v>W11</x:v>
      </x:c>
      <x:c r="D19" s="20" t="str">
        <x:v>THEORY</x:v>
      </x:c>
      <x:c r="E19" s="20" t="str">
        <x:v>Met-rich tripeptide</x:v>
      </x:c>
      <x:c r="F19" s="20"/>
      <x:c r="G19" s="20"/>
      <x:c r="H19" s="20"/>
      <x:c r="I19" s="20" t="str">
        <x:v>THEORY_ONLY</x:v>
      </x:c>
      <x:c r="J19" s="20" t="str">
        <x:v>TD-DFT feature prior; do not mix with experimental labels.</x:v>
      </x:c>
    </x:row>
    <x:row r="20">
      <x:c r="A20" s="20" t="str">
        <x:v>Q017</x:v>
      </x:c>
      <x:c r="B20" s="20" t="str">
        <x:v>CYY</x:v>
      </x:c>
      <x:c r="C20" s="20" t="str">
        <x:v>W11</x:v>
      </x:c>
      <x:c r="D20" s="20" t="str">
        <x:v>THEORY</x:v>
      </x:c>
      <x:c r="E20" s="20" t="str">
        <x:v>Tyr-rich tripeptide</x:v>
      </x:c>
      <x:c r="F20" s="20"/>
      <x:c r="G20" s="20"/>
      <x:c r="H20" s="20"/>
      <x:c r="I20" s="20" t="str">
        <x:v>THEORY_ONLY</x:v>
      </x:c>
      <x:c r="J20" s="20" t="str">
        <x:v>Charge state/topology studied computationally.</x:v>
      </x:c>
    </x:row>
    <x:row r="21">
      <x:c r="A21" s="20" t="str">
        <x:v>Q018</x:v>
      </x:c>
      <x:c r="B21" s="20" t="str">
        <x:v>CLL</x:v>
      </x:c>
      <x:c r="C21" s="20" t="str">
        <x:v>W11</x:v>
      </x:c>
      <x:c r="D21" s="20" t="str">
        <x:v>THEORY</x:v>
      </x:c>
      <x:c r="E21" s="20" t="str">
        <x:v>Leu-rich tripeptide</x:v>
      </x:c>
      <x:c r="F21" s="20"/>
      <x:c r="G21" s="20"/>
      <x:c r="H21" s="20"/>
      <x:c r="I21" s="20" t="str">
        <x:v>THEORY_ONLY</x:v>
      </x:c>
      <x:c r="J21" s="20" t="str">
        <x:v>Theory prior.</x:v>
      </x:c>
    </x:row>
    <x:row r="22">
      <x:c r="A22" s="20" t="str">
        <x:v>Q019</x:v>
      </x:c>
      <x:c r="B22" s="20" t="str">
        <x:v>CFF</x:v>
      </x:c>
      <x:c r="C22" s="20" t="str">
        <x:v>W11</x:v>
      </x:c>
      <x:c r="D22" s="20" t="str">
        <x:v>THEORY</x:v>
      </x:c>
      <x:c r="E22" s="20" t="str">
        <x:v>Phe-rich tripeptide</x:v>
      </x:c>
      <x:c r="F22" s="20"/>
      <x:c r="G22" s="20"/>
      <x:c r="H22" s="20"/>
      <x:c r="I22" s="20" t="str">
        <x:v>THEORY_ONLY</x:v>
      </x:c>
      <x:c r="J22" s="20" t="str">
        <x:v>Theory prior.</x:v>
      </x:c>
    </x:row>
    <x:row r="23">
      <x:c r="A23" s="20" t="str">
        <x:v>Q020</x:v>
      </x:c>
      <x:c r="B23" s="20" t="str">
        <x:v>CWW</x:v>
      </x:c>
      <x:c r="C23" s="20" t="str">
        <x:v>W11</x:v>
      </x:c>
      <x:c r="D23" s="20" t="str">
        <x:v>THEORY</x:v>
      </x:c>
      <x:c r="E23" s="20" t="str">
        <x:v>Trp-rich tripeptide</x:v>
      </x:c>
      <x:c r="F23" s="20"/>
      <x:c r="G23" s="20"/>
      <x:c r="H23" s="20"/>
      <x:c r="I23" s="20" t="str">
        <x:v>THEORY_ONLY</x:v>
      </x:c>
      <x:c r="J23" s="20" t="str">
        <x:v>Theory prior.</x:v>
      </x:c>
    </x:row>
    <x:row r="24">
      <x:c r="A24" s="20" t="str">
        <x:v>Q021</x:v>
      </x:c>
      <x:c r="B24" s="20" t="str">
        <x:v>CAA</x:v>
      </x:c>
      <x:c r="C24" s="20" t="str">
        <x:v>W11</x:v>
      </x:c>
      <x:c r="D24" s="20" t="str">
        <x:v>THEORY</x:v>
      </x:c>
      <x:c r="E24" s="20" t="str">
        <x:v>Ala-rich tripeptide</x:v>
      </x:c>
      <x:c r="F24" s="20"/>
      <x:c r="G24" s="20"/>
      <x:c r="H24" s="20"/>
      <x:c r="I24" s="20" t="str">
        <x:v>THEORY_ONLY</x:v>
      </x:c>
      <x:c r="J24" s="20" t="str">
        <x:v>Theory prior.</x:v>
      </x:c>
    </x:row>
    <x:row r="25">
      <x:c r="A25" s="20" t="str">
        <x:v>Q022</x:v>
      </x:c>
      <x:c r="B25" s="20" t="str">
        <x:v>CKK</x:v>
      </x:c>
      <x:c r="C25" s="20" t="str">
        <x:v>W11</x:v>
      </x:c>
      <x:c r="D25" s="20" t="str">
        <x:v>THEORY</x:v>
      </x:c>
      <x:c r="E25" s="20" t="str">
        <x:v>Lys-rich tripeptide</x:v>
      </x:c>
      <x:c r="F25" s="20"/>
      <x:c r="G25" s="20"/>
      <x:c r="H25" s="20"/>
      <x:c r="I25" s="20" t="str">
        <x:v>THEORY_ONLY</x:v>
      </x:c>
      <x:c r="J25" s="20" t="str">
        <x:v>Theory prior.</x:v>
      </x:c>
    </x:row>
    <x:row r="26">
      <x:c r="A26" s="20" t="str">
        <x:v>Q023</x:v>
      </x:c>
      <x:c r="B26" s="20" t="str">
        <x:v>RGDC</x:v>
      </x:c>
      <x:c r="C26" s="20" t="str">
        <x:v>W13</x:v>
      </x:c>
      <x:c r="D26" s="20" t="str">
        <x:v>2026 REVIEW-DERIVED</x:v>
      </x:c>
      <x:c r="E26" s="20" t="str">
        <x:v>PDT sensitizer peptide-AuNC</x:v>
      </x:c>
      <x:c r="F26" s="20" t="n">
        <x:v>500</x:v>
      </x:c>
      <x:c r="G26" s="20" t="n">
        <x:v>770</x:v>
      </x:c>
      <x:c r="H26" s="20" t="n">
        <x:v>4</x:v>
      </x:c>
      <x:c r="I26" s="20" t="str">
        <x:v>PRIMARY_REQUIRED</x:v>
      </x:c>
      <x:c r="J26" s="20" t="str">
        <x:v>Promising therapy sequence; primary paper must be acquired.</x:v>
      </x:c>
    </x:row>
    <x:row r="27">
      <x:c r="A27" s="20" t="str">
        <x:v>Q024</x:v>
      </x:c>
      <x:c r="B27" s="20" t="str">
        <x:v>cRGDyC</x:v>
      </x:c>
      <x:c r="C27" s="20" t="str">
        <x:v>W13</x:v>
      </x:c>
      <x:c r="D27" s="20" t="str">
        <x:v>2026 REVIEW-DERIVED</x:v>
      </x:c>
      <x:c r="E27" s="20" t="str">
        <x:v>Cyclic RGD radiosensitizer</x:v>
      </x:c>
      <x:c r="F27" s="20" t="n">
        <x:v>385</x:v>
      </x:c>
      <x:c r="G27" s="20" t="n">
        <x:v>485</x:v>
      </x:c>
      <x:c r="H27" s="20" t="n">
        <x:v>3.4</x:v>
      </x:c>
      <x:c r="I27" s="20" t="str">
        <x:v>PRIMARY_REQUIRED</x:v>
      </x:c>
      <x:c r="J27" s="20" t="str">
        <x:v>Do not confuse with 2015 cRGD imaging paper until primary identity is resolved.</x:v>
      </x:c>
    </x:row>
    <x:row r="28">
      <x:c r="A28" s="20" t="str">
        <x:v>Q025</x:v>
      </x:c>
      <x:c r="B28" s="20" t="str">
        <x:v>GGCGG</x:v>
      </x:c>
      <x:c r="C28" s="20" t="str">
        <x:v>W13</x:v>
      </x:c>
      <x:c r="D28" s="20" t="str">
        <x:v>2026 REVIEW-DERIVED</x:v>
      </x:c>
      <x:c r="E28" s="20" t="str">
        <x:v>αvβ3 imaging peptide-AuNC</x:v>
      </x:c>
      <x:c r="F28" s="20" t="n">
        <x:v>400</x:v>
      </x:c>
      <x:c r="G28" s="20" t="n">
        <x:v>775</x:v>
      </x:c>
      <x:c r="H28" s="20" t="n">
        <x:v>5.6</x:v>
      </x:c>
      <x:c r="I28" s="20" t="str">
        <x:v>PRIMARY_REQUIRED</x:v>
      </x:c>
      <x:c r="J28" s="20" t="str">
        <x:v>Short sequence, high relevance to motif design.</x:v>
      </x:c>
    </x:row>
    <x:row r="29">
      <x:c r="A29" s="20" t="str">
        <x:v>Q026</x:v>
      </x:c>
      <x:c r="B29" s="20" t="str">
        <x:v>RRCRR</x:v>
      </x:c>
      <x:c r="C29" s="20" t="str">
        <x:v>W13</x:v>
      </x:c>
      <x:c r="D29" s="20" t="str">
        <x:v>2026 REVIEW-DERIVED</x:v>
      </x:c>
      <x:c r="E29" s="20" t="str">
        <x:v>Cationic Cys-containing αvβ3 imaging system</x:v>
      </x:c>
      <x:c r="F29" s="20" t="n">
        <x:v>340</x:v>
      </x:c>
      <x:c r="G29" s="20" t="n">
        <x:v>760</x:v>
      </x:c>
      <x:c r="H29" s="20" t="n">
        <x:v>1.8</x:v>
      </x:c>
      <x:c r="I29" s="20" t="str">
        <x:v>PRIMARY_REQUIRED</x:v>
      </x:c>
      <x:c r="J29" s="20" t="str">
        <x:v>Primary source needed.</x:v>
      </x:c>
    </x:row>
    <x:row r="30">
      <x:c r="A30" s="20" t="str">
        <x:v>Q027</x:v>
      </x:c>
      <x:c r="B30" s="20" t="str">
        <x:v>EEECEEE</x:v>
      </x:c>
      <x:c r="C30" s="20" t="str">
        <x:v>W13</x:v>
      </x:c>
      <x:c r="D30" s="20" t="str">
        <x:v>2026 REVIEW-DERIVED</x:v>
      </x:c>
      <x:c r="E30" s="20" t="str">
        <x:v>Anionic Cys-containing αvβ3 imaging system</x:v>
      </x:c>
      <x:c r="F30" s="20" t="n">
        <x:v>380</x:v>
      </x:c>
      <x:c r="G30" s="20" t="n">
        <x:v>740</x:v>
      </x:c>
      <x:c r="H30" s="20" t="n">
        <x:v>7.9</x:v>
      </x:c>
      <x:c r="I30" s="20" t="str">
        <x:v>PRIMARY_REQUIRED</x:v>
      </x:c>
      <x:c r="J30" s="20" t="str">
        <x:v>Strong charge-composition contrast with RRCRR.</x:v>
      </x:c>
    </x:row>
    <x:row r="31">
      <x:c r="A31" s="20" t="str">
        <x:v>Q028</x:v>
      </x:c>
      <x:c r="B31" s="20" t="str">
        <x:v>CCYRGRKKRRQRRR</x:v>
      </x:c>
      <x:c r="C31" s="20" t="str">
        <x:v>W13</x:v>
      </x:c>
      <x:c r="D31" s="20" t="str">
        <x:v>2026 REVIEW-DERIVED</x:v>
      </x:c>
      <x:c r="E31" s="20" t="str">
        <x:v>CCY + cell-penetrating/nuclear localization motif</x:v>
      </x:c>
      <x:c r="F31" s="20" t="n">
        <x:v>502</x:v>
      </x:c>
      <x:c r="G31" s="20" t="n">
        <x:v>677</x:v>
      </x:c>
      <x:c r="H31" s="20" t="n">
        <x:v>11</x:v>
      </x:c>
      <x:c r="I31" s="20" t="str">
        <x:v>PRIMARY_REQUIRED</x:v>
      </x:c>
      <x:c r="J31" s="20" t="str">
        <x:v>High QY review entry; excellent acquisition priority.</x:v>
      </x:c>
    </x:row>
    <x:row r="32">
      <x:c r="A32" s="20" t="str">
        <x:v>Q029</x:v>
      </x:c>
      <x:c r="B32" s="20" t="str">
        <x:v>HHHHHHLLLLGCCYGRKKRRQRRR</x:v>
      </x:c>
      <x:c r="C32" s="20" t="str">
        <x:v>W13</x:v>
      </x:c>
      <x:c r="D32" s="20" t="str">
        <x:v>2026 REVIEW-DERIVED</x:v>
      </x:c>
      <x:c r="E32" s="20" t="str">
        <x:v>His/Leu/CCY/CPP modular peptide</x:v>
      </x:c>
      <x:c r="F32" s="20" t="n">
        <x:v>340</x:v>
      </x:c>
      <x:c r="G32" s="20" t="n">
        <x:v>441</x:v>
      </x:c>
      <x:c r="H32" s="20" t="n">
        <x:v>6.4</x:v>
      </x:c>
      <x:c r="I32" s="20" t="str">
        <x:v>PRIMARY_REQUIRED</x:v>
      </x:c>
      <x:c r="J32" s="20" t="str">
        <x:v>Modular-domain architecture.</x:v>
      </x:c>
    </x:row>
    <x:row r="33">
      <x:c r="A33" s="20" t="str">
        <x:v>Q030</x:v>
      </x:c>
      <x:c r="B33" s="20" t="str">
        <x:v>HHHHHHLLLLLLGCCYGRKKRRQRRR</x:v>
      </x:c>
      <x:c r="C33" s="20" t="str">
        <x:v>W13</x:v>
      </x:c>
      <x:c r="D33" s="20" t="str">
        <x:v>2026 REVIEW-DERIVED</x:v>
      </x:c>
      <x:c r="E33" s="20" t="str">
        <x:v>Longer hydrophobic block variant</x:v>
      </x:c>
      <x:c r="F33" s="20" t="n">
        <x:v>326</x:v>
      </x:c>
      <x:c r="G33" s="20" t="n">
        <x:v>442</x:v>
      </x:c>
      <x:c r="H33" s="20" t="n">
        <x:v>8.4</x:v>
      </x:c>
      <x:c r="I33" s="20" t="str">
        <x:v>PRIMARY_REQUIRED</x:v>
      </x:c>
      <x:c r="J33" s="20" t="str">
        <x:v>Paired length/composition variant.</x:v>
      </x:c>
    </x:row>
    <x:row r="34">
      <x:c r="A34" s="20" t="str">
        <x:v>Q031</x:v>
      </x:c>
      <x:c r="B34" s="20" t="str">
        <x:v>YHWYGYTPQNVIKKKKYCC</x:v>
      </x:c>
      <x:c r="C34" s="20" t="str">
        <x:v>W13</x:v>
      </x:c>
      <x:c r="D34" s="20" t="str">
        <x:v>2026 REVIEW-DERIVED</x:v>
      </x:c>
      <x:c r="E34" s="20" t="str">
        <x:v>Tumor-growth inhibition peptide-AuNC</x:v>
      </x:c>
      <x:c r="F34" s="20" t="n">
        <x:v>322</x:v>
      </x:c>
      <x:c r="G34" s="20" t="n">
        <x:v>408</x:v>
      </x:c>
      <x:c r="H34" s="20"/>
      <x:c r="I34" s="20" t="str">
        <x:v>PRIMARY_REQUIRED</x:v>
      </x:c>
      <x:c r="J34" s="20" t="str">
        <x:v>Therapeutic lead.</x:v>
      </x:c>
    </x:row>
    <x:row r="35">
      <x:c r="A35" s="20" t="str">
        <x:v>Q032</x:v>
      </x:c>
      <x:c r="B35" s="20" t="str">
        <x:v>CCYKKKKQAGDV</x:v>
      </x:c>
      <x:c r="C35" s="20" t="str">
        <x:v>W13</x:v>
      </x:c>
      <x:c r="D35" s="20" t="str">
        <x:v>2026 REVIEW-DERIVED</x:v>
      </x:c>
      <x:c r="E35" s="20" t="str">
        <x:v>Integrin αIIbβ3 probe</x:v>
      </x:c>
      <x:c r="F35" s="20" t="n">
        <x:v>565</x:v>
      </x:c>
      <x:c r="G35" s="20" t="n">
        <x:v>647</x:v>
      </x:c>
      <x:c r="H35" s="20"/>
      <x:c r="I35" s="20" t="str">
        <x:v>PRIMARY_REQUIRED</x:v>
      </x:c>
      <x:c r="J35" s="20" t="str">
        <x:v>Targeting + CCY mineralization.</x:v>
      </x:c>
    </x:row>
    <x:row r="36">
      <x:c r="A36" s="20" t="str">
        <x:v>Q033</x:v>
      </x:c>
      <x:c r="B36" s="20" t="str">
        <x:v>CCYRRRRRRRRR</x:v>
      </x:c>
      <x:c r="C36" s="20" t="str">
        <x:v>W13</x:v>
      </x:c>
      <x:c r="D36" s="20" t="str">
        <x:v>2026 REVIEW-DERIVED</x:v>
      </x:c>
      <x:c r="E36" s="20" t="str">
        <x:v>Arg-rich gene delivery</x:v>
      </x:c>
      <x:c r="F36" s="20" t="n">
        <x:v>380</x:v>
      </x:c>
      <x:c r="G36" s="20" t="n">
        <x:v>650</x:v>
      </x:c>
      <x:c r="H36" s="20"/>
      <x:c r="I36" s="20" t="str">
        <x:v>PRIMARY_REQUIRED</x:v>
      </x:c>
      <x:c r="J36" s="20" t="str">
        <x:v>Charge-pattern lead.</x:v>
      </x:c>
    </x:row>
    <x:row r="37">
      <x:c r="A37" s="20" t="str">
        <x:v>Q034</x:v>
      </x:c>
      <x:c r="B37" s="20" t="str">
        <x:v>CCYRKKRRQRRR</x:v>
      </x:c>
      <x:c r="C37" s="20" t="str">
        <x:v>W13</x:v>
      </x:c>
      <x:c r="D37" s="20" t="str">
        <x:v>2026 REVIEW-DERIVED</x:v>
      </x:c>
      <x:c r="E37" s="20" t="str">
        <x:v>CPP/gene delivery</x:v>
      </x:c>
      <x:c r="F37" s="20" t="n">
        <x:v>358</x:v>
      </x:c>
      <x:c r="G37" s="20" t="n">
        <x:v>640</x:v>
      </x:c>
      <x:c r="H37" s="20"/>
      <x:c r="I37" s="20" t="str">
        <x:v>PRIMARY_REQUIRED</x:v>
      </x:c>
      <x:c r="J37" s="20" t="str">
        <x:v>Charge-pattern lead.</x:v>
      </x:c>
    </x:row>
    <x:row r="38">
      <x:c r="A38" s="20" t="str">
        <x:v>Q035</x:v>
      </x:c>
      <x:c r="B38" s="20" t="str">
        <x:v>GIGAVLKVLTTGLPALISWIKRKRQQ</x:v>
      </x:c>
      <x:c r="C38" s="20" t="str">
        <x:v>W13</x:v>
      </x:c>
      <x:c r="D38" s="20" t="str">
        <x:v>2026 REVIEW-DERIVED</x:v>
      </x:c>
      <x:c r="E38" s="20" t="str">
        <x:v>Cervical-cancer peptide-AuNC</x:v>
      </x:c>
      <x:c r="F38" s="20" t="n">
        <x:v>280</x:v>
      </x:c>
      <x:c r="G38" s="20" t="n">
        <x:v>350</x:v>
      </x:c>
      <x:c r="H38" s="20"/>
      <x:c r="I38" s="20" t="str">
        <x:v>PRIMARY_REQUIRED</x:v>
      </x:c>
      <x:c r="J38" s="20" t="str">
        <x:v>Long hydrophobic/cationic biofunctional sequence.</x:v>
      </x:c>
    </x:row>
    <x:row r="39">
      <x:c r="A39" s="20" t="str">
        <x:v>Q036</x:v>
      </x:c>
      <x:c r="B39" s="20" t="str">
        <x:v>KRKC</x:v>
      </x:c>
      <x:c r="C39" s="20" t="str">
        <x:v>W17/W19</x:v>
      </x:c>
      <x:c r="D39" s="20" t="str">
        <x:v>PEER-REVIEWED + PATENT</x:v>
      </x:c>
      <x:c r="E39" s="20" t="str">
        <x:v>Cationic tetrapeptide; requires GSH synergistically in W17 optimized recipe</x:v>
      </x:c>
      <x:c r="F39" s="20" t="n">
        <x:v>400</x:v>
      </x:c>
      <x:c r="G39" s="20" t="n">
        <x:v>600</x:v>
      </x:c>
      <x:c r="H39" s="20" t="n">
        <x:v>21</x:v>
      </x:c>
      <x:c r="I39" s="20" t="str">
        <x:v>MULTI_LIGAND_ONLY</x:v>
      </x:c>
      <x:c r="J39" s="20" t="str">
        <x:v>Do not model as an isolated positive sequence under W17 conditions; deletion of GSH produced no AuNC.</x:v>
      </x:c>
    </x:row>
    <x:row r="40">
      <x:c r="A40" s="20" t="str">
        <x:v>Q037</x:v>
      </x:c>
      <x:c r="B40" s="20" t="str">
        <x:v>KCK</x:v>
      </x:c>
      <x:c r="C40" s="20" t="str">
        <x:v>W18</x:v>
      </x:c>
      <x:c r="D40" s="20" t="str">
        <x:v>PATENT PRIMARY</x:v>
      </x:c>
      <x:c r="E40" s="20" t="str">
        <x:v>Short Lys-Cys-Lys ligand; hydrothermal + TCEP/NaBH4 route</x:v>
      </x:c>
      <x:c r="F40" s="20" t="n">
        <x:v>480</x:v>
      </x:c>
      <x:c r="G40" s="20" t="n">
        <x:v>680</x:v>
      </x:c>
      <x:c r="H40" s="20" t="n">
        <x:v>12</x:v>
      </x:c>
      <x:c r="I40" s="20" t="str">
        <x:v>PATENT_TRAINABLE_OPTICAL</x:v>
      </x:c>
      <x:c r="J40" s="20" t="str">
        <x:v>Exact synthesis/size/optical values; patent evidence must remain separate from peer-reviewed external validation.</x:v>
      </x:c>
    </x:row>
    <x:row r="41">
      <x:c r="A41" s="20" t="str">
        <x:v>Q038</x:v>
      </x:c>
      <x:c r="B41" s="20" t="str">
        <x:v>CYRGRKKRRQRRR</x:v>
      </x:c>
      <x:c r="C41" s="20" t="str">
        <x:v>W20</x:v>
      </x:c>
      <x:c r="D41" s="20" t="str">
        <x:v>PATENT PRIMARY</x:v>
      </x:c>
      <x:c r="E41" s="20" t="str">
        <x:v>TAT-derived cell-penetrating peptide attached after GSH-AuNC synthesis</x:v>
      </x:c>
      <x:c r="F41" s="20" t="n">
        <x:v>370</x:v>
      </x:c>
      <x:c r="G41" s="20" t="n">
        <x:v>650</x:v>
      </x:c>
      <x:c r="H41" s="20"/>
      <x:c r="I41" s="20" t="str">
        <x:v>PDT_ADJACENT</x:v>
      </x:c>
      <x:c r="J41" s="20" t="str">
        <x:v>Post-functionalization sequence; not a peptide-template-only synthesis record.</x:v>
      </x:c>
    </x:row>
    <x:row r="42">
      <x:c r="A42" s="20" t="str">
        <x:v>Q039</x:v>
      </x:c>
      <x:c r="B42" s="20" t="str">
        <x:v>CGNQWFI</x:v>
      </x:c>
      <x:c r="C42" s="20" t="str">
        <x:v>W21</x:v>
      </x:c>
      <x:c r="D42" s="20" t="str">
        <x:v>PATENT PRIMARY</x:v>
      </x:c>
      <x:c r="E42" s="20" t="str">
        <x:v>Anti-FLT1 peptide; AuNC ligand + antiangiogenic/PDT function</x:v>
      </x:c>
      <x:c r="F42" s="20" t="n">
        <x:v>330</x:v>
      </x:c>
      <x:c r="G42" s="20" t="n">
        <x:v>605</x:v>
      </x:c>
      <x:c r="H42" s="20"/>
      <x:c r="I42" s="20" t="str">
        <x:v>PDT_ADJACENT</x:v>
      </x:c>
      <x:c r="J42" s="20" t="str">
        <x:v>Direct one-pot peptide-mediated AuNC; patent-backed, ~2 nm.</x:v>
      </x:c>
    </x:row>
  </x:sheetData>
  <x:pageMargins left="0.7" right="0.7" top="0.75" bottom="0.75" header="0.3" footer="0.3"/>
  <x:tableParts count="1">
    <x:tablePart xmlns:r="http://schemas.openxmlformats.org/officeDocument/2006/relationships" r:id="Re5b49c44540e48ea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8" hidden="0" customWidth="1"/>
    <x:col min="4" max="4" width="24" hidden="0" customWidth="1"/>
    <x:col min="5" max="5" width="42" hidden="0" customWidth="1"/>
    <x:col min="6" max="6" width="16" hidden="0" customWidth="1"/>
    <x:col min="7" max="7" width="10" hidden="0" customWidth="1"/>
    <x:col min="8" max="8" width="16" hidden="0" customWidth="1"/>
    <x:col min="9" max="9" width="52" hidden="0" customWidth="1"/>
    <x:col min="10" max="10" width="66" hidden="0" customWidth="1"/>
    <x:col min="11" max="11" width="48" hidden="0" customWidth="1"/>
  </x:cols>
  <x:sheetData>
    <x:row r="1">
      <x:c r="A1" s="48" t="str">
        <x:v>Formation Controls v0.4 — Genuine Positive/Negative Evidence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3">
      <x:c r="A3" s="53" t="str">
        <x:v>Control_ID</x:v>
      </x:c>
      <x:c r="B3" s="53" t="str">
        <x:v>Source_ID</x:v>
      </x:c>
      <x:c r="C3" s="53" t="str">
        <x:v>Ligands_Present</x:v>
      </x:c>
      <x:c r="D3" s="53" t="str">
        <x:v>Ligands_Deleted</x:v>
      </x:c>
      <x:c r="E3" s="53" t="str">
        <x:v>Au_Precursor</x:v>
      </x:c>
      <x:c r="F3" s="53" t="str">
        <x:v>Temperature</x:v>
      </x:c>
      <x:c r="G3" s="53" t="str">
        <x:v>Time_h</x:v>
      </x:c>
      <x:c r="H3" s="53" t="str">
        <x:v>Formation_Label</x:v>
      </x:c>
      <x:c r="I3" s="53" t="str">
        <x:v>Outcome</x:v>
      </x:c>
      <x:c r="J3" s="53" t="str">
        <x:v>Scientific_Use</x:v>
      </x:c>
      <x:c r="K3" s="53" t="str">
        <x:v>Source_URL</x:v>
      </x:c>
    </x:row>
    <x:row r="4">
      <x:c r="A4" s="20" t="str">
        <x:v>F001</x:v>
      </x:c>
      <x:c r="B4" s="20" t="str">
        <x:v>W17</x:v>
      </x:c>
      <x:c r="C4" s="20" t="str">
        <x:v>KRKC-NH2 + GSH</x:v>
      </x:c>
      <x:c r="D4" s="20" t="str">
        <x:v>None</x:v>
      </x:c>
      <x:c r="E4" s="20" t="str">
        <x:v>HAuCl4 20 mM; Au:KRKC:GSH=2:3:1</x:v>
      </x:c>
      <x:c r="F4" s="20" t="str">
        <x:v>70°C</x:v>
      </x:c>
      <x:c r="G4" s="20" t="n">
        <x:v>34</x:v>
      </x:c>
      <x:c r="H4" s="20" t="n">
        <x:v>1</x:v>
      </x:c>
      <x:c r="I4" s="20" t="str">
        <x:v>K4-AuNC formed; 1.8 nm core, QY 21%, λem 600 nm</x:v>
      </x:c>
      <x:c r="J4" s="20" t="str">
        <x:v>Positive formation example; group with both controls in every train/test split.</x:v>
      </x:c>
      <x:c r="K4" s="20" t="str">
        <x:v>https://doi.org/10.1002/ppsc.201900281</x:v>
      </x:c>
    </x:row>
    <x:row r="5">
      <x:c r="A5" s="20" t="str">
        <x:v>F002</x:v>
      </x:c>
      <x:c r="B5" s="20" t="str">
        <x:v>W17</x:v>
      </x:c>
      <x:c r="C5" s="20" t="str">
        <x:v>GSH</x:v>
      </x:c>
      <x:c r="D5" s="20" t="str">
        <x:v>KRKC-NH2</x:v>
      </x:c>
      <x:c r="E5" s="20" t="str">
        <x:v>Same optimized study recipe</x:v>
      </x:c>
      <x:c r="F5" s="20" t="str">
        <x:v>70°C</x:v>
      </x:c>
      <x:c r="G5" s="20" t="n">
        <x:v>34</x:v>
      </x:c>
      <x:c r="H5" s="20" t="n">
        <x:v>0</x:v>
      </x:c>
      <x:c r="I5" s="20" t="str">
        <x:v>No gold nanoclusters obtained</x:v>
      </x:c>
      <x:c r="J5" s="20" t="str">
        <x:v>Explicit negative. Shows that a successful ligand in another protocol can fail under this condition.</x:v>
      </x:c>
      <x:c r="K5" s="20" t="str">
        <x:v>https://doi.org/10.1002/ppsc.201900281</x:v>
      </x:c>
    </x:row>
    <x:row r="6">
      <x:c r="A6" s="20" t="str">
        <x:v>F003</x:v>
      </x:c>
      <x:c r="B6" s="20" t="str">
        <x:v>W17</x:v>
      </x:c>
      <x:c r="C6" s="20" t="str">
        <x:v>KRKC-NH2</x:v>
      </x:c>
      <x:c r="D6" s="20" t="str">
        <x:v>GSH</x:v>
      </x:c>
      <x:c r="E6" s="20" t="str">
        <x:v>Same optimized study recipe</x:v>
      </x:c>
      <x:c r="F6" s="20" t="str">
        <x:v>70°C</x:v>
      </x:c>
      <x:c r="G6" s="20" t="n">
        <x:v>34</x:v>
      </x:c>
      <x:c r="H6" s="20" t="n">
        <x:v>0</x:v>
      </x:c>
      <x:c r="I6" s="20" t="str">
        <x:v>No gold nanoclusters obtained</x:v>
      </x:c>
      <x:c r="J6" s="20" t="str">
        <x:v>Explicit negative; supports ligand-synergy/condition-aware formation modeling.</x:v>
      </x:c>
      <x:c r="K6" s="20" t="str">
        <x:v>https://doi.org/10.1002/ppsc.201900281</x:v>
      </x:c>
    </x:row>
  </x:sheetData>
  <x:mergeCells>
    <x:mergeCell ref="A1:K1"/>
  </x:mergeCells>
  <x:conditionalFormatting sqref="H4:H6">
    <x:cfRule type="expression" dxfId="9" priority="1">
      <x:formula>H4=0</x:formula>
    </x:cfRule>
    <x:cfRule type="expression" dxfId="10" priority="2">
      <x:formula>H4=1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ec5ffa163f044cd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32" hidden="0" customWidth="1"/>
    <x:col min="4" max="4" width="28" hidden="0" customWidth="1"/>
    <x:col min="5" max="5" width="18" hidden="0" customWidth="1"/>
    <x:col min="6" max="6" width="11" hidden="0" customWidth="1"/>
    <x:col min="7" max="7" width="15" hidden="0" customWidth="1"/>
    <x:col min="8" max="8" width="14" hidden="0" customWidth="1"/>
    <x:col min="9" max="9" width="42" hidden="0" customWidth="1"/>
    <x:col min="10" max="10" width="16" hidden="0" customWidth="1"/>
    <x:col min="11" max="11" width="16" hidden="0" customWidth="1"/>
    <x:col min="12" max="12" width="64" hidden="0" customWidth="1"/>
  </x:cols>
  <x:sheetData>
    <x:row r="1">
      <x:c r="A1" s="48" t="str">
        <x:v>Therapy Context v0.4 — PTT vs PDT vs Non-Photothermal Benchmarks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</x:row>
    <x:row r="3">
      <x:c r="A3" s="53" t="str">
        <x:v>Therapy_ID</x:v>
      </x:c>
      <x:c r="B3" s="53" t="str">
        <x:v>Record_ID</x:v>
      </x:c>
      <x:c r="C3" s="53" t="str">
        <x:v>System</x:v>
      </x:c>
      <x:c r="D3" s="53" t="str">
        <x:v>Peptide</x:v>
      </x:c>
      <x:c r="E3" s="53" t="str">
        <x:v>Mechanism_Class</x:v>
      </x:c>
      <x:c r="F3" s="53" t="str">
        <x:v>Laser_nm</x:v>
      </x:c>
      <x:c r="G3" s="53" t="str">
        <x:v>Power_W_cm2</x:v>
      </x:c>
      <x:c r="H3" s="53" t="str">
        <x:v>Duration_min</x:v>
      </x:c>
      <x:c r="I3" s="53" t="str">
        <x:v>Thermal_or_ROS_Endpoint</x:v>
      </x:c>
      <x:c r="J3" s="53" t="str">
        <x:v>Can_Train_PTT</x:v>
      </x:c>
      <x:c r="K3" s="53" t="str">
        <x:v>Can_Train_PDT</x:v>
      </x:c>
      <x:c r="L3" s="53" t="str">
        <x:v>Evidence_Note</x:v>
      </x:c>
    </x:row>
    <x:row r="4">
      <x:c r="A4" s="20" t="str">
        <x:v>T001</x:v>
      </x:c>
      <x:c r="B4" s="20" t="str">
        <x:v>R018</x:v>
      </x:c>
      <x:c r="C4" s="20" t="str">
        <x:v>Au25/AuPC</x:v>
      </x:c>
      <x:c r="D4" s="20" t="str">
        <x:v>Non-peptide PC</x:v>
      </x:c>
      <x:c r="E4" s="20" t="str">
        <x:v>PTT</x:v>
      </x:c>
      <x:c r="F4" s="20" t="n">
        <x:v>808</x:v>
      </x:c>
      <x:c r="G4" s="20" t="n">
        <x:v>0.3</x:v>
      </x:c>
      <x:c r="H4" s="20" t="n">
        <x:v>30</x:v>
      </x:c>
      <x:c r="I4" s="20" t="str">
        <x:v>Heating ~70°C in vitro</x:v>
      </x:c>
      <x:c r="J4" s="57" t="b">
        <x:v>0</x:v>
      </x:c>
      <x:c r="K4" s="57" t="b">
        <x:v>0</x:v>
      </x:c>
      <x:c r="L4" s="20" t="str">
        <x:v>Strong AuNC PTT benchmark but not peptide-templated; benchmark layer only.</x:v>
      </x:c>
    </x:row>
    <x:row r="5">
      <x:c r="A5" s="20" t="str">
        <x:v>T002</x:v>
      </x:c>
      <x:c r="B5" s="20" t="str">
        <x:v>R019</x:v>
      </x:c>
      <x:c r="C5" s="20" t="str">
        <x:v>Au25/AuPC</x:v>
      </x:c>
      <x:c r="D5" s="20" t="str">
        <x:v>Non-peptide PC</x:v>
      </x:c>
      <x:c r="E5" s="20" t="str">
        <x:v>PTT</x:v>
      </x:c>
      <x:c r="F5" s="20" t="n">
        <x:v>808</x:v>
      </x:c>
      <x:c r="G5" s="20" t="n">
        <x:v>0.3</x:v>
      </x:c>
      <x:c r="H5" s="20" t="n">
        <x:v>30</x:v>
      </x:c>
      <x:c r="I5" s="20" t="str">
        <x:v>Tumor ~53°C at 3 min; up to ~60°C</x:v>
      </x:c>
      <x:c r="J5" s="57" t="b">
        <x:v>0</x:v>
      </x:c>
      <x:c r="K5" s="57" t="b">
        <x:v>0</x:v>
      </x:c>
      <x:c r="L5" s="20" t="str">
        <x:v>In vivo PTT benchmark; non-peptide.</x:v>
      </x:c>
    </x:row>
    <x:row r="6">
      <x:c r="A6" s="20" t="str">
        <x:v>T003</x:v>
      </x:c>
      <x:c r="B6" s="20" t="str">
        <x:v>R009/R010</x:v>
      </x:c>
      <x:c r="C6" s="20" t="str">
        <x:v>D/L Cys-Phe gold bipyramids</x:v>
      </x:c>
      <x:c r="D6" s="20" t="str">
        <x:v>CF</x:v>
      </x:c>
      <x:c r="E6" s="20" t="str">
        <x:v>PTT</x:v>
      </x:c>
      <x:c r="F6" s="20" t="n">
        <x:v>808</x:v>
      </x:c>
      <x:c r="G6" s="20" t="n">
        <x:v>0.8</x:v>
      </x:c>
      <x:c r="H6" s="20" t="n">
        <x:v>5</x:v>
      </x:c>
      <x:c r="I6" s="20" t="str">
        <x:v>&gt;45°C</x:v>
      </x:c>
      <x:c r="J6" s="57" t="b">
        <x:v>0</x:v>
      </x:c>
      <x:c r="K6" s="57" t="b">
        <x:v>0</x:v>
      </x:c>
      <x:c r="L6" s="20" t="str">
        <x:v>Peptide-linked PTT but large bipyramids, not AuNC material regime.</x:v>
      </x:c>
    </x:row>
    <x:row r="7">
      <x:c r="A7" s="20" t="str">
        <x:v>T004</x:v>
      </x:c>
      <x:c r="B7" s="20" t="str">
        <x:v>R042</x:v>
      </x:c>
      <x:c r="C7" s="20" t="str">
        <x:v>AuNCs-TAT</x:v>
      </x:c>
      <x:c r="D7" s="20" t="str">
        <x:v>CYRGRKKRRQRRR</x:v>
      </x:c>
      <x:c r="E7" s="20" t="str">
        <x:v>PDT</x:v>
      </x:c>
      <x:c r="F7" s="20" t="n">
        <x:v>808</x:v>
      </x:c>
      <x:c r="G7" s="20" t="n">
        <x:v>1.5</x:v>
      </x:c>
      <x:c r="H7" s="20" t="n">
        <x:v>15</x:v>
      </x:c>
      <x:c r="I7" s="20" t="str">
        <x:v>ROS generation / tumor PDT</x:v>
      </x:c>
      <x:c r="J7" s="57" t="b">
        <x:v>0</x:v>
      </x:c>
      <x:c r="K7" s="57" t="b">
        <x:v>1</x:v>
      </x:c>
      <x:c r="L7" s="20" t="str">
        <x:v>808 nm does not make this PTT: source explicitly describes photodynamic ROS mechanism.</x:v>
      </x:c>
    </x:row>
    <x:row r="8">
      <x:c r="A8" s="20" t="str">
        <x:v>T005</x:v>
      </x:c>
      <x:c r="B8" s="20" t="str">
        <x:v>R043</x:v>
      </x:c>
      <x:c r="C8" s="20" t="str">
        <x:v>AF@AuNCs</x:v>
      </x:c>
      <x:c r="D8" s="20" t="str">
        <x:v>CGNQWFI</x:v>
      </x:c>
      <x:c r="E8" s="20" t="str">
        <x:v>PDT</x:v>
      </x:c>
      <x:c r="F8" s="20"/>
      <x:c r="G8" s="20"/>
      <x:c r="H8" s="20"/>
      <x:c r="I8" s="20" t="str">
        <x:v>Photosensitization + antiangiogenesis</x:v>
      </x:c>
      <x:c r="J8" s="57" t="b">
        <x:v>0</x:v>
      </x:c>
      <x:c r="K8" s="57" t="b">
        <x:v>1</x:v>
      </x:c>
      <x:c r="L8" s="20" t="str">
        <x:v>Direct peptide-AuNC therapeutic evidence, but PDT rather than PTT.</x:v>
      </x:c>
    </x:row>
    <x:row r="9">
      <x:c r="A9" s="20" t="str">
        <x:v>T006</x:v>
      </x:c>
      <x:c r="B9" s="20" t="str">
        <x:v>R035/R036</x:v>
      </x:c>
      <x:c r="C9" s="20" t="str">
        <x:v>Ag-doped AuNC</x:v>
      </x:c>
      <x:c r="D9" s="20" t="str">
        <x:v>DCG / DCS</x:v>
      </x:c>
      <x:c r="E9" s="20" t="str">
        <x:v>PDT</x:v>
      </x:c>
      <x:c r="F9" s="20"/>
      <x:c r="G9" s="20"/>
      <x:c r="H9" s="20"/>
      <x:c r="I9" s="20" t="str">
        <x:v>Photosensitizing activity</x:v>
      </x:c>
      <x:c r="J9" s="57" t="b">
        <x:v>0</x:v>
      </x:c>
      <x:c r="K9" s="57" t="b">
        <x:v>1</x:v>
      </x:c>
      <x:c r="L9" s="20" t="str">
        <x:v>Therapy-adjacent and doped material regime; auxiliary only for pure-Au model.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bd28762bfcf4a89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8" hidden="0" customWidth="1"/>
    <x:col min="4" max="4" width="72" hidden="0" customWidth="1"/>
    <x:col min="5" max="5" width="34" hidden="0" customWidth="1"/>
    <x:col min="6" max="6" width="68" hidden="0" customWidth="1"/>
    <x:col min="7" max="7" width="38" hidden="0" customWidth="1"/>
    <x:col min="8" max="8" width="16" hidden="0" customWidth="1"/>
    <x:col min="9" max="9" width="50" hidden="0" customWidth="1"/>
    <x:col min="10" max="10" width="64" hidden="0" customWidth="1"/>
  </x:cols>
  <x:sheetData>
    <x:row r="1">
      <x:c r="A1" s="48" t="str">
        <x:v>v0.4 Source Expansion — Peer-Reviewed Articles and Patent Primary Evidence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3">
      <x:c r="A3" s="53" t="str">
        <x:v>Source_ID</x:v>
      </x:c>
      <x:c r="B3" s="53" t="str">
        <x:v>Year</x:v>
      </x:c>
      <x:c r="C3" s="53" t="str">
        <x:v>Source_Type</x:v>
      </x:c>
      <x:c r="D3" s="53" t="str">
        <x:v>Title_or_Source</x:v>
      </x:c>
      <x:c r="E3" s="53" t="str">
        <x:v>Exact_Sequence</x:v>
      </x:c>
      <x:c r="F3" s="53" t="str">
        <x:v>Key_New_Data</x:v>
      </x:c>
      <x:c r="G3" s="53" t="str">
        <x:v>Training_Role</x:v>
      </x:c>
      <x:c r="H3" s="53" t="str">
        <x:v>Peer_Reviewed</x:v>
      </x:c>
      <x:c r="I3" s="53" t="str">
        <x:v>URL</x:v>
      </x:c>
      <x:c r="J3" s="53" t="str">
        <x:v>QC_Note</x:v>
      </x:c>
    </x:row>
    <x:row r="4">
      <x:c r="A4" s="20" t="str">
        <x:v>W17</x:v>
      </x:c>
      <x:c r="B4" s="20" t="n">
        <x:v>2019</x:v>
      </x:c>
      <x:c r="C4" s="20" t="str">
        <x:v>Journal Article</x:v>
      </x:c>
      <x:c r="D4" s="20" t="str">
        <x:v>Coassembly of Gold Nanoclusters with Nucleic Acids: Sensing, Bioimaging, and Gene Transfection</x:v>
      </x:c>
      <x:c r="E4" s="20" t="str">
        <x:v>KRKC-NH2 + GSH</x:v>
      </x:c>
      <x:c r="F4" s="20" t="str">
        <x:v>Exact 2:3:1 ligand ratio; 70°C 34 h; 1.8 nm; 2.3 nm HD; λem 600; QY 21%; two explicit failed controls</x:v>
      </x:c>
      <x:c r="G4" s="20" t="str">
        <x:v>Optical/size + formation controls</x:v>
      </x:c>
      <x:c r="H4" s="20" t="str">
        <x:v>YES</x:v>
      </x:c>
      <x:c r="I4" s="20" t="str">
        <x:v>https://doi.org/10.1002/ppsc.201900281</x:v>
      </x:c>
      <x:c r="J4" s="20" t="str">
        <x:v>Highest-value v0.4 addition because it adds genuine negatives and matched positive/negative conditions.</x:v>
      </x:c>
    </x:row>
    <x:row r="5">
      <x:c r="A5" s="20" t="str">
        <x:v>W18</x:v>
      </x:c>
      <x:c r="B5" s="20" t="n">
        <x:v>2016</x:v>
      </x:c>
      <x:c r="C5" s="20" t="str">
        <x:v>Patent</x:v>
      </x:c>
      <x:c r="D5" s="20" t="str">
        <x:v>CN106010513A — KCK polypeptide modified gold nanocluster</x:v>
      </x:c>
      <x:c r="E5" s="20" t="str">
        <x:v>KCK</x:v>
      </x:c>
      <x:c r="F5" s="20" t="str">
        <x:v>Exact TCEP/NaBH4 synthesis; mean 2.1 nm; λex 480; λem 680; QY 12%</x:v>
      </x:c>
      <x:c r="G5" s="20" t="str">
        <x:v>Patent-backed optical/size</x:v>
      </x:c>
      <x:c r="H5" s="20" t="str">
        <x:v>NO</x:v>
      </x:c>
      <x:c r="I5" s="20" t="str">
        <x:v>https://patents.google.com/patent/CN106010513A/en</x:v>
      </x:c>
      <x:c r="J5" s="20" t="str">
        <x:v>Keep patents separate from peer-reviewed external validation.</x:v>
      </x:c>
    </x:row>
    <x:row r="6">
      <x:c r="A6" s="20" t="str">
        <x:v>W19</x:v>
      </x:c>
      <x:c r="B6" s="20" t="n">
        <x:v>2016</x:v>
      </x:c>
      <x:c r="C6" s="20" t="str">
        <x:v>Patent</x:v>
      </x:c>
      <x:c r="D6" s="20" t="str">
        <x:v>CN106085420A — peptide-modified gold nanoclusters</x:v>
      </x:c>
      <x:c r="E6" s="20" t="str">
        <x:v>KRKC + GSH</x:v>
      </x:c>
      <x:c r="F6" s="20" t="str">
        <x:v>Exact dual-ligand recipe; 1.9 nm; λex 400; λem 586; QY 7%</x:v>
      </x:c>
      <x:c r="G6" s="20" t="str">
        <x:v>Patent-backed multi-ligand optical/size</x:v>
      </x:c>
      <x:c r="H6" s="20" t="str">
        <x:v>NO</x:v>
      </x:c>
      <x:c r="I6" s="20" t="str">
        <x:v>https://patents.google.com/patent/CN106085420A/en</x:v>
      </x:c>
      <x:c r="J6" s="20" t="str">
        <x:v>Related ligand family to W17 but different protocol/outcome; homologous grouping required.</x:v>
      </x:c>
    </x:row>
    <x:row r="7">
      <x:c r="A7" s="20" t="str">
        <x:v>W20</x:v>
      </x:c>
      <x:c r="B7" s="20" t="n">
        <x:v>2020</x:v>
      </x:c>
      <x:c r="C7" s="20" t="str">
        <x:v>Patent</x:v>
      </x:c>
      <x:c r="D7" s="20" t="str">
        <x:v>CN111956808A — AuNCs-TAT for tumor treatment</x:v>
      </x:c>
      <x:c r="E7" s="20" t="str">
        <x:v>CYRGRKKRRQRRR</x:v>
      </x:c>
      <x:c r="F7" s="20" t="str">
        <x:v>~1.9±0.4 nm; λex 370; λem 650; 808 nm ROS-generating PDT; TAT post-functionalization</x:v>
      </x:c>
      <x:c r="G7" s="20" t="str">
        <x:v>PDT adjacent / biofunctional</x:v>
      </x:c>
      <x:c r="H7" s="20" t="str">
        <x:v>NO</x:v>
      </x:c>
      <x:c r="I7" s="20" t="str">
        <x:v>https://patents.google.com/patent/CN111956808A/en</x:v>
      </x:c>
      <x:c r="J7" s="20" t="str">
        <x:v>Explicitly not PTT.</x:v>
      </x:c>
    </x:row>
    <x:row r="8">
      <x:c r="A8" s="20" t="str">
        <x:v>W21</x:v>
      </x:c>
      <x:c r="B8" s="20" t="n">
        <x:v>2021</x:v>
      </x:c>
      <x:c r="C8" s="20" t="str">
        <x:v>Patent</x:v>
      </x:c>
      <x:c r="D8" s="20" t="str">
        <x:v>CN112618714B — Anti-FLT1 peptide-mediated Au cluster</x:v>
      </x:c>
      <x:c r="E8" s="20" t="str">
        <x:v>CGNQWFI</x:v>
      </x:c>
      <x:c r="F8" s="20" t="str">
        <x:v>One-pot 25°C 5 min →70°C 8 h; ~2 nm; λem 605; PDT/antiangiogenesis</x:v>
      </x:c>
      <x:c r="G8" s="20" t="str">
        <x:v>Direct therapeutic sequence + synthesis</x:v>
      </x:c>
      <x:c r="H8" s="20" t="str">
        <x:v>NO</x:v>
      </x:c>
      <x:c r="I8" s="20" t="str">
        <x:v>https://patents.google.com/patent/CN112618714B/en</x:v>
      </x:c>
      <x:c r="J8" s="20" t="str">
        <x:v>PDT adjacent; useful for cancer-directed objectives but not PTT regression.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6f92a78c4ae47cb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2" hidden="0" customWidth="1"/>
    <x:col min="4" max="4" width="60" hidden="0" customWidth="1"/>
    <x:col min="5" max="5" width="60" hidden="0" customWidth="1"/>
    <x:col min="6" max="6" width="64" hidden="0" customWidth="1"/>
    <x:col min="7" max="7" width="28" hidden="0" customWidth="1"/>
    <x:col min="8" max="8" width="16" hidden="0" customWidth="1"/>
  </x:cols>
  <x:sheetData>
    <x:row r="1">
      <x:c r="A1" s="48" t="str">
        <x:v>PepAuDB v0.4 — Scientific QC Log</x:v>
      </x:c>
      <x:c r="B1" s="48"/>
      <x:c r="C1" s="48"/>
      <x:c r="D1" s="48"/>
      <x:c r="E1" s="48"/>
      <x:c r="F1" s="48"/>
      <x:c r="G1" s="48"/>
      <x:c r="H1" s="48"/>
    </x:row>
    <x:row r="2">
      <x:c r="A2"/>
      <x:c r="B2"/>
      <x:c r="C2"/>
      <x:c r="D2"/>
      <x:c r="E2"/>
      <x:c r="F2"/>
      <x:c r="G2"/>
      <x:c r="H2"/>
    </x:row>
    <x:row r="3">
      <x:c r="A3" s="53" t="str">
        <x:v>QC_ID</x:v>
      </x:c>
      <x:c r="B3" s="53" t="str">
        <x:v>Affected_Record_or_Source</x:v>
      </x:c>
      <x:c r="C3" s="53" t="str">
        <x:v>Severity</x:v>
      </x:c>
      <x:c r="D3" s="53" t="str">
        <x:v>Issue</x:v>
      </x:c>
      <x:c r="E3" s="53" t="str">
        <x:v>Why_it_matters</x:v>
      </x:c>
      <x:c r="F3" s="53" t="str">
        <x:v>Required_Action</x:v>
      </x:c>
      <x:c r="G3" s="53" t="str">
        <x:v>Training_Status</x:v>
      </x:c>
      <x:c r="H3" s="53" t="str">
        <x:v>Resolution_Priority</x:v>
      </x:c>
    </x:row>
    <x:row r="4">
      <x:c r="A4" s="20" t="str">
        <x:v>QC001</x:v>
      </x:c>
      <x:c r="B4" s="20" t="str">
        <x:v>R027 / W04</x:v>
      </x:c>
      <x:c r="C4" s="20" t="str">
        <x:v>CRITICAL</x:v>
      </x:c>
      <x:c r="D4" s="20" t="str">
        <x:v>Primary article reports two different peptide sequences: Materials = CGPDGRDGRDGPDGR; Results = CCGPDGRDGRDGRDGR.</x:v>
      </x:c>
      <x:c r="E4" s="20" t="str">
        <x:v>Sequence features and the inferred Au7Peptide5 stoichiometry depend directly on Cys count and exact sequence.</x:v>
      </x:c>
      <x:c r="F4" s="20" t="str">
        <x:v>Verify typeset PDF, supplementary material, or author correction before sequence encoding.</x:v>
      </x:c>
      <x:c r="G4" s="20" t="str">
        <x:v>QC_HOLD</x:v>
      </x:c>
      <x:c r="H4" s="20" t="str">
        <x:v>P0</x:v>
      </x:c>
    </x:row>
    <x:row r="5">
      <x:c r="A5" s="20" t="str">
        <x:v>QC002</x:v>
      </x:c>
      <x:c r="B5" s="20" t="str">
        <x:v>R017 / S10</x:v>
      </x:c>
      <x:c r="C5" s="20" t="str">
        <x:v>HIGH</x:v>
      </x:c>
      <x:c r="D5" s="20" t="str">
        <x:v>Au25(SG)18 main article points to Supporting Information / prior method for detailed synthesis.</x:v>
      </x:c>
      <x:c r="E5" s="20" t="str">
        <x:v>Atomic label is valid, but synthesis-condition model would otherwise contain missing or guessed values.</x:v>
      </x:c>
      <x:c r="F5" s="20" t="str">
        <x:v>Acquire SI and canonical primary synthesis protocol; create separate experiment records if protocols differ.</x:v>
      </x:c>
      <x:c r="G5" s="20" t="str">
        <x:v>QC_HOLD_FOR_SYNTHESIS</x:v>
      </x:c>
      <x:c r="H5" s="20" t="str">
        <x:v>P0</x:v>
      </x:c>
    </x:row>
    <x:row r="6">
      <x:c r="A6" s="20" t="str">
        <x:v>QC003</x:v>
      </x:c>
      <x:c r="B6" s="20" t="str">
        <x:v>R023–R024 / W01</x:v>
      </x:c>
      <x:c r="C6" s="20" t="str">
        <x:v>HIGH</x:v>
      </x:c>
      <x:c r="D6" s="20" t="str">
        <x:v>Same SV sequence yields blue and red AuNCs, but exact numeric condition sets are not yet extracted.</x:v>
      </x:c>
      <x:c r="E6" s="20" t="str">
        <x:v>This paired experiment is ideal evidence that synthesis context matters, but cannot train a condition-aware model without actual values.</x:v>
      </x:c>
      <x:c r="F6" s="20" t="str">
        <x:v>Extract pH, Au:peptide ratio, light condition, temperature and time for each color outcome.</x:v>
      </x:c>
      <x:c r="G6" s="20" t="str">
        <x:v>QC_HOLD</x:v>
      </x:c>
      <x:c r="H6" s="20" t="str">
        <x:v>P0</x:v>
      </x:c>
    </x:row>
    <x:row r="7">
      <x:c r="A7" s="20" t="str">
        <x:v>QC004</x:v>
      </x:c>
      <x:c r="B7" s="20" t="str">
        <x:v>R025 / W02</x:v>
      </x:c>
      <x:c r="C7" s="20" t="str">
        <x:v>HIGH</x:v>
      </x:c>
      <x:c r="D7" s="20" t="str">
        <x:v>Cyclodecapeptide exact sequence is not present in searchable text used here.</x:v>
      </x:c>
      <x:c r="E7" s="20" t="str">
        <x:v>Composition-only descriptors cannot replace exact residue order for an inverse sequence model.</x:v>
      </x:c>
      <x:c r="F7" s="20" t="str">
        <x:v>Recover exact cyclic sequence from structure figure/SI or primary PDF.</x:v>
      </x:c>
      <x:c r="G7" s="20" t="str">
        <x:v>QC_HOLD</x:v>
      </x:c>
      <x:c r="H7" s="20" t="str">
        <x:v>P0</x:v>
      </x:c>
    </x:row>
    <x:row r="8">
      <x:c r="A8" s="20" t="str">
        <x:v>QC005</x:v>
      </x:c>
      <x:c r="B8" s="20" t="str">
        <x:v>R028 / W05</x:v>
      </x:c>
      <x:c r="C8" s="20" t="str">
        <x:v>MEDIUM</x:v>
      </x:c>
      <x:c r="D8" s="20" t="str">
        <x:v>Sv sequence in 2017 primary is CCYGGPKKKRKPG, while a related 2020 SV paper uses CCYGGPKKKRKVG.</x:v>
      </x:c>
      <x:c r="E8" s="20" t="str">
        <x:v>These near-identical sequences could leak across train/test and should not be collapsed as the same sequence.</x:v>
      </x:c>
      <x:c r="F8" s="20" t="str">
        <x:v>Keep source-specific sequences separate and cluster homologous sequences during validation.</x:v>
      </x:c>
      <x:c r="G8" s="20" t="str">
        <x:v>TRAIN_STRUCTURE_ONLY</x:v>
      </x:c>
      <x:c r="H8" s="20" t="str">
        <x:v>P0</x:v>
      </x:c>
    </x:row>
    <x:row r="9">
      <x:c r="A9" s="20" t="str">
        <x:v>QC006</x:v>
      </x:c>
      <x:c r="B9" s="20" t="str">
        <x:v>R029 / W06</x:v>
      </x:c>
      <x:c r="C9" s="20" t="str">
        <x:v>MEDIUM</x:v>
      </x:c>
      <x:c r="D9" s="20" t="str">
        <x:v>Article introduction contains DGECGC, while Materials/Methods and synthesis sections specify DGEAGC.</x:v>
      </x:c>
      <x:c r="E9" s="20" t="str">
        <x:v>A typographic inconsistency exists in the primary article.</x:v>
      </x:c>
      <x:c r="F9" s="20" t="str">
        <x:v>Use DGEAGC from Materials/Methods; retain this QC note.</x:v>
      </x:c>
      <x:c r="G9" s="20" t="str">
        <x:v>TRAIN_OPTICAL_SIZE</x:v>
      </x:c>
      <x:c r="H9" s="20" t="str">
        <x:v>P1</x:v>
      </x:c>
    </x:row>
    <x:row r="10">
      <x:c r="A10" s="20" t="str">
        <x:v>QC007</x:v>
      </x:c>
      <x:c r="B10" s="20" t="str">
        <x:v>R018–R020 / S11/S13</x:v>
      </x:c>
      <x:c r="C10" s="20" t="str">
        <x:v>HIGH</x:v>
      </x:c>
      <x:c r="D10" s="20" t="str">
        <x:v>AuPC PTT/biomedical benchmarks are not peptide-templated sequence-design records.</x:v>
      </x:c>
      <x:c r="E10" s="20" t="str">
        <x:v>Including them in the peptide model would create label/domain leakage.</x:v>
      </x:c>
      <x:c r="F10" s="20" t="str">
        <x:v>Keep in benchmark/transfer layer only.</x:v>
      </x:c>
      <x:c r="G10" s="20" t="str">
        <x:v>BENCHMARK_ONLY</x:v>
      </x:c>
      <x:c r="H10" s="20" t="str">
        <x:v>P0</x:v>
      </x:c>
    </x:row>
    <x:row r="11">
      <x:c r="A11" s="20" t="str">
        <x:v>QC008</x:v>
      </x:c>
      <x:c r="B11" s="20" t="str">
        <x:v>R001–R014</x:v>
      </x:c>
      <x:c r="C11" s="20" t="str">
        <x:v>HIGH</x:v>
      </x:c>
      <x:c r="D11" s="20" t="str">
        <x:v>Most inherited peptide experiments concern AuNPs, bipyramids or superstructures rather than sub-3 nm atomic AuNCs.</x:v>
      </x:c>
      <x:c r="E11" s="20" t="str">
        <x:v>Cross-regime data can teach mechanisms but should not be treated as equivalent target samples.</x:v>
      </x:c>
      <x:c r="F11" s="20" t="str">
        <x:v>Use for mechanistic priors/features or auxiliary tasks only.</x:v>
      </x:c>
      <x:c r="G11" s="20" t="str">
        <x:v>MECHANISTIC_ONLY</x:v>
      </x:c>
      <x:c r="H11" s="20" t="str">
        <x:v>P0</x:v>
      </x:c>
    </x:row>
    <x:row r="12">
      <x:c r="A12" s="20" t="str">
        <x:v>QC009</x:v>
      </x:c>
      <x:c r="B12" s="20" t="str">
        <x:v>W10</x:v>
      </x:c>
      <x:c r="C12" s="20" t="str">
        <x:v>HIGH</x:v>
      </x:c>
      <x:c r="D12" s="20" t="str">
        <x:v>Seven-sequence 2022 motif library has strong design value, but per-sequence synthesis/outcome mapping is not yet extracted.</x:v>
      </x:c>
      <x:c r="E12" s="20" t="str">
        <x:v>This may become the best within-paper sequence-comparison dataset and avoids inter-lab confounding.</x:v>
      </x:c>
      <x:c r="F12" s="20" t="str">
        <x:v>Acquire full paper and SI; create one row per sequence×condition outcome.</x:v>
      </x:c>
      <x:c r="G12" s="20" t="str">
        <x:v>PRIMARY_OUTCOME_NEEDED</x:v>
      </x:c>
      <x:c r="H12" s="20" t="str">
        <x:v>P0</x:v>
      </x:c>
    </x:row>
    <x:row r="13">
      <x:c r="A13" s="20" t="str">
        <x:v>QC010</x:v>
      </x:c>
      <x:c r="B13" s="20" t="str">
        <x:v>W13 review-derived sequences</x:v>
      </x:c>
      <x:c r="C13" s="20" t="str">
        <x:v>MEDIUM</x:v>
      </x:c>
      <x:c r="D13" s="20" t="str">
        <x:v>Excitation/emission/QY entries in the 2026 Aggregate review are secondary evidence.</x:v>
      </x:c>
      <x:c r="E13" s="20" t="str">
        <x:v>Secondary values can guide acquisition but should not create duplicated training labels.</x:v>
      </x:c>
      <x:c r="F13" s="20" t="str">
        <x:v>Acquire each primary reference before moving sequence records to TRAIN status.</x:v>
      </x:c>
      <x:c r="G13" s="20" t="str">
        <x:v>PRIMARY_REQUIRED</x:v>
      </x:c>
      <x:c r="H13" s="20" t="str">
        <x:v>P0</x:v>
      </x:c>
    </x:row>
    <x:row r="14">
      <x:c r="A14" s="20" t="str">
        <x:v>QC011</x:v>
      </x:c>
      <x:c r="B14" s="20" t="str">
        <x:v>All formation modeling</x:v>
      </x:c>
      <x:c r="C14" s="20" t="str">
        <x:v>CRITICAL</x:v>
      </x:c>
      <x:c r="D14" s="20" t="str">
        <x:v>Current dataset is dominated by successful syntheses; true failed/negative peptide-AuNC experiments are scarce.</x:v>
      </x:c>
      <x:c r="E14" s="20" t="str">
        <x:v>A formation classifier trained only on positives will reproduce the old majority-class problem.</x:v>
      </x:c>
      <x:c r="F14" s="20" t="str">
        <x:v>Curate explicit failed syntheses/controls and condition-dependent negatives from papers/SI.</x:v>
      </x:c>
      <x:c r="G14" s="20" t="str">
        <x:v>NOT_READY</x:v>
      </x:c>
      <x:c r="H14" s="20" t="str">
        <x:v>P0</x:v>
      </x:c>
    </x:row>
    <x:row r="15">
      <x:c r="A15" s="20" t="str">
        <x:v>QC012</x:v>
      </x:c>
      <x:c r="B15" s="20" t="str">
        <x:v>All PTT modeling</x:v>
      </x:c>
      <x:c r="C15" s="20" t="str">
        <x:v>CRITICAL</x:v>
      </x:c>
      <x:c r="D15" s="20" t="str">
        <x:v>Direct peptide-templated atomic AuNC PTT records remain sparse; most strong PTT records are non-peptide AuNC benchmarks or larger Au structures.</x:v>
      </x:c>
      <x:c r="E15" s="20" t="str">
        <x:v>A peptide→PCE/ΔT regression would currently be statistically indefensible.</x:v>
      </x:c>
      <x:c r="F15" s="20" t="str">
        <x:v>Keep PTT as benchmark/rule layer until enough direct peptide-AuNC PTT studies are obtained.</x:v>
      </x:c>
      <x:c r="G15" s="20" t="str">
        <x:v>NOT_READY</x:v>
      </x:c>
      <x:c r="H15" s="20" t="str">
        <x:v>P0</x:v>
      </x:c>
    </x:row>
    <x:row r="16">
      <x:c r="A16" s="20" t="str">
        <x:v>QC013</x:v>
      </x:c>
      <x:c r="B16" s="20" t="str">
        <x:v>R037–R039 / W17</x:v>
      </x:c>
      <x:c r="C16" s="20" t="str">
        <x:v>CRITICAL</x:v>
      </x:c>
      <x:c r="D16" s="20" t="str">
        <x:v>The positive and two negative controls are matched within one paper and synthesis family.</x:v>
      </x:c>
      <x:c r="E16" s="20" t="str">
        <x:v>Randomly splitting them across train/test would leak the exact protocol and artificially inflate formation performance.</x:v>
      </x:c>
      <x:c r="F16" s="20" t="str">
        <x:v>Always keep W17 positive/negative controls in the same outer fold via Source_ID grouping.</x:v>
      </x:c>
      <x:c r="G16" s="20" t="str">
        <x:v>FORMATION_CONTROL_READY</x:v>
      </x:c>
      <x:c r="H16" s="20" t="str">
        <x:v>P0</x:v>
      </x:c>
    </x:row>
    <x:row r="17">
      <x:c r="A17" s="20" t="str">
        <x:v>QC014</x:v>
      </x:c>
      <x:c r="B17" s="20" t="str">
        <x:v>R037 / R041</x:v>
      </x:c>
      <x:c r="C17" s="20" t="str">
        <x:v>HIGH</x:v>
      </x:c>
      <x:c r="D17" s="20" t="str">
        <x:v>KRKC+GSH appears in a peer-reviewed 2019 article and an earlier patent with different synthesis times and optical outcomes.</x:v>
      </x:c>
      <x:c r="E17" s="20" t="str">
        <x:v>Same ligand set across source families can leak sequence identity even when Source_ID differs.</x:v>
      </x:c>
      <x:c r="F17" s="20" t="str">
        <x:v>Multi-ligand canonicalization must map both to the same ligand-set sequence group before CV.</x:v>
      </x:c>
      <x:c r="G17" s="20" t="str">
        <x:v>GROUP_BY_LIGAND_SET</x:v>
      </x:c>
      <x:c r="H17" s="20" t="str">
        <x:v>P0</x:v>
      </x:c>
    </x:row>
    <x:row r="18">
      <x:c r="A18" s="20" t="str">
        <x:v>QC015</x:v>
      </x:c>
      <x:c r="B18" s="20" t="str">
        <x:v>R040–R043</x:v>
      </x:c>
      <x:c r="C18" s="20" t="str">
        <x:v>HIGH</x:v>
      </x:c>
      <x:c r="D18" s="20" t="str">
        <x:v>Patent primary evidence is experimentally useful but is not peer-reviewed literature.</x:v>
      </x:c>
      <x:c r="E18" s="20" t="str">
        <x:v>A model can learn from patents during exploratory development, but a scientific accuracy claim should not rely on patent-only external validation.</x:v>
      </x:c>
      <x:c r="F18" s="20" t="str">
        <x:v>Track Evidence_Level explicitly; report peer-reviewed-only sensitivity analysis and reserve peer-reviewed external tests.</x:v>
      </x:c>
      <x:c r="G18" s="20" t="str">
        <x:v>PATENT_AUXILIARY</x:v>
      </x:c>
      <x:c r="H18" s="20" t="str">
        <x:v>P0</x:v>
      </x:c>
    </x:row>
    <x:row r="19">
      <x:c r="A19" s="20" t="str">
        <x:v>QC016</x:v>
      </x:c>
      <x:c r="B19" s="20" t="str">
        <x:v>R042 / W20</x:v>
      </x:c>
      <x:c r="C19" s="20" t="str">
        <x:v>CRITICAL</x:v>
      </x:c>
      <x:c r="D19" s="20" t="str">
        <x:v>AuNCs-TAT uses 808 nm irradiation but the source describes ROS-generating photodynamic therapy.</x:v>
      </x:c>
      <x:c r="E19" s="20" t="str">
        <x:v>Laser wavelength alone cannot define PTT. Mislabeling PDT as PTT would corrupt the intended heat-generation target.</x:v>
      </x:c>
      <x:c r="F19" s="20" t="str">
        <x:v>Keep Mechanism_Class=PDT; exclude from PTT/PCE/ΔT model.</x:v>
      </x:c>
      <x:c r="G19" s="20" t="str">
        <x:v>PDT_ONLY</x:v>
      </x:c>
      <x:c r="H19" s="20" t="str">
        <x:v>P0</x:v>
      </x:c>
    </x:row>
    <x:row r="20">
      <x:c r="A20" s="20" t="str">
        <x:v>QC017</x:v>
      </x:c>
      <x:c r="B20" s="20" t="str">
        <x:v>R041 / W19</x:v>
      </x:c>
      <x:c r="C20" s="20" t="str">
        <x:v>MEDIUM</x:v>
      </x:c>
      <x:c r="D20" s="20" t="str">
        <x:v>Patent gives a reaction-temperature range of 70–80°C, not one exact temperature.</x:v>
      </x:c>
      <x:c r="E20" s="20" t="str">
        <x:v>Using an invented midpoint as an exact numeric feature would create false precision.</x:v>
      </x:c>
      <x:c r="F20" s="20" t="str">
        <x:v>Temperature_C intentionally left blank; preserve 70–80°C in process text. Future schema can add Temp_Min/Temp_Max.</x:v>
      </x:c>
      <x:c r="G20" s="20" t="str">
        <x:v>RANGE_PRESERVED</x:v>
      </x:c>
      <x:c r="H20" s="20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21188f59a3ff45a0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46" hidden="0" customWidth="1"/>
    <x:col min="4" max="4" width="52" hidden="0" customWidth="1"/>
    <x:col min="5" max="5" width="16" hidden="0" customWidth="1"/>
    <x:col min="6" max="6" width="54" hidden="0" customWidth="1"/>
    <x:col min="7" max="7" width="54" hidden="0" customWidth="1"/>
    <x:col min="8" max="8" width="50" hidden="0" customWidth="1"/>
    <x:col min="9" max="9" width="45" hidden="0" customWidth="1"/>
    <x:col min="10" max="10" width="20" hidden="0" customWidth="1"/>
  </x:cols>
  <x:sheetData>
    <x:row r="1">
      <x:c r="A1" s="48" t="str">
        <x:v>Model Gates v0.4 — Current Evidence vs Required Scientific Thresholds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3">
      <x:c r="A3" s="53" t="str">
        <x:v>Gate</x:v>
      </x:c>
      <x:c r="B3" s="53" t="str">
        <x:v>Module</x:v>
      </x:c>
      <x:c r="C3" s="53" t="str">
        <x:v>Current_Evidence</x:v>
      </x:c>
      <x:c r="D3" s="53" t="str">
        <x:v>Required_Operational_Gate</x:v>
      </x:c>
      <x:c r="E3" s="53" t="str">
        <x:v>Status</x:v>
      </x:c>
      <x:c r="F3" s="53" t="str">
        <x:v>What_Improved_v0.4</x:v>
      </x:c>
      <x:c r="G3" s="53" t="str">
        <x:v>Remaining_Blocker</x:v>
      </x:c>
      <x:c r="H3" s="53" t="str">
        <x:v>Validation_Rule</x:v>
      </x:c>
      <x:c r="I3" s="53" t="str">
        <x:v>Patent_Policy</x:v>
      </x:c>
      <x:c r="J3" s="53" t="str">
        <x:v>Production_Claim</x:v>
      </x:c>
    </x:row>
    <x:row r="4">
      <x:c r="A4" s="20" t="str">
        <x:v>G1</x:v>
      </x:c>
      <x:c r="B4" s="20" t="str">
        <x:v>Provenance</x:v>
      </x:c>
      <x:c r="C4" s="20" t="str">
        <x:v>43 records; explicit Evidence_Level; patents separated</x:v>
      </x:c>
      <x:c r="D4" s="20" t="str">
        <x:v>Exact source + sequence + regime + QC for train rows</x:v>
      </x:c>
      <x:c r="E4" s="20" t="str">
        <x:v>PARTIAL</x:v>
      </x:c>
      <x:c r="F4" s="20" t="str">
        <x:v>Added full-text peer-reviewed W17 and direct primary patents with provenance tags.</x:v>
      </x:c>
      <x:c r="G4" s="20" t="str">
        <x:v>Some promising older rows still need SI/full primary extraction.</x:v>
      </x:c>
      <x:c r="H4" s="20" t="str">
        <x:v>Audit every training row before model freeze.</x:v>
      </x:c>
      <x:c r="I4" s="20" t="str">
        <x:v>Patents allowed for exploratory training, not sole external test.</x:v>
      </x:c>
      <x:c r="J4" s="20" t="str">
        <x:v>NO</x:v>
      </x:c>
    </x:row>
    <x:row r="5">
      <x:c r="A5" s="20" t="str">
        <x:v>G2</x:v>
      </x:c>
      <x:c r="B5" s="20" t="str">
        <x:v>Optical/size regression</x:v>
      </x:c>
      <x:c r="C5" s="20" t="str">
        <x:v>New peer-reviewed KRKC+GSH record + KCK patent + therapeutic sequences</x:v>
      </x:c>
      <x:c r="D5" s="20" t="str">
        <x:v>≈30–50 direct peptide-AuNC rows, ≥8 papers, ≥20 sequence families</x:v>
      </x:c>
      <x:c r="E5" s="20" t="str">
        <x:v>WAIT</x:v>
      </x:c>
      <x:c r="F5" s="20" t="str">
        <x:v>Added 1.8/2.3 nm, λem600/QY21 peer-reviewed record and exact KCK size/optical record.</x:v>
      </x:c>
      <x:c r="G5" s="20" t="str">
        <x:v>Still too few independent sequence families and complete condition rows.</x:v>
      </x:c>
      <x:c r="H5" s="20" t="str">
        <x:v>Paper-grouped + canonical ligand-set sequence grouping + nested CV.</x:v>
      </x:c>
      <x:c r="I5" s="20" t="str">
        <x:v>Run peer-reviewed-only sensitivity analysis.</x:v>
      </x:c>
      <x:c r="J5" s="20" t="str">
        <x:v>NO</x:v>
      </x:c>
    </x:row>
    <x:row r="6">
      <x:c r="A6" s="20" t="str">
        <x:v>G3</x:v>
      </x:c>
      <x:c r="B6" s="20" t="str">
        <x:v>Atomic nuclearity</x:v>
      </x:c>
      <x:c r="C6" s="20" t="str">
        <x:v>Au25Sv9 upgraded to TRAIN_CORE with exact synthesis</x:v>
      </x:c>
      <x:c r="D6" s="20" t="str">
        <x:v>≥30 independent nuclearity-labeled peptide-AuNC rows for exploratory model</x:v>
      </x:c>
      <x:c r="E6" s="20" t="str">
        <x:v>STOP</x:v>
      </x:c>
      <x:c r="F6" s="20" t="str">
        <x:v>R028 now has exact pH 10 / 15 h synthesis and is no longer protocol-QC limited.</x:v>
      </x:c>
      <x:c r="G6" s="20" t="str">
        <x:v>Atomic sequence/nuclearity diversity remains very small.</x:v>
      </x:c>
      <x:c r="H6" s="20" t="str">
        <x:v>Strict leave-paper/family-out validation.</x:v>
      </x:c>
      <x:c r="I6" s="20" t="str">
        <x:v>Patent nuclearity labels only if independently characterized.</x:v>
      </x:c>
      <x:c r="J6" s="20" t="str">
        <x:v>NO</x:v>
      </x:c>
    </x:row>
    <x:row r="7">
      <x:c r="A7" s="20" t="str">
        <x:v>G4</x:v>
      </x:c>
      <x:c r="B7" s="20" t="str">
        <x:v>Formation classifier</x:v>
      </x:c>
      <x:c r="C7" s="20" t="str">
        <x:v>1 matched positive + 2 explicit matched negatives from W17</x:v>
      </x:c>
      <x:c r="D7" s="20" t="str">
        <x:v>Multiple independent papers with genuine positives and negatives; nontrivial balance</x:v>
      </x:c>
      <x:c r="E7" s="20" t="str">
        <x:v>WAIT/STOP</x:v>
      </x:c>
      <x:c r="F7" s="20" t="str">
        <x:v>First high-quality explicit failed-synthesis controls added.</x:v>
      </x:c>
      <x:c r="G7" s="20" t="str">
        <x:v>Only two negatives from one paper/family; insufficient generalization evidence.</x:v>
      </x:c>
      <x:c r="H7" s="20" t="str">
        <x:v>Never split matched controls across folds; balanced accuracy/MCC/AUPRC/Brier.</x:v>
      </x:c>
      <x:c r="I7" s="20" t="str">
        <x:v>Patents may add controls but peer-reviewed negatives prioritized.</x:v>
      </x:c>
      <x:c r="J7" s="20" t="str">
        <x:v>NO</x:v>
      </x:c>
    </x:row>
    <x:row r="8">
      <x:c r="A8" s="20" t="str">
        <x:v>G5</x:v>
      </x:c>
      <x:c r="B8" s="20" t="str">
        <x:v>PTT regression</x:v>
      </x:c>
      <x:c r="C8" s="20" t="str">
        <x:v>PTT benchmarks retained; PDT now explicitly separated</x:v>
      </x:c>
      <x:c r="D8" s="20" t="str">
        <x:v>Direct peptide-AuNC PTT across multiple peptide families + laser contexts</x:v>
      </x:c>
      <x:c r="E8" s="20" t="str">
        <x:v>STOP</x:v>
      </x:c>
      <x:c r="F8" s="20" t="str">
        <x:v>v0.4 prevents 808-nm PDT systems from being mislabeled as PTT.</x:v>
      </x:c>
      <x:c r="G8" s="20" t="str">
        <x:v>Direct peptide-templated AuNC PCE/ΔT data remain sparse.</x:v>
      </x:c>
      <x:c r="H8" s="20" t="str">
        <x:v>Harmonize wavelength, power, concentration; group by paper.</x:v>
      </x:c>
      <x:c r="I8" s="20" t="str">
        <x:v>PDT patents excluded from PTT labels.</x:v>
      </x:c>
      <x:c r="J8" s="20" t="str">
        <x:v>NO</x:v>
      </x:c>
    </x:row>
    <x:row r="9">
      <x:c r="A9" s="20" t="str">
        <x:v>G6</x:v>
      </x:c>
      <x:c r="B9" s="20" t="str">
        <x:v>PDT auxiliary model</x:v>
      </x:c>
      <x:c r="C9" s="20" t="str">
        <x:v>Direct TAT and Anti-FLT1 peptide-AuNC therapeutic evidence added</x:v>
      </x:c>
      <x:c r="D9" s="20" t="str">
        <x:v>Sufficient peer-reviewed peptide-AuNC PDT rows for separate target</x:v>
      </x:c>
      <x:c r="E9" s="20" t="str">
        <x:v>EARLY</x:v>
      </x:c>
      <x:c r="F9" s="20" t="str">
        <x:v>PDT is now its own mechanism class rather than contaminating PTT.</x:v>
      </x:c>
      <x:c r="G9" s="20" t="str">
        <x:v>Most new exact therapeutic records are patent evidence.</x:v>
      </x:c>
      <x:c r="H9" s="20" t="str">
        <x:v>Separate model/task; ROS or viability endpoints must be harmonized.</x:v>
      </x:c>
      <x:c r="I9" s="20" t="str">
        <x:v>Patents are hypothesis/auxiliary evidence until peer-reviewed expansion.</x:v>
      </x:c>
      <x:c r="J9" s="20" t="str">
        <x:v>NO</x:v>
      </x:c>
    </x:row>
    <x:row r="10">
      <x:c r="A10" s="20" t="str">
        <x:v>G7</x:v>
      </x:c>
      <x:c r="B10" s="20" t="str">
        <x:v>External validation</x:v>
      </x:c>
      <x:c r="C10" s="20" t="str">
        <x:v>Not yet frozen</x:v>
      </x:c>
      <x:c r="D10" s="20" t="str">
        <x:v>≥2 independent peer-reviewed papers/labs untouched by tuning</x:v>
      </x:c>
      <x:c r="E10" s="20" t="str">
        <x:v>STOP</x:v>
      </x:c>
      <x:c r="F10" s="20" t="str">
        <x:v>Evidence-level field now enables peer-reviewed-only external selection.</x:v>
      </x:c>
      <x:c r="G10" s="20" t="str">
        <x:v>Dataset still too small to sacrifice robust external test papers.</x:v>
      </x:c>
      <x:c r="H10" s="20" t="str">
        <x:v>Freeze external set before final model selection.</x:v>
      </x:c>
      <x:c r="I10" s="20" t="str">
        <x:v>External accuracy claim should be peer-reviewed-based.</x:v>
      </x:c>
      <x:c r="J10" s="20" t="str">
        <x:v>NO</x:v>
      </x:c>
    </x:row>
    <x:row r="11">
      <x:c r="A11" s="20" t="str">
        <x:v>G8</x:v>
      </x:c>
      <x:c r="B11" s="20" t="str">
        <x:v>Streamlit research shell</x:v>
      </x:c>
      <x:c r="C11" s="20" t="str">
        <x:v>Evidence DB + model gates + benchmark code available</x:v>
      </x:c>
      <x:c r="D11" s="20" t="str">
        <x:v>Frozen DB/model card + OOD + uncertainty + evidence tracing</x:v>
      </x:c>
      <x:c r="E11" s="20" t="str">
        <x:v>GO WITH LABEL</x:v>
      </x:c>
      <x:c r="F11" s="20" t="str">
        <x:v>App can show evidence explorer, synthesis records and model-readiness state now.</x:v>
      </x:c>
      <x:c r="G11" s="20" t="str">
        <x:v>Do not show unsupported prediction accuracy or clinical/experimental certainty.</x:v>
      </x:c>
      <x:c r="H11" s="20" t="str">
        <x:v>Versioned inference tests and model cards.</x:v>
      </x:c>
      <x:c r="I11" s="20" t="str">
        <x:v>Display source type and peer-review status.</x:v>
      </x:c>
      <x:c r="J11" s="20" t="str">
        <x:v>RESEARCH PROTOTYPE ONLY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d902e8fa1297432c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6" hidden="0" customWidth="1"/>
    <x:col min="4" max="4" width="30" hidden="0" customWidth="1"/>
    <x:col min="5" max="5" width="18" hidden="0" customWidth="1"/>
    <x:col min="6" max="6" width="54" hidden="0" customWidth="1"/>
    <x:col min="7" max="7" width="62" hidden="0" customWidth="1"/>
    <x:col min="8" max="8" width="56" hidden="0" customWidth="1"/>
  </x:cols>
  <x:sheetData>
    <x:row r="1">
      <x:c r="A1" s="48" t="str">
        <x:v>NanoMax PepAu-Forge — PepAuDB v0.4 Dashboard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3">
      <x:c r="A3" s="53" t="str">
        <x:v>KPI</x:v>
      </x:c>
      <x:c r="B3" s="53" t="str">
        <x:v>Value</x:v>
      </x:c>
      <x:c r="D3" s="53" t="str">
        <x:v>Workstream</x:v>
      </x:c>
      <x:c r="E3" s="53" t="str">
        <x:v>Decision</x:v>
      </x:c>
      <x:c r="F3" s="53" t="str">
        <x:v>v0.4 Evidence</x:v>
      </x:c>
      <x:c r="G3" s="53" t="str">
        <x:v>What this means</x:v>
      </x:c>
      <x:c r="H3" s="53" t="str">
        <x:v>Next action</x:v>
      </x:c>
    </x:row>
    <x:row r="4">
      <x:c r="A4" t="str">
        <x:v>Total master records</x:v>
      </x:c>
      <x:c r="B4" t="n">
        <x:f>COUNTA(PepAuDB_v0.4!A4:A46)</x:f>
        <x:v>43</x:v>
      </x:c>
      <x:c r="D4" s="20" t="str">
        <x:v>Database expansion</x:v>
      </x:c>
      <x:c r="E4" s="20" t="str">
        <x:v>GO</x:v>
      </x:c>
      <x:c r="F4" s="20" t="str">
        <x:v>43 total records; new full-text article + four patent systems</x:v>
      </x:c>
      <x:c r="G4" s="20" t="str">
        <x:v>Evidence diversity improved, but not yet enough for final regression claims.</x:v>
      </x:c>
      <x:c r="H4" s="20" t="str">
        <x:v>Continue primary-paper extraction and convert study-level panels to experiment rows.</x:v>
      </x:c>
    </x:row>
    <x:row r="5">
      <x:c r="A5" t="str">
        <x:v>Peer-reviewed full-text positive formation rows</x:v>
      </x:c>
      <x:c r="B5" t="n">
        <x:f>COUNTIFS(PepAuDB_v0.4!AO4:AO46,1,PepAuDB_v0.4!AQ4:AQ46,"PEER_REVIEWED_PRIMARY_FULLTEXT")</x:f>
        <x:v>2</x:v>
      </x:c>
      <x:c r="D5" s="20" t="str">
        <x:v>Formation classifier</x:v>
      </x:c>
      <x:c r="E5" s="20" t="str">
        <x:v>NOT YET</x:v>
      </x:c>
      <x:c r="F5" s="20" t="str">
        <x:v>Two genuine matched negatives now exist</x:v>
      </x:c>
      <x:c r="G5" s="20" t="str">
        <x:v>We can implement/test the classification pipeline, but not claim generalizable accuracy.</x:v>
      </x:c>
      <x:c r="H5" s="20" t="str">
        <x:v>Find negatives from additional papers/SI and failed condition screens.</x:v>
      </x:c>
    </x:row>
    <x:row r="6">
      <x:c r="A6" t="str">
        <x:v>Explicit negative formation controls</x:v>
      </x:c>
      <x:c r="B6" t="n">
        <x:f>COUNTIF(PepAuDB_v0.4!AO4:AO46,0)</x:f>
        <x:v>2</x:v>
      </x:c>
      <x:c r="D6" s="20" t="str">
        <x:v>Optical/size ML</x:v>
      </x:c>
      <x:c r="E6" s="20" t="str">
        <x:v>WAIT</x:v>
      </x:c>
      <x:c r="F6" s="20" t="str">
        <x:v>K4 peer-reviewed + KCK patent add exact size/optical outcomes</x:v>
      </x:c>
      <x:c r="G6" s="20" t="str">
        <x:v>Data are better, but independent sequence-family count remains below gate.</x:v>
      </x:c>
      <x:c r="H6" s="20" t="str">
        <x:v>Acquire exact rows from W10/W01/W09 and other direct peptide-AuNC papers.</x:v>
      </x:c>
    </x:row>
    <x:row r="7">
      <x:c r="A7" t="str">
        <x:v>TRAIN_CORE</x:v>
      </x:c>
      <x:c r="B7" t="n">
        <x:f>COUNTIF(PepAuDB_v0.4!AJ4:AJ46,"TRAIN_CORE")</x:f>
        <x:v>4</x:v>
      </x:c>
      <x:c r="D7" s="20" t="str">
        <x:v>Atomic nuclearity</x:v>
      </x:c>
      <x:c r="E7" s="20" t="str">
        <x:v>STOP</x:v>
      </x:c>
      <x:c r="F7" s="20" t="str">
        <x:v>Au25Sv9 synthesis now exact</x:v>
      </x:c>
      <x:c r="G7" s="20" t="str">
        <x:v>Protocol completeness improved; nuclearity sample diversity did not.</x:v>
      </x:c>
      <x:c r="H7" s="20" t="str">
        <x:v>Mine atomic peptide-protected Au_n primary studies.</x:v>
      </x:c>
    </x:row>
    <x:row r="8">
      <x:c r="A8" t="str">
        <x:v>Optical/size eligible incl. multi-ligand/patent</x:v>
      </x:c>
      <x:c r="B8" t="n">
        <x:f>COUNTIF(PepAuDB_v0.4!AJ4:AJ46,"TRAIN_OPTICAL_SIZE")+COUNTIF(PepAuDB_v0.4!AJ4:AJ46,"TRAIN_OPTICAL_SIZE_MULTI_LIGAND")+COUNTIF(PepAuDB_v0.4!AJ4:AJ46,"TRAIN_OPTICAL_SIZE_PATENT")+COUNTIF(PepAuDB_v0.4!AJ4:AJ46,"TRAIN_OPTICAL_SIZE_MULTI_LIGAND_PATENT")</x:f>
        <x:v>4</x:v>
      </x:c>
      <x:c r="D8" s="20" t="str">
        <x:v>PTT</x:v>
      </x:c>
      <x:c r="E8" s="20" t="str">
        <x:v>STOP</x:v>
      </x:c>
      <x:c r="F8" s="20" t="str">
        <x:v>No new direct peptide-AuNC heat/PCE records</x:v>
      </x:c>
      <x:c r="G8" s="20" t="str">
        <x:v>PDT sources must not be substituted for PTT.</x:v>
      </x:c>
      <x:c r="H8" s="20" t="str">
        <x:v>Target peptide-AuNC papers reporting PCE, ΔT, heating rate or thermal cycles.</x:v>
      </x:c>
    </x:row>
    <x:row r="9">
      <x:c r="A9" t="str">
        <x:v>Patent-primary records</x:v>
      </x:c>
      <x:c r="B9" t="n">
        <x:f>COUNTIF(PepAuDB_v0.4!AQ4:AQ46,"PATENT_PRIMARY")</x:f>
        <x:v>4</x:v>
      </x:c>
      <x:c r="D9" s="20" t="str">
        <x:v>PDT auxiliary</x:v>
      </x:c>
      <x:c r="E9" s="20" t="str">
        <x:v>EARLY</x:v>
      </x:c>
      <x:c r="F9" s="20" t="str">
        <x:v>TAT and Anti-FLT1 exact therapeutic sequences added</x:v>
      </x:c>
      <x:c r="G9" s="20" t="str">
        <x:v>Useful for later multi-task cancer design, separate from PTT.</x:v>
      </x:c>
      <x:c r="H9" s="20" t="str">
        <x:v>Find peer-reviewed PDT sequence+synthesis outcome data.</x:v>
      </x:c>
    </x:row>
    <x:row r="10">
      <x:c r="A10" t="str">
        <x:v>Peer-reviewed W17 controls</x:v>
      </x:c>
      <x:c r="B10" t="n">
        <x:v>3</x:v>
      </x:c>
      <x:c r="D10" s="20" t="str">
        <x:v>Benchmark code</x:v>
      </x:c>
      <x:c r="E10" s="20" t="str">
        <x:v>GO</x:v>
      </x:c>
      <x:c r="F10" s="20" t="str">
        <x:v>Multi-ligand parser + formation controls + patent sensitivity planned</x:v>
      </x:c>
      <x:c r="G10" s="20" t="str">
        <x:v>Code can advance without fabricating metrics.</x:v>
      </x:c>
      <x:c r="H10" s="20" t="str">
        <x:v>Run only when target gates pass; peer-reviewed-only sensitivity required.</x:v>
      </x:c>
    </x:row>
    <x:row r="11">
      <x:c r="A11" t="str">
        <x:v>PDT-adjacent records</x:v>
      </x:c>
      <x:c r="B11" t="n">
        <x:f>COUNTIF(PepAuDB_v0.4!AJ4:AJ46,"PDT_ADJACENT")</x:f>
        <x:v>2</x:v>
      </x:c>
      <x:c r="D11" s="20" t="str">
        <x:v>Streamlit shell</x:v>
      </x:c>
      <x:c r="E11" s="20" t="str">
        <x:v>GO WITH LABEL</x:v>
      </x:c>
      <x:c r="F11" s="20" t="str">
        <x:v>Evidence explorer is now strong enough for a professional research UI</x:v>
      </x:c>
      <x:c r="G11" s="20" t="str">
        <x:v>UI should expose evidence level, QC and model readiness rather than fake accuracy.</x:v>
      </x:c>
      <x:c r="H11" s="20" t="str">
        <x:v>Build after v0.4 benchmark package is frozen.</x:v>
      </x:c>
    </x:row>
    <x:row r="12">
      <x:c r="A12" t="str">
        <x:v>PTT production-ready rows</x:v>
      </x:c>
      <x:c r="B12" t="n">
        <x:v>0</x:v>
      </x:c>
    </x:row>
    <x:row r="13">
      <x:c r="A13" t="str">
        <x:v>Atomic production-ready target</x:v>
      </x:c>
      <x:c r="B13" t="n">
        <x:v>0</x:v>
      </x:c>
    </x:row>
    <x:row r="14">
      <x:c r="A14" t="str">
        <x:v>Formation production-ready target</x:v>
      </x:c>
      <x:c r="B14" t="n">
        <x:v>0</x:v>
      </x:c>
      <x:c r="D14" s="53" t="str">
        <x:v>Evidence bucket</x:v>
      </x:c>
      <x:c r="E14" s="53" t="str">
        <x:v>Count</x:v>
      </x:c>
    </x:row>
    <x:row r="15">
      <x:c r="A15" t="str">
        <x:v>Current scientific claim</x:v>
      </x:c>
      <x:c r="B15" t="str">
        <x:v>Research prototype</x:v>
      </x:c>
      <x:c r="D15" t="str">
        <x:v>TRAIN_CORE</x:v>
      </x:c>
      <x:c r="E15" t="n">
        <x:f>COUNTIF(PepAuDB_v0.4!AJ4:AJ46,"TRAIN_CORE")</x:f>
        <x:v>4</x:v>
      </x:c>
    </x:row>
    <x:row r="16">
      <x:c r="A16" t="str">
        <x:v>Benchmark notebook</x:v>
      </x:c>
      <x:c r="B16" t="str">
        <x:v>v0.4 created</x:v>
      </x:c>
      <x:c r="D16" t="str">
        <x:v>Formation negatives</x:v>
      </x:c>
      <x:c r="E16" t="n">
        <x:f>COUNTIF(PepAuDB_v0.4!AO4:AO46,0)</x:f>
        <x:v>2</x:v>
      </x:c>
    </x:row>
    <x:row r="17">
      <x:c r="D17" t="str">
        <x:v>Patent primary</x:v>
      </x:c>
      <x:c r="E17" t="n">
        <x:f>COUNTIF(PepAuDB_v0.4!AQ4:AQ46,"PATENT_PRIMARY")</x:f>
        <x:v>4</x:v>
      </x:c>
    </x:row>
    <x:row r="18">
      <x:c r="D18" t="str">
        <x:v>PDT adjacent</x:v>
      </x:c>
      <x:c r="E18" t="n">
        <x:f>COUNTIF(PepAuDB_v0.4!AJ4:AJ46,"PDT_ADJACENT")</x:f>
        <x:v>2</x:v>
      </x:c>
    </x:row>
    <x:row r="19">
      <x:c r="A19" s="53" t="str">
        <x:v>Highest-value next acquisition</x:v>
      </x:c>
      <x:c r="B19" s="53" t="str">
        <x:v>Why</x:v>
      </x:c>
      <x:c r="D19" t="str">
        <x:v>Optical/size eligible</x:v>
      </x:c>
      <x:c r="E19" t="n">
        <x:f>COUNTIF(PepAuDB_v0.4!AJ4:AJ46,"TRAIN_OPTICAL_SIZE")+COUNTIF(PepAuDB_v0.4!AJ4:AJ46,"TRAIN_OPTICAL_SIZE_MULTI_LIGAND")+COUNTIF(PepAuDB_v0.4!AJ4:AJ46,"TRAIN_OPTICAL_SIZE_PATENT")+COUNTIF(PepAuDB_v0.4!AJ4:AJ46,"TRAIN_OPTICAL_SIZE_MULTI_LIGAND_PATENT")</x:f>
        <x:v>4</x:v>
      </x:c>
    </x:row>
    <x:row r="20">
      <x:c r="A20" s="20" t="str">
        <x:v>W10 full text/SI per-sequence mapping</x:v>
      </x:c>
      <x:c r="B20" s="20" t="str">
        <x:v>Seven exact peptides under one paper; best near-term controlled sequence panel.</x:v>
      </x:c>
    </x:row>
    <x:row r="21">
      <x:c r="A21" s="20" t="str">
        <x:v>W01 blue/red SV exact condition sets</x:v>
      </x:c>
      <x:c r="B21" s="20" t="str">
        <x:v>Same exact sequence with two optical outcomes; ideal condition-aware evidence.</x:v>
      </x:c>
    </x:row>
    <x:row r="22">
      <x:c r="A22" s="20" t="str">
        <x:v>W09 CMMMMM/CYYYYY SI</x:v>
      </x:c>
      <x:c r="B22" s="20" t="str">
        <x:v>Matched sequence contrast for fluorescence and photostability.</x:v>
      </x:c>
    </x:row>
    <x:row r="23">
      <x:c r="A23" s="20" t="str">
        <x:v>More explicit failed synthesis controls</x:v>
      </x:c>
      <x:c r="B23" s="20" t="str">
        <x:v>Formation model now has 2 negatives, but both are from one paper.</x:v>
      </x:c>
    </x:row>
    <x:row r="24">
      <x:c r="A24" s="20" t="str">
        <x:v>Direct peptide-AuNC PTT primary papers</x:v>
      </x:c>
      <x:c r="B24" s="20" t="str">
        <x:v>Still the largest gap for the intended cancer photothermal objective.</x:v>
      </x:c>
    </x:row>
    <x:row r="25">
      <x:c r="A25" s="20" t="str">
        <x:v>Atomic Au_n peptide clusters</x:v>
      </x:c>
      <x:c r="B25" s="20" t="str">
        <x:v>Needed before atomic-precision prediction can be scientifically defended.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0a5868b2b0914a2f"/>
</x:worksheet>
</file>