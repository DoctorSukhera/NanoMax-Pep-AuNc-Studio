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21.xml" ContentType="application/vnd.openxmlformats-officedocument.spreadsheetml.worksheet+xml"/>
  <Override PartName="/xl/tables/table17.xml" ContentType="application/vnd.openxmlformats-officedocument.spreadsheetml.table+xml"/>
  <Override PartName="/xl/worksheets/sheet22.xml" ContentType="application/vnd.openxmlformats-officedocument.spreadsheetml.worksheet+xml"/>
  <Override PartName="/xl/tables/table18.xml" ContentType="application/vnd.openxmlformats-officedocument.spreadsheetml.table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ables/table21.xml" ContentType="application/vnd.openxmlformats-officedocument.spreadsheetml.table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30.xml" ContentType="application/vnd.openxmlformats-officedocument.spreadsheetml.worksheet+xml"/>
  <Override PartName="/xl/tables/table24.xml" ContentType="application/vnd.openxmlformats-officedocument.spreadsheetml.table+xml"/>
  <Override PartName="/xl/worksheets/sheet31.xml" ContentType="application/vnd.openxmlformats-officedocument.spreadsheetml.worksheet+xml"/>
  <Override PartName="/xl/tables/table25.xml" ContentType="application/vnd.openxmlformats-officedocument.spreadsheetml.table+xml"/>
  <Override PartName="/xl/worksheets/sheet32.xml" ContentType="application/vnd.openxmlformats-officedocument.spreadsheetml.worksheet+xml"/>
  <Override PartName="/xl/tables/table26.xml" ContentType="application/vnd.openxmlformats-officedocument.spreadsheetml.table+xml"/>
  <Override PartName="/xl/worksheets/sheet33.xml" ContentType="application/vnd.openxmlformats-officedocument.spreadsheetml.worksheet+xml"/>
  <Override PartName="/xl/tables/table27.xml" ContentType="application/vnd.openxmlformats-officedocument.spreadsheetml.table+xml"/>
  <Override PartName="/xl/worksheets/sheet34.xml" ContentType="application/vnd.openxmlformats-officedocument.spreadsheetml.worksheet+xml"/>
  <Override PartName="/xl/tables/table28.xml" ContentType="application/vnd.openxmlformats-officedocument.spreadsheetml.table+xml"/>
  <Override PartName="/xl/worksheets/sheet35.xml" ContentType="application/vnd.openxmlformats-officedocument.spreadsheetml.worksheet+xml"/>
  <Override PartName="/xl/tables/table29.xml" ContentType="application/vnd.openxmlformats-officedocument.spreadsheetml.table+xml"/>
  <Override PartName="/xl/worksheets/sheet36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ables/table30.xml" ContentType="application/vnd.openxmlformats-officedocument.spreadsheetml.table+xml"/>
  <Override PartName="/xl/worksheets/sheet39.xml" ContentType="application/vnd.openxmlformats-officedocument.spreadsheetml.worksheet+xml"/>
  <Override PartName="/xl/tables/table31.xml" ContentType="application/vnd.openxmlformats-officedocument.spreadsheetml.table+xml"/>
  <Override PartName="/xl/worksheets/sheet40.xml" ContentType="application/vnd.openxmlformats-officedocument.spreadsheetml.worksheet+xml"/>
  <Override PartName="/xl/tables/table32.xml" ContentType="application/vnd.openxmlformats-officedocument.spreadsheetml.table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ables/table33.xml" ContentType="application/vnd.openxmlformats-officedocument.spreadsheetml.table+xml"/>
  <Override PartName="/xl/worksheets/sheet43.xml" ContentType="application/vnd.openxmlformats-officedocument.spreadsheetml.worksheet+xml"/>
  <Override PartName="/xl/tables/table34.xml" ContentType="application/vnd.openxmlformats-officedocument.spreadsheetml.table+xml"/>
  <Override PartName="/xl/worksheets/sheet44.xml" ContentType="application/vnd.openxmlformats-officedocument.spreadsheetml.worksheet+xml"/>
  <Override PartName="/xl/tables/table35.xml" ContentType="application/vnd.openxmlformats-officedocument.spreadsheetml.table+xml"/>
  <Override PartName="/xl/worksheets/sheet45.xml" ContentType="application/vnd.openxmlformats-officedocument.spreadsheetml.worksheet+xml"/>
  <Override PartName="/xl/tables/table36.xml" ContentType="application/vnd.openxmlformats-officedocument.spreadsheetml.table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5a0b66438e47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bc7f117545d4d20"/>
    <x:sheet xmlns:r="http://schemas.openxmlformats.org/officeDocument/2006/relationships" name="Source_Inventory" sheetId="2" r:id="R7f2e7721ccdd443a"/>
    <x:sheet xmlns:r="http://schemas.openxmlformats.org/officeDocument/2006/relationships" name="PepAuDB_v0.1" sheetId="3" r:id="Rf1d185aa23094076"/>
    <x:sheet xmlns:r="http://schemas.openxmlformats.org/officeDocument/2006/relationships" name="PTT_Benchmarks" sheetId="4" r:id="R4540a10dbedf4b48"/>
    <x:sheet xmlns:r="http://schemas.openxmlformats.org/officeDocument/2006/relationships" name="Missing_Literature" sheetId="5" r:id="Rb3ca0c2cacaa4351"/>
    <x:sheet xmlns:r="http://schemas.openxmlformats.org/officeDocument/2006/relationships" name="Data_Dictionary" sheetId="6" r:id="R2b253aed92e54f59"/>
    <x:sheet xmlns:r="http://schemas.openxmlformats.org/officeDocument/2006/relationships" name="Model_Readiness" sheetId="7" r:id="R2cc1d7d9c3b84279"/>
    <x:sheet xmlns:r="http://schemas.openxmlformats.org/officeDocument/2006/relationships" name="Dashboard" sheetId="8" r:id="Rb8cb31718d0a426d"/>
    <x:sheet xmlns:r="http://schemas.openxmlformats.org/officeDocument/2006/relationships" name="PepAuDB_v0.2" sheetId="9" r:id="R77a273d92cd84866"/>
    <x:sheet xmlns:r="http://schemas.openxmlformats.org/officeDocument/2006/relationships" name="Web_Primary_Papers" sheetId="10" r:id="R2f21af95b66140c5"/>
    <x:sheet xmlns:r="http://schemas.openxmlformats.org/officeDocument/2006/relationships" name="Sequence_Library" sheetId="11" r:id="R5b861f81f7ee4668"/>
    <x:sheet xmlns:r="http://schemas.openxmlformats.org/officeDocument/2006/relationships" name="QC_Log_v0.2" sheetId="12" r:id="R82809424d08e4d1f"/>
    <x:sheet xmlns:r="http://schemas.openxmlformats.org/officeDocument/2006/relationships" name="Model_Gates" sheetId="13" r:id="R39773db6c30c479b"/>
    <x:sheet xmlns:r="http://schemas.openxmlformats.org/officeDocument/2006/relationships" name="Dashboard_v0.2" sheetId="14" r:id="R4b3f8e69b70943c5"/>
    <x:sheet xmlns:r="http://schemas.openxmlformats.org/officeDocument/2006/relationships" name="PepAuDB_v0.3" sheetId="15" r:id="Rb078fb03b1444ff2"/>
    <x:sheet xmlns:r="http://schemas.openxmlformats.org/officeDocument/2006/relationships" name="Training_View_v0.3" sheetId="16" r:id="Ra745ee771eee45ab"/>
    <x:sheet xmlns:r="http://schemas.openxmlformats.org/officeDocument/2006/relationships" name="Acquisition_Queue_v0.3" sheetId="17" r:id="Rf9d8f50439904c28"/>
    <x:sheet xmlns:r="http://schemas.openxmlformats.org/officeDocument/2006/relationships" name="Validation_Plan_v0.3" sheetId="18" r:id="R10fa0f5ac2ad4e27"/>
    <x:sheet xmlns:r="http://schemas.openxmlformats.org/officeDocument/2006/relationships" name="Literature_Additions_v0.3" sheetId="19" r:id="Rc18405a1927f4c55"/>
    <x:sheet xmlns:r="http://schemas.openxmlformats.org/officeDocument/2006/relationships" name="Dashboard_v0.3" sheetId="20" r:id="R210e754686fd40f8"/>
    <x:sheet xmlns:r="http://schemas.openxmlformats.org/officeDocument/2006/relationships" name="Benchmark_Run_v0.1" sheetId="21" r:id="Rc04ce1b56fca4810"/>
    <x:sheet xmlns:r="http://schemas.openxmlformats.org/officeDocument/2006/relationships" name="PepAuDB_v0.4" sheetId="22" r:id="R9565200280ca4e52"/>
    <x:sheet xmlns:r="http://schemas.openxmlformats.org/officeDocument/2006/relationships" name="Training_View_v0.4" sheetId="23" r:id="Raab710fed47641db"/>
    <x:sheet xmlns:r="http://schemas.openxmlformats.org/officeDocument/2006/relationships" name="Relative_PL_Panel_v0.4" sheetId="24" r:id="R7e626908d7fb4b7a"/>
    <x:sheet xmlns:r="http://schemas.openxmlformats.org/officeDocument/2006/relationships" name="Formation_Controls_v0.4" sheetId="25" r:id="R93d1f3272ab244b7"/>
    <x:sheet xmlns:r="http://schemas.openxmlformats.org/officeDocument/2006/relationships" name="Literature_Additions_v0.4" sheetId="26" r:id="R9667b32ad24e4f9f"/>
    <x:sheet xmlns:r="http://schemas.openxmlformats.org/officeDocument/2006/relationships" name="Benchmark_Run_v0.2" sheetId="27" r:id="R48d0d7278cef4d04"/>
    <x:sheet xmlns:r="http://schemas.openxmlformats.org/officeDocument/2006/relationships" name="Acquisition_Queue_v0.4" sheetId="28" r:id="Rdbd1961d7dee4ef6"/>
    <x:sheet xmlns:r="http://schemas.openxmlformats.org/officeDocument/2006/relationships" name="Dashboard_v0.4" sheetId="29" r:id="R59c2dccc0f3647fd"/>
    <x:sheet xmlns:r="http://schemas.openxmlformats.org/officeDocument/2006/relationships" name="PepAuDB_v0.5" sheetId="30" r:id="Rc6d449c033c14456"/>
    <x:sheet xmlns:r="http://schemas.openxmlformats.org/officeDocument/2006/relationships" name="Training_View_v0.5" sheetId="31" r:id="R7801e567ef074746"/>
    <x:sheet xmlns:r="http://schemas.openxmlformats.org/officeDocument/2006/relationships" name="Formation_Controls_v0.5" sheetId="32" r:id="Rf3a59b58f40e4cd5"/>
    <x:sheet xmlns:r="http://schemas.openxmlformats.org/officeDocument/2006/relationships" name="Literature_Additions_v0.5" sheetId="33" r:id="R92dfe307381c4942"/>
    <x:sheet xmlns:r="http://schemas.openxmlformats.org/officeDocument/2006/relationships" name="Benchmark_Run_v0.3" sheetId="34" r:id="Rddbc846fd97b467d"/>
    <x:sheet xmlns:r="http://schemas.openxmlformats.org/officeDocument/2006/relationships" name="Acquisition_Queue_v0.5" sheetId="35" r:id="R681cca9b8e934391"/>
    <x:sheet xmlns:r="http://schemas.openxmlformats.org/officeDocument/2006/relationships" name="Dashboard_v0.5" sheetId="36" r:id="Ra7ce7f9c0d384b68"/>
    <x:sheet xmlns:r="http://schemas.openxmlformats.org/officeDocument/2006/relationships" name="Relative_PL_Panel_v0.5" sheetId="37" r:id="R265582bb09054fd0"/>
    <x:sheet xmlns:r="http://schemas.openxmlformats.org/officeDocument/2006/relationships" name="Atomic_Nuclearity_Audit_v0.5" sheetId="38" r:id="Rb8a856adda934ddf"/>
    <x:sheet xmlns:r="http://schemas.openxmlformats.org/officeDocument/2006/relationships" name="PepAuDB_v0.6" sheetId="39" r:id="Rd7a2b7cadaeb47d7"/>
    <x:sheet xmlns:r="http://schemas.openxmlformats.org/officeDocument/2006/relationships" name="Training_View_v0.6" sheetId="40" r:id="Rfbd304c55bc54c51"/>
    <x:sheet xmlns:r="http://schemas.openxmlformats.org/officeDocument/2006/relationships" name="Formation_Controls_v0.6" sheetId="41" r:id="R05154c550b52471f"/>
    <x:sheet xmlns:r="http://schemas.openxmlformats.org/officeDocument/2006/relationships" name="Literature_Additions_v0.6" sheetId="42" r:id="Rc030eb6497924748"/>
    <x:sheet xmlns:r="http://schemas.openxmlformats.org/officeDocument/2006/relationships" name="Atomic_Nuclearity_Audit_v0.6" sheetId="43" r:id="R9cb016479a484161"/>
    <x:sheet xmlns:r="http://schemas.openxmlformats.org/officeDocument/2006/relationships" name="Benchmark_Run_v0.4" sheetId="44" r:id="R8d4d6e6100d545b1"/>
    <x:sheet xmlns:r="http://schemas.openxmlformats.org/officeDocument/2006/relationships" name="Acquisition_Queue_v0.6" sheetId="45" r:id="Rd85e17d694264b6f"/>
    <x:sheet xmlns:r="http://schemas.openxmlformats.org/officeDocument/2006/relationships" name="Relative_PL_Panel_v0.6" sheetId="46" r:id="R219ff1bbb492490f"/>
    <x:sheet xmlns:r="http://schemas.openxmlformats.org/officeDocument/2006/relationships" name="Dashboard_v0.6" sheetId="47" r:id="R2bd5b0fddaa646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&quot;%&quot;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1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1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left"/>
    </x:xf>
    <x:xf numFmtId="0" fontId="1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left"/>
    </x:xf>
    <x:xf numFmtId="0" fontId="1" fillId="12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 wrapText="1"/>
    </x:xf>
    <x:xf numFmtId="0" fontId="2" fillId="1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4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073763"/>
      </x:font>
      <x:fill>
        <x:patternFill>
          <x:bgColor rgb="FFD9EAF7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073763"/>
      </x:font>
      <x:fill>
        <x:patternFill>
          <x:bgColor rgb="FFD9EAF7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2aa811a4d047b9" /><Relationship Type="http://schemas.openxmlformats.org/officeDocument/2006/relationships/theme" Target="/xl/theme/theme1.xml" Id="R030e8bea796b4483" /><Relationship Type="http://schemas.openxmlformats.org/officeDocument/2006/relationships/sharedStrings" Target="/xl/sharedStrings.xml" Id="R5865885238ca4438" /><Relationship Type="http://schemas.openxmlformats.org/officeDocument/2006/relationships/worksheet" Target="/xl/worksheets/sheet1.xml" Id="R4bc7f117545d4d20" /><Relationship Type="http://schemas.openxmlformats.org/officeDocument/2006/relationships/worksheet" Target="/xl/worksheets/sheet2.xml" Id="R7f2e7721ccdd443a" /><Relationship Type="http://schemas.openxmlformats.org/officeDocument/2006/relationships/worksheet" Target="/xl/worksheets/sheet3.xml" Id="Rf1d185aa23094076" /><Relationship Type="http://schemas.openxmlformats.org/officeDocument/2006/relationships/worksheet" Target="/xl/worksheets/sheet4.xml" Id="R4540a10dbedf4b48" /><Relationship Type="http://schemas.openxmlformats.org/officeDocument/2006/relationships/worksheet" Target="/xl/worksheets/sheet5.xml" Id="Rb3ca0c2cacaa4351" /><Relationship Type="http://schemas.openxmlformats.org/officeDocument/2006/relationships/worksheet" Target="/xl/worksheets/sheet6.xml" Id="R2b253aed92e54f59" /><Relationship Type="http://schemas.openxmlformats.org/officeDocument/2006/relationships/worksheet" Target="/xl/worksheets/sheet7.xml" Id="R2cc1d7d9c3b84279" /><Relationship Type="http://schemas.openxmlformats.org/officeDocument/2006/relationships/worksheet" Target="/xl/worksheets/sheet8.xml" Id="Rb8cb31718d0a426d" /><Relationship Type="http://schemas.openxmlformats.org/officeDocument/2006/relationships/worksheet" Target="/xl/worksheets/sheet9.xml" Id="R77a273d92cd84866" /><Relationship Type="http://schemas.openxmlformats.org/officeDocument/2006/relationships/worksheet" Target="/xl/worksheets/sheet10.xml" Id="R2f21af95b66140c5" /><Relationship Type="http://schemas.openxmlformats.org/officeDocument/2006/relationships/worksheet" Target="/xl/worksheets/sheet11.xml" Id="R5b861f81f7ee4668" /><Relationship Type="http://schemas.openxmlformats.org/officeDocument/2006/relationships/worksheet" Target="/xl/worksheets/sheet12.xml" Id="R82809424d08e4d1f" /><Relationship Type="http://schemas.openxmlformats.org/officeDocument/2006/relationships/worksheet" Target="/xl/worksheets/sheet13.xml" Id="R39773db6c30c479b" /><Relationship Type="http://schemas.openxmlformats.org/officeDocument/2006/relationships/worksheet" Target="/xl/worksheets/sheet14.xml" Id="R4b3f8e69b70943c5" /><Relationship Type="http://schemas.openxmlformats.org/officeDocument/2006/relationships/worksheet" Target="/xl/worksheets/sheet15.xml" Id="Rb078fb03b1444ff2" /><Relationship Type="http://schemas.openxmlformats.org/officeDocument/2006/relationships/worksheet" Target="/xl/worksheets/sheet16.xml" Id="Ra745ee771eee45ab" /><Relationship Type="http://schemas.openxmlformats.org/officeDocument/2006/relationships/worksheet" Target="/xl/worksheets/sheet17.xml" Id="Rf9d8f50439904c28" /><Relationship Type="http://schemas.openxmlformats.org/officeDocument/2006/relationships/worksheet" Target="/xl/worksheets/sheet18.xml" Id="R10fa0f5ac2ad4e27" /><Relationship Type="http://schemas.openxmlformats.org/officeDocument/2006/relationships/worksheet" Target="/xl/worksheets/sheet19.xml" Id="Rc18405a1927f4c55" /><Relationship Type="http://schemas.openxmlformats.org/officeDocument/2006/relationships/worksheet" Target="/xl/worksheets/sheet20.xml" Id="R210e754686fd40f8" /><Relationship Type="http://schemas.openxmlformats.org/officeDocument/2006/relationships/worksheet" Target="/xl/worksheets/sheet21.xml" Id="Rc04ce1b56fca4810" /><Relationship Type="http://schemas.openxmlformats.org/officeDocument/2006/relationships/worksheet" Target="/xl/worksheets/sheet22.xml" Id="R9565200280ca4e52" /><Relationship Type="http://schemas.openxmlformats.org/officeDocument/2006/relationships/worksheet" Target="/xl/worksheets/sheet23.xml" Id="Raab710fed47641db" /><Relationship Type="http://schemas.openxmlformats.org/officeDocument/2006/relationships/worksheet" Target="/xl/worksheets/sheet24.xml" Id="R7e626908d7fb4b7a" /><Relationship Type="http://schemas.openxmlformats.org/officeDocument/2006/relationships/worksheet" Target="/xl/worksheets/sheet25.xml" Id="R93d1f3272ab244b7" /><Relationship Type="http://schemas.openxmlformats.org/officeDocument/2006/relationships/worksheet" Target="/xl/worksheets/sheet26.xml" Id="R9667b32ad24e4f9f" /><Relationship Type="http://schemas.openxmlformats.org/officeDocument/2006/relationships/worksheet" Target="/xl/worksheets/sheet27.xml" Id="R48d0d7278cef4d04" /><Relationship Type="http://schemas.openxmlformats.org/officeDocument/2006/relationships/worksheet" Target="/xl/worksheets/sheet28.xml" Id="Rdbd1961d7dee4ef6" /><Relationship Type="http://schemas.openxmlformats.org/officeDocument/2006/relationships/worksheet" Target="/xl/worksheets/sheet29.xml" Id="R59c2dccc0f3647fd" /><Relationship Type="http://schemas.openxmlformats.org/officeDocument/2006/relationships/worksheet" Target="/xl/worksheets/sheet30.xml" Id="Rc6d449c033c14456" /><Relationship Type="http://schemas.openxmlformats.org/officeDocument/2006/relationships/worksheet" Target="/xl/worksheets/sheet31.xml" Id="R7801e567ef074746" /><Relationship Type="http://schemas.openxmlformats.org/officeDocument/2006/relationships/worksheet" Target="/xl/worksheets/sheet32.xml" Id="Rf3a59b58f40e4cd5" /><Relationship Type="http://schemas.openxmlformats.org/officeDocument/2006/relationships/worksheet" Target="/xl/worksheets/sheet33.xml" Id="R92dfe307381c4942" /><Relationship Type="http://schemas.openxmlformats.org/officeDocument/2006/relationships/worksheet" Target="/xl/worksheets/sheet34.xml" Id="Rddbc846fd97b467d" /><Relationship Type="http://schemas.openxmlformats.org/officeDocument/2006/relationships/worksheet" Target="/xl/worksheets/sheet35.xml" Id="R681cca9b8e934391" /><Relationship Type="http://schemas.openxmlformats.org/officeDocument/2006/relationships/worksheet" Target="/xl/worksheets/sheet36.xml" Id="Ra7ce7f9c0d384b68" /><Relationship Type="http://schemas.openxmlformats.org/officeDocument/2006/relationships/worksheet" Target="/xl/worksheets/sheet37.xml" Id="R265582bb09054fd0" /><Relationship Type="http://schemas.openxmlformats.org/officeDocument/2006/relationships/worksheet" Target="/xl/worksheets/sheet38.xml" Id="Rb8a856adda934ddf" /><Relationship Type="http://schemas.openxmlformats.org/officeDocument/2006/relationships/worksheet" Target="/xl/worksheets/sheet39.xml" Id="Rd7a2b7cadaeb47d7" /><Relationship Type="http://schemas.openxmlformats.org/officeDocument/2006/relationships/worksheet" Target="/xl/worksheets/sheet40.xml" Id="Rfbd304c55bc54c51" /><Relationship Type="http://schemas.openxmlformats.org/officeDocument/2006/relationships/worksheet" Target="/xl/worksheets/sheet41.xml" Id="R05154c550b52471f" /><Relationship Type="http://schemas.openxmlformats.org/officeDocument/2006/relationships/worksheet" Target="/xl/worksheets/sheet42.xml" Id="Rc030eb6497924748" /><Relationship Type="http://schemas.openxmlformats.org/officeDocument/2006/relationships/worksheet" Target="/xl/worksheets/sheet43.xml" Id="R9cb016479a484161" /><Relationship Type="http://schemas.openxmlformats.org/officeDocument/2006/relationships/worksheet" Target="/xl/worksheets/sheet44.xml" Id="R8d4d6e6100d545b1" /><Relationship Type="http://schemas.openxmlformats.org/officeDocument/2006/relationships/worksheet" Target="/xl/worksheets/sheet45.xml" Id="Rd85e17d694264b6f" /><Relationship Type="http://schemas.openxmlformats.org/officeDocument/2006/relationships/worksheet" Target="/xl/worksheets/sheet46.xml" Id="R219ff1bbb492490f" /><Relationship Type="http://schemas.openxmlformats.org/officeDocument/2006/relationships/worksheet" Target="/xl/worksheets/sheet47.xml" Id="R2bd5b0fddaa646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61de82d9bd4bc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77d2b7316f143d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b022b29f9db48a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a0e9cb1b84a407d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6eb0bbc177404fa0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bf85534a5d004e9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Starter Records by Evidence Class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Record count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v0.2 Records by Training Eligibility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'Dashboard_v0.2'!$D$14:$D$18</c:f>
              <c:strCache>
                <c:ptCount val="0"/>
              </c:strCache>
            </c:strRef>
          </c:cat>
          <c:val>
            <c:numRef>
              <c:f>'Dashboard_v0.2'!$E$14:$E$18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v0.3 Records by Scientific Eligibility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'Dashboard_v0.3'!$D$15:$D$20</c:f>
              <c:strCache>
                <c:ptCount val="0"/>
              </c:strCache>
            </c:strRef>
          </c:cat>
          <c:val>
            <c:numRef>
              <c:f>'Dashboard_v0.3'!$E$15:$E$20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Numeric Benchmark Snapshot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Best MAE / status</c:v>
          </c:tx>
          <c:cat>
            <c:strRef>
              <c:f>'Dashboard_v0.4'!$D$15:$D$17</c:f>
              <c:strCache>
                <c:ptCount val="0"/>
              </c:strCache>
            </c:strRef>
          </c:cat>
          <c:val>
            <c:numRef>
              <c:f>'Dashboard_v0.4'!$E$15:$E$17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v0.5 Evidence Counts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Rows</c:v>
          </c:tx>
          <c:cat>
            <c:strRef>
              <c:f>'Dashboard_v0.5'!$D$16:$D$20</c:f>
              <c:strCache>
                <c:ptCount val="0"/>
              </c:strCache>
            </c:strRef>
          </c:cat>
          <c:val>
            <c:numRef>
              <c:f>'Dashboard_v0.5'!$E$16:$E$20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v0.6 Evidence Counts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Rows</c:v>
          </c:tx>
          <c:cat>
            <c:strRef>
              <c:f>'Dashboard_v0.6'!$D$16:$D$20</c:f>
              <c:strCache>
                <c:ptCount val="0"/>
              </c:strCache>
            </c:strRef>
          </c:cat>
          <c:val>
            <c:numRef>
              <c:f>'Dashboard_v0.6'!$E$16:$E$20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61de82d9bd4bc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19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7d2b7316f143d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21</xdr:row>
      <xdr:rowOff>0</xdr:rowOff>
    </xdr:from>
    <xdr:to>
      <xdr:col>10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022b29f9db48a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3</xdr:col>
      <xdr:colOff>0</xdr:colOff>
      <xdr:row>20</xdr:row>
      <xdr:rowOff>0</xdr:rowOff>
    </xdr:from>
    <xdr:to>
      <xdr:col>10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0e9cb1b84a407d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3</xdr:col>
      <xdr:colOff>0</xdr:colOff>
      <xdr:row>21</xdr:row>
      <xdr:rowOff>0</xdr:rowOff>
    </xdr:from>
    <xdr:to>
      <xdr:col>10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b0bbc177404fa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3</xdr:col>
      <xdr:colOff>0</xdr:colOff>
      <xdr:row>21</xdr:row>
      <xdr:rowOff>0</xdr:rowOff>
    </xdr:from>
    <xdr:to>
      <xdr:col>10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85534a5d004e9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InventoryTable" displayName="SourceInventoryTable" ref="A3:J17" headerRowCount="1" totalsRowCount="0" totalsRowShown="0">
  <x:tableColumns count="10">
    <x:tableColumn id="1" name="ID"/>
    <x:tableColumn id="2" name="Source file"/>
    <x:tableColumn id="3" name="Short title"/>
    <x:tableColumn id="4" name="Year"/>
    <x:tableColumn id="5" name="DOI / URL"/>
    <x:tableColumn id="6" name="Primary category"/>
    <x:tableColumn id="7" name="Evidence class"/>
    <x:tableColumn id="8" name="Direct model training?"/>
    <x:tableColumn id="9" name="Main value"/>
    <x:tableColumn id="10" name="Pri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pAuDBTable" displayName="PepAuDBTable" ref="A3:AI25" headerRowCount="1" totalsRowCount="0" totalsRowShown="0">
  <x:tableColumns count="35">
    <x:tableColumn id="1" name="Record_ID"/>
    <x:tableColumn id="2" name="Source_ID"/>
    <x:tableColumn id="3" name="Evidence_Class"/>
    <x:tableColumn id="4" name="Data_Status"/>
    <x:tableColumn id="5" name="Material_Regime"/>
    <x:tableColumn id="6" name="Peptide_or_Ligand"/>
    <x:tableColumn id="7" name="Sequence"/>
    <x:tableColumn id="8" name="Stereochemistry"/>
    <x:tableColumn id="9" name="Terminal_or_Chemical_Modification"/>
    <x:tableColumn id="10" name="Au_Nuclearity"/>
    <x:tableColumn id="11" name="Ligand_Count"/>
    <x:tableColumn id="12" name="Core_Size_nm"/>
    <x:tableColumn id="13" name="Hydrodynamic_Size_nm"/>
    <x:tableColumn id="14" name="Morphology"/>
    <x:tableColumn id="15" name="Au_Precursor"/>
    <x:tableColumn id="16" name="Peptide_or_Ligand_Condition"/>
    <x:tableColumn id="17" name="Reducing_Agent"/>
    <x:tableColumn id="18" name="pH"/>
    <x:tableColumn id="19" name="Temperature_C"/>
    <x:tableColumn id="20" name="Time_h"/>
    <x:tableColumn id="21" name="Mixing_or_Process"/>
    <x:tableColumn id="22" name="Emission_Peak_nm"/>
    <x:tableColumn id="23" name="Emission_Range_nm"/>
    <x:tableColumn id="24" name="PLQY_pct"/>
    <x:tableColumn id="25" name="Absorption_or_LSPR_nm"/>
    <x:tableColumn id="26" name="Zeta_mV"/>
    <x:tableColumn id="27" name="Laser_nm"/>
    <x:tableColumn id="28" name="Laser_Power_W_cm2"/>
    <x:tableColumn id="29" name="PTT_Temperature_C"/>
    <x:tableColumn id="30" name="PTT_Time_min"/>
    <x:tableColumn id="31" name="Application"/>
    <x:tableColumn id="32" name="Key_Observation"/>
    <x:tableColumn id="33" name="Source_Locator"/>
    <x:tableColumn id="34" name="DOI_URL"/>
    <x:tableColumn id="35" name="Key_Field_Completeness_p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TTBenchmarkTable" displayName="PTTBenchmarkTable" ref="A3:N8" headerRowCount="1" totalsRowCount="0" totalsRowShown="0">
  <x:tableColumns count="14">
    <x:tableColumn id="1" name="Benchmark_ID"/>
    <x:tableColumn id="2" name="Source_ID"/>
    <x:tableColumn id="3" name="Material"/>
    <x:tableColumn id="4" name="Ligand / peptide"/>
    <x:tableColumn id="5" name="Regime"/>
    <x:tableColumn id="6" name="Laser_nm"/>
    <x:tableColumn id="7" name="Power_W_cm2"/>
    <x:tableColumn id="8" name="Concentration"/>
    <x:tableColumn id="9" name="Exposure_min"/>
    <x:tableColumn id="10" name="Temperature_result"/>
    <x:tableColumn id="11" name="Biological_context"/>
    <x:tableColumn id="12" name="Outcome"/>
    <x:tableColumn id="13" name="Use_in_model"/>
    <x:tableColumn id="14" name="DOI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issingLiteratureTable" displayName="MissingLiteratureTable" ref="A3:I15" headerRowCount="1" totalsRowCount="0" totalsRowShown="0">
  <x:tableColumns count="9">
    <x:tableColumn id="1" name="Priority"/>
    <x:tableColumn id="2" name="Paper"/>
    <x:tableColumn id="3" name="Year"/>
    <x:tableColumn id="4" name="Journal"/>
    <x:tableColumn id="5" name="DOI / URL"/>
    <x:tableColumn id="6" name="Why needed"/>
    <x:tableColumn id="7" name="Expected data"/>
    <x:tableColumn id="8" name="Found via"/>
    <x:tableColumn id="9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ionaryTable" displayName="DictionaryTable" ref="A3:D23" headerRowCount="1" totalsRowCount="0" totalsRowShown="0">
  <x:tableColumns count="4">
    <x:tableColumn id="1" name="Field"/>
    <x:tableColumn id="2" name="Type / unit"/>
    <x:tableColumn id="3" name="Meaning"/>
    <x:tableColumn id="4" name="Model u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delReadinessTable" displayName="ModelReadinessTable" ref="A3:G11" headerRowCount="1" totalsRowCount="0" totalsRowShown="0">
  <x:tableColumns count="7">
    <x:tableColumn id="1" name="Target"/>
    <x:tableColumn id="2" name="Current direct evidence"/>
    <x:tableColumn id="3" name="Current readiness"/>
    <x:tableColumn id="4" name="Main gap"/>
    <x:tableColumn id="5" name="Recommended first model"/>
    <x:tableColumn id="6" name="Validation requirement"/>
    <x:tableColumn id="7" name="Streamlit displa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epAuDBv02Table" displayName="PepAuDBv02Table" ref="A3:AN36" headerRowCount="1" totalsRowCount="0" totalsRowShown="0">
  <x:tableColumns count="40">
    <x:tableColumn id="1" name="Record_ID"/>
    <x:tableColumn id="2" name="Source_ID"/>
    <x:tableColumn id="3" name="Evidence_Class"/>
    <x:tableColumn id="4" name="Data_Status"/>
    <x:tableColumn id="5" name="Material_Regime"/>
    <x:tableColumn id="6" name="Peptide_or_Ligand"/>
    <x:tableColumn id="7" name="Sequence"/>
    <x:tableColumn id="8" name="Stereochemistry"/>
    <x:tableColumn id="9" name="Terminal_or_Chemical_Modification"/>
    <x:tableColumn id="10" name="Au_Nuclearity"/>
    <x:tableColumn id="11" name="Ligand_Count"/>
    <x:tableColumn id="12" name="Core_Size_nm"/>
    <x:tableColumn id="13" name="Hydrodynamic_Size_nm"/>
    <x:tableColumn id="14" name="Morphology"/>
    <x:tableColumn id="15" name="Au_Precursor"/>
    <x:tableColumn id="16" name="Peptide_or_Ligand_Condition"/>
    <x:tableColumn id="17" name="Reducing_Agent"/>
    <x:tableColumn id="18" name="pH"/>
    <x:tableColumn id="19" name="Temperature_C"/>
    <x:tableColumn id="20" name="Time_h"/>
    <x:tableColumn id="21" name="Mixing_or_Process"/>
    <x:tableColumn id="22" name="Emission_Peak_nm"/>
    <x:tableColumn id="23" name="Emission_Range_nm"/>
    <x:tableColumn id="24" name="PLQY_pct"/>
    <x:tableColumn id="25" name="Absorption_or_LSPR_nm"/>
    <x:tableColumn id="26" name="Zeta_mV"/>
    <x:tableColumn id="27" name="Laser_nm"/>
    <x:tableColumn id="28" name="Laser_Power_W_cm2"/>
    <x:tableColumn id="29" name="PTT_Temperature_C"/>
    <x:tableColumn id="30" name="PTT_Time_min"/>
    <x:tableColumn id="31" name="Application"/>
    <x:tableColumn id="32" name="Key_Observation"/>
    <x:tableColumn id="33" name="Source_Locator"/>
    <x:tableColumn id="34" name="DOI_URL"/>
    <x:tableColumn id="35" name="Key_Field_Completeness_pct"/>
    <x:tableColumn id="36" name="Training_Eligibility"/>
    <x:tableColumn id="37" name="Sequence_Status"/>
    <x:tableColumn id="38" name="QC_Flag"/>
    <x:tableColumn id="39" name="Research_Date"/>
    <x:tableColumn id="40" name="Source_Typ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ebPrimaryPapersTable" displayName="WebPrimaryPapersTable" ref="A3:L19" headerRowCount="1" totalsRowCount="0" totalsRowShown="0">
  <x:tableColumns count="12">
    <x:tableColumn id="1" name="Source_Key"/>
    <x:tableColumn id="2" name="Year"/>
    <x:tableColumn id="3" name="Paper"/>
    <x:tableColumn id="4" name="Journal"/>
    <x:tableColumn id="5" name="DOI_URL"/>
    <x:tableColumn id="6" name="Evidence_Role"/>
    <x:tableColumn id="7" name="Exact_Peptide_Data"/>
    <x:tableColumn id="8" name="Atomic_Nuclearity"/>
    <x:tableColumn id="9" name="Synthesis_Data_Status"/>
    <x:tableColumn id="10" name="Current_Use"/>
    <x:tableColumn id="11" name="Priority"/>
    <x:tableColumn id="12" name="Acquisition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equenceLibraryTable" displayName="SequenceLibraryTable" ref="A3:J38" headerRowCount="1" totalsRowCount="0" totalsRowShown="0">
  <x:tableColumns count="10">
    <x:tableColumn id="1" name="Seq_ID"/>
    <x:tableColumn id="2" name="Sequence"/>
    <x:tableColumn id="3" name="Source_Key"/>
    <x:tableColumn id="4" name="Source_Evidence"/>
    <x:tableColumn id="5" name="Role_or_Motif"/>
    <x:tableColumn id="6" name="Ex_nm"/>
    <x:tableColumn id="7" name="Em_nm"/>
    <x:tableColumn id="8" name="PLQY_pct"/>
    <x:tableColumn id="9" name="Training_Status"/>
    <x:tableColumn id="10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QCLogTable" displayName="QCLogTable" ref="A3:H15" headerRowCount="1" totalsRowCount="0" totalsRowShown="0">
  <x:tableColumns count="8">
    <x:tableColumn id="1" name="QC_ID"/>
    <x:tableColumn id="2" name="Affected_Record_or_Source"/>
    <x:tableColumn id="3" name="Severity"/>
    <x:tableColumn id="4" name="Issue"/>
    <x:tableColumn id="5" name="Why_it_matters"/>
    <x:tableColumn id="6" name="Required_Action"/>
    <x:tableColumn id="7" name="Training_Status"/>
    <x:tableColumn id="8" name="Resolution_Priorit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odelGatesTable" displayName="ModelGatesTable" ref="A3:I10" headerRowCount="1" totalsRowCount="0" totalsRowShown="0">
  <x:tableColumns count="9">
    <x:tableColumn id="1" name="Gate"/>
    <x:tableColumn id="2" name="Target_Module"/>
    <x:tableColumn id="3" name="Operational_Minimum"/>
    <x:tableColumn id="4" name="Current_Status"/>
    <x:tableColumn id="5" name="Pass?"/>
    <x:tableColumn id="6" name="Reason"/>
    <x:tableColumn id="7" name="When_Passed_Do"/>
    <x:tableColumn id="8" name="Validation_Requirement"/>
    <x:tableColumn id="9" name="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epAuDBv03Table" displayName="PepAuDBv03Table" ref="A3:AN49" headerRowCount="1" totalsRowCount="0" totalsRowShown="0">
  <x:tableColumns count="40">
    <x:tableColumn id="1" name="Record_ID"/>
    <x:tableColumn id="2" name="Source_ID"/>
    <x:tableColumn id="3" name="Evidence_Class"/>
    <x:tableColumn id="4" name="Data_Status"/>
    <x:tableColumn id="5" name="Material_Regime"/>
    <x:tableColumn id="6" name="Peptide_or_Ligand"/>
    <x:tableColumn id="7" name="Sequence"/>
    <x:tableColumn id="8" name="Stereochemistry"/>
    <x:tableColumn id="9" name="Terminal_or_Chemical_Modification"/>
    <x:tableColumn id="10" name="Au_Nuclearity"/>
    <x:tableColumn id="11" name="Ligand_Count"/>
    <x:tableColumn id="12" name="Core_Size_nm"/>
    <x:tableColumn id="13" name="Hydrodynamic_Size_nm"/>
    <x:tableColumn id="14" name="Morphology"/>
    <x:tableColumn id="15" name="Au_Precursor"/>
    <x:tableColumn id="16" name="Peptide_or_Ligand_Condition"/>
    <x:tableColumn id="17" name="Reducing_Agent"/>
    <x:tableColumn id="18" name="pH"/>
    <x:tableColumn id="19" name="Temperature_C"/>
    <x:tableColumn id="20" name="Time_h"/>
    <x:tableColumn id="21" name="Mixing_or_Process"/>
    <x:tableColumn id="22" name="Emission_Peak_nm"/>
    <x:tableColumn id="23" name="Emission_Range_nm"/>
    <x:tableColumn id="24" name="PLQY_pct"/>
    <x:tableColumn id="25" name="Absorption_or_LSPR_nm"/>
    <x:tableColumn id="26" name="Zeta_mV"/>
    <x:tableColumn id="27" name="Laser_nm"/>
    <x:tableColumn id="28" name="Laser_Power_W_cm2"/>
    <x:tableColumn id="29" name="PTT_Temperature_C"/>
    <x:tableColumn id="30" name="PTT_Time_min"/>
    <x:tableColumn id="31" name="Application"/>
    <x:tableColumn id="32" name="Key_Observation"/>
    <x:tableColumn id="33" name="Source_Locator"/>
    <x:tableColumn id="34" name="DOI_URL"/>
    <x:tableColumn id="35" name="Key_Field_Completeness_pct"/>
    <x:tableColumn id="36" name="Training_Eligibility"/>
    <x:tableColumn id="37" name="Sequence_Status"/>
    <x:tableColumn id="38" name="QC_Flag"/>
    <x:tableColumn id="39" name="Research_Date"/>
    <x:tableColumn id="40" name="Source_Typ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rainingViewV03Table" displayName="TrainingViewV03Table" ref="A3:P12" headerRowCount="1" totalsRowCount="0" totalsRowShown="0">
  <x:tableColumns count="16">
    <x:tableColumn id="1" name="Record_ID"/>
    <x:tableColumn id="2" name="Source_ID"/>
    <x:tableColumn id="3" name="Sequence"/>
    <x:tableColumn id="4" name="Material_Regime"/>
    <x:tableColumn id="5" name="Eligibility"/>
    <x:tableColumn id="6" name="Au_Nuclearity"/>
    <x:tableColumn id="7" name="Core_Size_nm"/>
    <x:tableColumn id="8" name="pH"/>
    <x:tableColumn id="9" name="Temp_C"/>
    <x:tableColumn id="10" name="Time_h"/>
    <x:tableColumn id="11" name="Emission_nm"/>
    <x:tableColumn id="12" name="PLQY_pct"/>
    <x:tableColumn id="13" name="Paper_Group"/>
    <x:tableColumn id="14" name="Sequence_Cluster"/>
    <x:tableColumn id="15" name="Use_for_Targets"/>
    <x:tableColumn id="16" name="Critical_Validation_No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cquisitionQueueV03Table" displayName="AcquisitionQueueV03Table" ref="A3:J11" headerRowCount="1" totalsRowCount="0" totalsRowShown="0">
  <x:tableColumns count="10">
    <x:tableColumn id="1" name="Priority"/>
    <x:tableColumn id="2" name="Source"/>
    <x:tableColumn id="3" name="Paper_or_Lead"/>
    <x:tableColumn id="4" name="DOI_URL"/>
    <x:tableColumn id="5" name="Missing_Item"/>
    <x:tableColumn id="6" name="Why_High_Value"/>
    <x:tableColumn id="7" name="Expected_New_Rows"/>
    <x:tableColumn id="8" name="Training_Impact"/>
    <x:tableColumn id="9" name="Status"/>
    <x:tableColumn id="10" name="Next_Acti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ValidationPlanV03Table" displayName="ValidationPlanV03Table" ref="A3:H15" headerRowCount="1" totalsRowCount="0" totalsRowShown="0">
  <x:tableColumns count="8">
    <x:tableColumn id="1" name="Stage"/>
    <x:tableColumn id="2" name="Rule"/>
    <x:tableColumn id="3" name="Implementation"/>
    <x:tableColumn id="4" name="Metric_or_Output"/>
    <x:tableColumn id="5" name="Hard_Stop"/>
    <x:tableColumn id="6" name="Current_State"/>
    <x:tableColumn id="7" name="Why"/>
    <x:tableColumn id="8" name="Notebook_Cell_Group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LiteratureAdditionsV03Table" displayName="LiteratureAdditionsV03Table" ref="A3:K9" headerRowCount="1" totalsRowCount="0" totalsRowShown="0">
  <x:tableColumns count="11">
    <x:tableColumn id="1" name="Source_ID"/>
    <x:tableColumn id="2" name="Year"/>
    <x:tableColumn id="3" name="Paper"/>
    <x:tableColumn id="4" name="Journal"/>
    <x:tableColumn id="5" name="DOI_URL"/>
    <x:tableColumn id="6" name="Material_Domain"/>
    <x:tableColumn id="7" name="Exact_Sequences"/>
    <x:tableColumn id="8" name="Primary_Data_Acquired"/>
    <x:tableColumn id="9" name="Use_in_v0.3"/>
    <x:tableColumn id="10" name="Training_Status"/>
    <x:tableColumn id="11" name="QC_Not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BenchmarkRunV01Table" displayName="BenchmarkRunV01Table" ref="A3:J19" headerRowCount="1" totalsRowCount="0" totalsRowShown="0">
  <x:tableColumns count="10">
    <x:tableColumn id="1" name="Target"/>
    <x:tableColumn id="2" name="Model"/>
    <x:tableColumn id="3" name="N"/>
    <x:tableColumn id="4" name="Paper_Groups"/>
    <x:tableColumn id="5" name="Sequence_Clusters"/>
    <x:tableColumn id="6" name="MAE"/>
    <x:tableColumn id="7" name="RMSE"/>
    <x:tableColumn id="8" name="R2"/>
    <x:tableColumn id="9" name="Spearman"/>
    <x:tableColumn id="10" name="Interpretation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epAuDBv04Table" displayName="PepAuDBv04Table" ref="A3:AN57" headerRowCount="1" totalsRowCount="0" totalsRowShown="0">
  <x:tableColumns count="40">
    <x:tableColumn id="1" name="Record_ID"/>
    <x:tableColumn id="2" name="Source_ID"/>
    <x:tableColumn id="3" name="Evidence_Class"/>
    <x:tableColumn id="4" name="Data_Status"/>
    <x:tableColumn id="5" name="Material_Regime"/>
    <x:tableColumn id="6" name="Peptide_or_Ligand"/>
    <x:tableColumn id="7" name="Sequence"/>
    <x:tableColumn id="8" name="Stereochemistry"/>
    <x:tableColumn id="9" name="Terminal_or_Chemical_Modification"/>
    <x:tableColumn id="10" name="Au_Nuclearity"/>
    <x:tableColumn id="11" name="Ligand_Count"/>
    <x:tableColumn id="12" name="Core_Size_nm"/>
    <x:tableColumn id="13" name="Hydrodynamic_Size_nm"/>
    <x:tableColumn id="14" name="Morphology"/>
    <x:tableColumn id="15" name="Au_Precursor"/>
    <x:tableColumn id="16" name="Peptide_or_Ligand_Condition"/>
    <x:tableColumn id="17" name="Reducing_Agent"/>
    <x:tableColumn id="18" name="pH"/>
    <x:tableColumn id="19" name="Temperature_C"/>
    <x:tableColumn id="20" name="Time_h"/>
    <x:tableColumn id="21" name="Mixing_or_Process"/>
    <x:tableColumn id="22" name="Emission_Peak_nm"/>
    <x:tableColumn id="23" name="Emission_Range_nm"/>
    <x:tableColumn id="24" name="PLQY_pct"/>
    <x:tableColumn id="25" name="Absorption_or_LSPR_nm"/>
    <x:tableColumn id="26" name="Zeta_mV"/>
    <x:tableColumn id="27" name="Laser_nm"/>
    <x:tableColumn id="28" name="Laser_Power_W_cm2"/>
    <x:tableColumn id="29" name="PTT_Temperature_C"/>
    <x:tableColumn id="30" name="PTT_Time_min"/>
    <x:tableColumn id="31" name="Application"/>
    <x:tableColumn id="32" name="Key_Observation"/>
    <x:tableColumn id="33" name="Source_Locator"/>
    <x:tableColumn id="34" name="DOI_URL"/>
    <x:tableColumn id="35" name="Key_Field_Completeness_pct"/>
    <x:tableColumn id="36" name="Training_Eligibility"/>
    <x:tableColumn id="37" name="Sequence_Status"/>
    <x:tableColumn id="38" name="QC_Flag"/>
    <x:tableColumn id="39" name="Research_Date"/>
    <x:tableColumn id="40" name="Source_Typ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rainingViewV04Table" displayName="TrainingViewV04Table" ref="A3:T19" headerRowCount="1" totalsRowCount="0" totalsRowShown="0">
  <x:tableColumns count="20">
    <x:tableColumn id="1" name="Record_ID"/>
    <x:tableColumn id="2" name="Source_ID"/>
    <x:tableColumn id="3" name="Sequence"/>
    <x:tableColumn id="4" name="Material_Regime"/>
    <x:tableColumn id="5" name="Eligibility"/>
    <x:tableColumn id="6" name="Au_Nuclearity"/>
    <x:tableColumn id="7" name="Core_Size_nm"/>
    <x:tableColumn id="8" name="Hydrodynamic_Size_nm"/>
    <x:tableColumn id="9" name="pH"/>
    <x:tableColumn id="10" name="Temp_C"/>
    <x:tableColumn id="11" name="Time_h"/>
    <x:tableColumn id="12" name="Emission_nm"/>
    <x:tableColumn id="13" name="PLQY_pct"/>
    <x:tableColumn id="14" name="Paper_Group"/>
    <x:tableColumn id="15" name="Sequence_Cluster"/>
    <x:tableColumn id="16" name="Use_for_Targets"/>
    <x:tableColumn id="17" name="Metal_Composition"/>
    <x:tableColumn id="18" name="Product_Process_State"/>
    <x:tableColumn id="19" name="Assembly_State"/>
    <x:tableColumn id="20" name="Critical_Validation_Not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RelativePLPanelV04" displayName="RelativePLPanelV04" ref="A3:K11" headerRowCount="1" totalsRowCount="0" totalsRowShown="0">
  <x:tableColumns count="11">
    <x:tableColumn id="1" name="Panel_ID"/>
    <x:tableColumn id="2" name="Source_ID"/>
    <x:tableColumn id="3" name="Sequence_A"/>
    <x:tableColumn id="4" name="Sequence_B"/>
    <x:tableColumn id="5" name="Comparison_Type"/>
    <x:tableColumn id="6" name="Observed_Relationship"/>
    <x:tableColumn id="7" name="Fold_Change"/>
    <x:tableColumn id="8" name="Condition"/>
    <x:tableColumn id="9" name="Training_Use"/>
    <x:tableColumn id="10" name="DOI_URL"/>
    <x:tableColumn id="11" name="Scientific_Not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LiteratureAdditionsV04Table" displayName="LiteratureAdditionsV04Table" ref="A3:L7" headerRowCount="1" totalsRowCount="0" totalsRowShown="0">
  <x:tableColumns count="12">
    <x:tableColumn id="1" name="Source_ID"/>
    <x:tableColumn id="2" name="Year"/>
    <x:tableColumn id="3" name="Paper"/>
    <x:tableColumn id="4" name="Journal"/>
    <x:tableColumn id="5" name="DOI_URL"/>
    <x:tableColumn id="6" name="Key_Sequences"/>
    <x:tableColumn id="7" name="Primary_Quantitative_Data"/>
    <x:tableColumn id="8" name="New_Rows"/>
    <x:tableColumn id="9" name="Model_Value"/>
    <x:tableColumn id="10" name="Caveat"/>
    <x:tableColumn id="11" name="Acquisition_Status"/>
    <x:tableColumn id="12" name="Web_Sourc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BenchmarkRunV02Table" displayName="BenchmarkRunV02Table" ref="A3:J19" headerRowCount="1" totalsRowCount="0" totalsRowShown="0">
  <x:tableColumns count="10">
    <x:tableColumn id="1" name="Target"/>
    <x:tableColumn id="2" name="Model"/>
    <x:tableColumn id="3" name="N"/>
    <x:tableColumn id="4" name="Paper_Groups"/>
    <x:tableColumn id="5" name="Sequence_Clusters"/>
    <x:tableColumn id="6" name="MAE"/>
    <x:tableColumn id="7" name="RMSE"/>
    <x:tableColumn id="8" name="R2"/>
    <x:tableColumn id="9" name="Spearman"/>
    <x:tableColumn id="10" name="Interpretation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AcquisitionQueueV04Table" displayName="AcquisitionQueueV04Table" ref="A3:J10" headerRowCount="1" totalsRowCount="0" totalsRowShown="0">
  <x:tableColumns count="10">
    <x:tableColumn id="1" name="Priority"/>
    <x:tableColumn id="2" name="Source"/>
    <x:tableColumn id="3" name="Need"/>
    <x:tableColumn id="4" name="Why"/>
    <x:tableColumn id="5" name="Expected_Impact"/>
    <x:tableColumn id="6" name="Current_Status"/>
    <x:tableColumn id="7" name="Do_Not_Do"/>
    <x:tableColumn id="8" name="Target_Module"/>
    <x:tableColumn id="9" name="DOI_URL"/>
    <x:tableColumn id="10" name="Next_Action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epAuDBv05Table" displayName="PepAuDBv05Table" ref="A3:AN64" headerRowCount="1" totalsRowCount="0" totalsRowShown="0">
  <x:tableColumns count="40">
    <x:tableColumn id="1" name="Record_ID"/>
    <x:tableColumn id="2" name="Source_ID"/>
    <x:tableColumn id="3" name="Evidence_Class"/>
    <x:tableColumn id="4" name="Data_Status"/>
    <x:tableColumn id="5" name="Material_Regime"/>
    <x:tableColumn id="6" name="Peptide_or_Ligand"/>
    <x:tableColumn id="7" name="Sequence"/>
    <x:tableColumn id="8" name="Stereochemistry"/>
    <x:tableColumn id="9" name="Terminal_or_Chemical_Modification"/>
    <x:tableColumn id="10" name="Au_Nuclearity"/>
    <x:tableColumn id="11" name="Ligand_Count"/>
    <x:tableColumn id="12" name="Core_Size_nm"/>
    <x:tableColumn id="13" name="Hydrodynamic_Size_nm"/>
    <x:tableColumn id="14" name="Morphology"/>
    <x:tableColumn id="15" name="Au_Precursor"/>
    <x:tableColumn id="16" name="Peptide_or_Ligand_Condition"/>
    <x:tableColumn id="17" name="Reducing_Agent"/>
    <x:tableColumn id="18" name="pH"/>
    <x:tableColumn id="19" name="Temperature_C"/>
    <x:tableColumn id="20" name="Time_h"/>
    <x:tableColumn id="21" name="Mixing_or_Process"/>
    <x:tableColumn id="22" name="Emission_Peak_nm"/>
    <x:tableColumn id="23" name="Emission_Range_nm"/>
    <x:tableColumn id="24" name="PLQY_pct"/>
    <x:tableColumn id="25" name="Absorption_or_LSPR_nm"/>
    <x:tableColumn id="26" name="Zeta_mV"/>
    <x:tableColumn id="27" name="Laser_nm"/>
    <x:tableColumn id="28" name="Laser_Power_W_cm2"/>
    <x:tableColumn id="29" name="PTT_Temperature_C"/>
    <x:tableColumn id="30" name="PTT_Time_min"/>
    <x:tableColumn id="31" name="Application"/>
    <x:tableColumn id="32" name="Key_Observation"/>
    <x:tableColumn id="33" name="Source_Locator"/>
    <x:tableColumn id="34" name="DOI_URL"/>
    <x:tableColumn id="35" name="Key_Field_Completeness_pct"/>
    <x:tableColumn id="36" name="Training_Eligibility"/>
    <x:tableColumn id="37" name="Sequence_Status"/>
    <x:tableColumn id="38" name="QC_Flag"/>
    <x:tableColumn id="39" name="Research_Date"/>
    <x:tableColumn id="40" name="Source_Typ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TrainingViewV05Table" displayName="TrainingViewV05Table" ref="A3:U22" headerRowCount="1" totalsRowCount="0" totalsRowShown="0">
  <x:tableColumns count="21">
    <x:tableColumn id="1" name="Record_ID"/>
    <x:tableColumn id="2" name="Source_ID"/>
    <x:tableColumn id="3" name="Sequence"/>
    <x:tableColumn id="4" name="Material_Regime"/>
    <x:tableColumn id="5" name="Eligibility"/>
    <x:tableColumn id="6" name="Au_Nuclearity"/>
    <x:tableColumn id="7" name="Core_Size_nm"/>
    <x:tableColumn id="8" name="Hydrodynamic_Size_nm"/>
    <x:tableColumn id="9" name="pH"/>
    <x:tableColumn id="10" name="Temp_C"/>
    <x:tableColumn id="11" name="Time_h"/>
    <x:tableColumn id="12" name="Emission_nm"/>
    <x:tableColumn id="13" name="PLQY_pct"/>
    <x:tableColumn id="14" name="Paper_Group"/>
    <x:tableColumn id="15" name="Sequence_Cluster"/>
    <x:tableColumn id="16" name="Use_for_Targets"/>
    <x:tableColumn id="17" name="Metal_Composition"/>
    <x:tableColumn id="18" name="Product_Process_State"/>
    <x:tableColumn id="19" name="Assembly_State"/>
    <x:tableColumn id="20" name="Critical_Validation_Note"/>
    <x:tableColumn id="21" name="Modification_Stat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FormationControlsV05Table" displayName="FormationControlsV05Table" ref="A3:K9" headerRowCount="1" totalsRowCount="0" totalsRowShown="0">
  <x:tableColumns count="11">
    <x:tableColumn id="1" name="Control_ID"/>
    <x:tableColumn id="2" name="Source_ID"/>
    <x:tableColumn id="3" name="Sequence"/>
    <x:tableColumn id="4" name="Outcome"/>
    <x:tableColumn id="5" name="Fluorescence"/>
    <x:tableColumn id="6" name="Material_Observed"/>
    <x:tableColumn id="7" name="Matched_Counterpart"/>
    <x:tableColumn id="8" name="Conditions_Matched"/>
    <x:tableColumn id="9" name="Training_Status"/>
    <x:tableColumn id="10" name="DOI_URL"/>
    <x:tableColumn id="11" name="Scientific_Note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LiteratureAdditionsV05Table" displayName="LiteratureAdditionsV05Table" ref="A3:L6" headerRowCount="1" totalsRowCount="0" totalsRowShown="0">
  <x:tableColumns count="12">
    <x:tableColumn id="1" name="Source_ID"/>
    <x:tableColumn id="2" name="Year"/>
    <x:tableColumn id="3" name="Paper"/>
    <x:tableColumn id="4" name="Journal"/>
    <x:tableColumn id="5" name="DOI_URL"/>
    <x:tableColumn id="6" name="Key_Sequences"/>
    <x:tableColumn id="7" name="Primary_Quantitative_Data"/>
    <x:tableColumn id="8" name="New_Rows"/>
    <x:tableColumn id="9" name="Model_Value"/>
    <x:tableColumn id="10" name="Caveat"/>
    <x:tableColumn id="11" name="Acquisition_Status"/>
    <x:tableColumn id="12" name="Evidence_Use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BenchmarkRunV03Table" displayName="BenchmarkRunV03Table" ref="A3:J23" headerRowCount="1" totalsRowCount="0" totalsRowShown="0">
  <x:tableColumns count="10">
    <x:tableColumn id="1" name="Target"/>
    <x:tableColumn id="2" name="Model"/>
    <x:tableColumn id="3" name="N"/>
    <x:tableColumn id="4" name="Paper_Groups"/>
    <x:tableColumn id="5" name="Sequence_Clusters"/>
    <x:tableColumn id="6" name="MAE"/>
    <x:tableColumn id="7" name="RMSE"/>
    <x:tableColumn id="8" name="R2"/>
    <x:tableColumn id="9" name="Spearman"/>
    <x:tableColumn id="10" name="Interpretation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AcquisitionQueueV05Table" displayName="AcquisitionQueueV05Table" ref="A3:J10" headerRowCount="1" totalsRowCount="0" totalsRowShown="0">
  <x:tableColumns count="10">
    <x:tableColumn id="1" name="Priority"/>
    <x:tableColumn id="2" name="Source"/>
    <x:tableColumn id="3" name="Need"/>
    <x:tableColumn id="4" name="Why"/>
    <x:tableColumn id="5" name="Expected_Impact"/>
    <x:tableColumn id="6" name="Current_Status"/>
    <x:tableColumn id="7" name="Do_Not_Do"/>
    <x:tableColumn id="8" name="Target_Module"/>
    <x:tableColumn id="9" name="DOI_URL"/>
    <x:tableColumn id="10" name="Next_Action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AtomicNuclearityAuditV05Table" displayName="AtomicNuclearityAuditV05Table" ref="A3:L9" headerRowCount="1" totalsRowCount="0" totalsRowShown="0">
  <x:tableColumns count="12">
    <x:tableColumn id="1" name="Record_ID"/>
    <x:tableColumn id="2" name="Source_ID"/>
    <x:tableColumn id="3" name="Sequence"/>
    <x:tableColumn id="4" name="Modification"/>
    <x:tableColumn id="5" name="Metal_Composition"/>
    <x:tableColumn id="6" name="Au_Nuclearity"/>
    <x:tableColumn id="7" name="Core_Size_nm"/>
    <x:tableColumn id="8" name="Paper_Group"/>
    <x:tableColumn id="9" name="Training_Use"/>
    <x:tableColumn id="10" name="Primary_Strength"/>
    <x:tableColumn id="11" name="Critical_Caveat"/>
    <x:tableColumn id="12" name="DOI_URL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PepAuDBv06Table" displayName="PepAuDBv06Table" ref="A3:AN69" headerRowCount="1" totalsRowCount="0" totalsRowShown="0">
  <x:tableColumns count="40">
    <x:tableColumn id="1" name="Record_ID"/>
    <x:tableColumn id="2" name="Source_ID"/>
    <x:tableColumn id="3" name="Evidence_Class"/>
    <x:tableColumn id="4" name="Data_Status"/>
    <x:tableColumn id="5" name="Material_Regime"/>
    <x:tableColumn id="6" name="Peptide_or_Ligand"/>
    <x:tableColumn id="7" name="Sequence"/>
    <x:tableColumn id="8" name="Stereochemistry"/>
    <x:tableColumn id="9" name="Terminal_or_Chemical_Modification"/>
    <x:tableColumn id="10" name="Au_Nuclearity"/>
    <x:tableColumn id="11" name="Ligand_Count"/>
    <x:tableColumn id="12" name="Core_Size_nm"/>
    <x:tableColumn id="13" name="Hydrodynamic_Size_nm"/>
    <x:tableColumn id="14" name="Morphology"/>
    <x:tableColumn id="15" name="Au_Precursor"/>
    <x:tableColumn id="16" name="Peptide_or_Ligand_Condition"/>
    <x:tableColumn id="17" name="Reducing_Agent"/>
    <x:tableColumn id="18" name="pH"/>
    <x:tableColumn id="19" name="Temperature_C"/>
    <x:tableColumn id="20" name="Time_h"/>
    <x:tableColumn id="21" name="Mixing_or_Process"/>
    <x:tableColumn id="22" name="Emission_Peak_nm"/>
    <x:tableColumn id="23" name="Emission_Range_nm"/>
    <x:tableColumn id="24" name="PLQY_pct"/>
    <x:tableColumn id="25" name="Absorption_or_LSPR_nm"/>
    <x:tableColumn id="26" name="Zeta_mV"/>
    <x:tableColumn id="27" name="Laser_nm"/>
    <x:tableColumn id="28" name="Laser_Power_W_cm2"/>
    <x:tableColumn id="29" name="PTT_Temperature_C"/>
    <x:tableColumn id="30" name="PTT_Time_min"/>
    <x:tableColumn id="31" name="Application"/>
    <x:tableColumn id="32" name="Key_Observation"/>
    <x:tableColumn id="33" name="Source_Locator"/>
    <x:tableColumn id="34" name="DOI_URL"/>
    <x:tableColumn id="35" name="Key_Field_Completeness_pct"/>
    <x:tableColumn id="36" name="Training_Eligibility"/>
    <x:tableColumn id="37" name="Sequence_Status"/>
    <x:tableColumn id="38" name="QC_Flag"/>
    <x:tableColumn id="39" name="Research_Date"/>
    <x:tableColumn id="40" name="Source_Type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TrainingViewV06Table" displayName="TrainingViewV06Table" ref="A3:Z26" headerRowCount="1" totalsRowCount="0" totalsRowShown="0">
  <x:tableColumns count="26">
    <x:tableColumn id="1" name="Record_ID"/>
    <x:tableColumn id="2" name="Source_ID"/>
    <x:tableColumn id="3" name="Sequence"/>
    <x:tableColumn id="4" name="Material_Regime"/>
    <x:tableColumn id="5" name="Eligibility"/>
    <x:tableColumn id="6" name="Au_Nuclearity"/>
    <x:tableColumn id="7" name="Core_Size_nm"/>
    <x:tableColumn id="8" name="Hydrodynamic_Size_nm"/>
    <x:tableColumn id="9" name="pH"/>
    <x:tableColumn id="10" name="Temp_C"/>
    <x:tableColumn id="11" name="Time_h"/>
    <x:tableColumn id="12" name="Emission_nm"/>
    <x:tableColumn id="13" name="PLQY_pct"/>
    <x:tableColumn id="14" name="Paper_Group"/>
    <x:tableColumn id="15" name="Sequence_Cluster"/>
    <x:tableColumn id="16" name="Use_for_Targets"/>
    <x:tableColumn id="17" name="Metal_Composition"/>
    <x:tableColumn id="18" name="Product_Process_State"/>
    <x:tableColumn id="19" name="Assembly_State"/>
    <x:tableColumn id="20" name="Critical_Validation_Note"/>
    <x:tableColumn id="21" name="Modification_State"/>
    <x:tableColumn id="22" name="Ligand_Count"/>
    <x:tableColumn id="23" name="Cyclization_State"/>
    <x:tableColumn id="24" name="Chirality_State"/>
    <x:tableColumn id="25" name="Protocol_Family"/>
    <x:tableColumn id="26" name="Lab_Group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LiteratureAdditionsV06Table" displayName="LiteratureAdditionsV06Table" ref="A3:M8" headerRowCount="1" totalsRowCount="0" totalsRowShown="0">
  <x:tableColumns count="13">
    <x:tableColumn id="1" name="Source_ID"/>
    <x:tableColumn id="2" name="Year"/>
    <x:tableColumn id="3" name="Paper"/>
    <x:tableColumn id="4" name="Journal"/>
    <x:tableColumn id="5" name="DOI_URL"/>
    <x:tableColumn id="6" name="Exact_Peptide"/>
    <x:tableColumn id="7" name="Atomic_Formula"/>
    <x:tableColumn id="8" name="Verified_Synthesis_or_Optics"/>
    <x:tableColumn id="9" name="Training_Use"/>
    <x:tableColumn id="10" name="Evidence_Strength"/>
    <x:tableColumn id="11" name="Critical_Caveat"/>
    <x:tableColumn id="12" name="Lab_Group"/>
    <x:tableColumn id="13" name="Source_Status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AtomicNuclearityAuditV06Table" displayName="AtomicNuclearityAuditV06Table" ref="A3:N13" headerRowCount="1" totalsRowCount="0" totalsRowShown="0">
  <x:tableColumns count="14">
    <x:tableColumn id="1" name="Record_ID"/>
    <x:tableColumn id="2" name="Source_ID"/>
    <x:tableColumn id="3" name="Sequence"/>
    <x:tableColumn id="4" name="Modification"/>
    <x:tableColumn id="5" name="Metal"/>
    <x:tableColumn id="6" name="Au_Nuclearity"/>
    <x:tableColumn id="7" name="Peptide_Ligand_Count"/>
    <x:tableColumn id="8" name="Core_Size_nm"/>
    <x:tableColumn id="9" name="Paper_Group"/>
    <x:tableColumn id="10" name="Lab_Group"/>
    <x:tableColumn id="11" name="Training_Use"/>
    <x:tableColumn id="12" name="Primary_Strength"/>
    <x:tableColumn id="13" name="Critical_Caveat"/>
    <x:tableColumn id="14" name="DOI_URL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BenchmarkRunV04Table" displayName="BenchmarkRunV04Table" ref="A3:L43" headerRowCount="1" totalsRowCount="0" totalsRowShown="0">
  <x:tableColumns count="12">
    <x:tableColumn id="1" name="Target"/>
    <x:tableColumn id="2" name="Validation"/>
    <x:tableColumn id="3" name="Model"/>
    <x:tableColumn id="4" name="N"/>
    <x:tableColumn id="5" name="Paper_Groups"/>
    <x:tableColumn id="6" name="Lab_Groups"/>
    <x:tableColumn id="7" name="Sequence_Clusters"/>
    <x:tableColumn id="8" name="MAE"/>
    <x:tableColumn id="9" name="RMSE"/>
    <x:tableColumn id="10" name="R2"/>
    <x:tableColumn id="11" name="Spearman"/>
    <x:tableColumn id="12" name="Interpretation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6" name="AcquisitionQueueV06Table" displayName="AcquisitionQueueV06Table" ref="A3:J10" headerRowCount="1" totalsRowCount="0" totalsRowShown="0">
  <x:tableColumns count="10">
    <x:tableColumn id="1" name="Priority"/>
    <x:tableColumn id="2" name="Source"/>
    <x:tableColumn id="3" name="Need"/>
    <x:tableColumn id="4" name="Why"/>
    <x:tableColumn id="5" name="Expected_Impact"/>
    <x:tableColumn id="6" name="Current_Status"/>
    <x:tableColumn id="7" name="Do_Not_Do"/>
    <x:tableColumn id="8" name="Target_Module"/>
    <x:tableColumn id="9" name="DOI_URL"/>
    <x:tableColumn id="10" name="Next_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c3279ccb2044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631a1689cc42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fd6320c4ff40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8184442c6f42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0d08ea581d43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483e68511247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991ebc3ef17447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5620ccf1512474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c73311b5a6ec49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6a0cf4617343b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c1ffcb3073f47c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388d4bd72d09432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2.xml" Id="R268820c5314a4cc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4c48f6c76b51416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b45622f736794a3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df657d90d0dc463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49cf016f005543c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ef42d0915ed7429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3.xml" Id="R755684743d6a4d7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7.xml" Id="Rd88295981c80459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8.xml" Id="Rda1ab9e0cdd1444c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9.xml" Id="R1dcd4f9586de4cc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0.xml" Id="R23127bfea39d4bf7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1.xml" Id="R1c43dda4f3264747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2.xml" Id="Rb26aa5e1aeb549cb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3.xml" Id="Rfbaacf95a5eb47b7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/xl/drawings/drawing4.xml" Id="R903048d287154cc5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4.xml" Id="Rd6634590adf8495c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5.xml" Id="Raa13546fb2e14410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26.xml" Id="R304788d405924532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27.xml" Id="Rf5d3874eb3714758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28.xml" Id="Rbcedf86f460947fe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29.xml" Id="Rcac51b9f52ef45c6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5.xml" Id="R5ff4f6356b6743c3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0.xml" Id="Reb10e2c9168a4bef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1.xml" Id="Rb667fb837ed44625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32.xml" Id="Re88deea107434ebd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33.xml" Id="R8ee70c87140a424a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34.xml" Id="R27ff8c56afee47d5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35.xml" Id="Re505584668804600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36.xml" Id="R40e6dcc9b1ef4fb8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6.xml" Id="R573735fa07ac4e1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28" customHeight="1">
      <x:c r="A1" s="5" t="str">
        <x:v>NanoMax PepAu-Forge — PepAuDB v0.1</x:v>
      </x:c>
      <x:c r="B1" s="5"/>
      <x:c r="C1" s="5"/>
      <x:c r="D1" s="5"/>
      <x:c r="E1" s="5"/>
      <x:c r="F1" s="5"/>
      <x:c r="G1" s="5"/>
      <x:c r="H1" s="5"/>
    </x:row>
    <x:row r="2" ht="18" customHeight="1"/>
    <x:row r="3" ht="32" customHeight="1">
      <x:c r="A3" s="14" t="str">
        <x:v>Field</x:v>
      </x:c>
      <x:c r="B3" s="14" t="str">
        <x:v>Value</x:v>
      </x:c>
    </x:row>
    <x:row r="4" ht="18" customHeight="1">
      <x:c r="A4" s="20" t="str">
        <x:v>Purpose</x:v>
      </x:c>
      <x:c r="B4" s="20" t="str">
        <x:v>Literature-grounded starter database for peptide-programmed gold nanomaterial inverse design, with emphasis on atomic-precision AuNCs and photothermal/theranostic applications.</x:v>
      </x:c>
    </x:row>
    <x:row r="5" ht="18" customHeight="1">
      <x:c r="A5" s="20" t="str">
        <x:v>Version</x:v>
      </x:c>
      <x:c r="B5" s="20" t="str">
        <x:v>v0.1 — starter extraction from the 14 uploaded papers</x:v>
      </x:c>
    </x:row>
    <x:row r="6" ht="18" customHeight="1">
      <x:c r="A6" s="20" t="str">
        <x:v>Core rule</x:v>
      </x:c>
      <x:c r="B6" s="20" t="str">
        <x:v>Do not mix atomically precise AuNCs, ultrasmall non-precise AuNCs, larger AuNPs, bipyramids, superstructures, and 2D AuQDs as if they were one material regime.</x:v>
      </x:c>
    </x:row>
    <x:row r="7" ht="18" customHeight="1">
      <x:c r="A7" s="20" t="str">
        <x:v>Evidence rule</x:v>
      </x:c>
      <x:c r="B7" s="20" t="str">
        <x:v>Only DIRECT rows should be treated as experimentally observed records. REVIEW-DERIVED rows are literature leads until the primary paper is obtained and extracted.</x:v>
      </x:c>
    </x:row>
    <x:row r="8" ht="18" customHeight="1">
      <x:c r="A8" s="20" t="str">
        <x:v>PTT rule</x:v>
      </x:c>
      <x:c r="B8" s="20" t="str">
        <x:v>Photothermal targets are tracked separately from fluorescence targets because fluorescence and heat-generation objectives can trade off.</x:v>
      </x:c>
    </x:row>
    <x:row r="9" ht="18" customHeight="1">
      <x:c r="A9" s="20" t="str">
        <x:v>Current limitation</x:v>
      </x:c>
      <x:c r="B9" s="20" t="str">
        <x:v>The present direct atomic-precision peptide-ligand dataset is too small for a final high-accuracy inverse model. It is sufficient to begin a real, traceable database and define the data-acquisition plan.</x:v>
      </x:c>
    </x:row>
    <x:row r="10" ht="18" customHeight="1">
      <x:c r="A10" s="20" t="str">
        <x:v>Next milestone</x:v>
      </x:c>
      <x:c r="B10" s="20" t="str">
        <x:v>Obtain high-priority missing primary papers, expand to experiment-level rows, then run leakage-safe benchmarking before building the production Streamlit model.</x:v>
      </x:c>
    </x:row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40" hidden="0" customWidth="1"/>
    <x:col min="4" max="4" width="10" hidden="0" customWidth="1"/>
    <x:col min="5" max="5" width="42" hidden="0" customWidth="1"/>
    <x:col min="6" max="6" width="28" hidden="0" customWidth="1"/>
    <x:col min="7" max="7" width="30" hidden="0" customWidth="1"/>
    <x:col min="8" max="8" width="20" hidden="0" customWidth="1"/>
    <x:col min="9" max="9" width="60" hidden="0" customWidth="1"/>
    <x:col min="10" max="10" width="14" hidden="0" customWidth="1"/>
  </x:cols>
  <x:sheetData>
    <x:row r="1" ht="28" customHeight="1">
      <x:c r="A1" s="5" t="str">
        <x:v>Uploaded Literature Inventory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18" customHeight="1"/>
    <x:row r="3" ht="32" customHeight="1">
      <x:c r="A3" s="14" t="str">
        <x:v>ID</x:v>
      </x:c>
      <x:c r="B3" s="14" t="str">
        <x:v>Source file</x:v>
      </x:c>
      <x:c r="C3" s="14" t="str">
        <x:v>Short title</x:v>
      </x:c>
      <x:c r="D3" s="14" t="str">
        <x:v>Year</x:v>
      </x:c>
      <x:c r="E3" s="14" t="str">
        <x:v>DOI / URL</x:v>
      </x:c>
      <x:c r="F3" s="14" t="str">
        <x:v>Primary category</x:v>
      </x:c>
      <x:c r="G3" s="14" t="str">
        <x:v>Evidence class</x:v>
      </x:c>
      <x:c r="H3" s="14" t="str">
        <x:v>Direct model training?</x:v>
      </x:c>
      <x:c r="I3" s="14" t="str">
        <x:v>Main value</x:v>
      </x:c>
      <x:c r="J3" s="14" t="str">
        <x:v>Priority</x:v>
      </x:c>
    </x:row>
    <x:row r="4" ht="18" customHeight="1">
      <x:c r="A4" s="20" t="str">
        <x:v>S01</x:v>
      </x:c>
      <x:c r="B4" s="20" t="str">
        <x:v>acsomega.6b00140.pdf</x:v>
      </x:c>
      <x:c r="C4" s="20" t="str">
        <x:v>pH-dependent synthesis by cysteine-containing peptides</x:v>
      </x:c>
      <x:c r="D4" s="20" t="n">
        <x:v>2016</x:v>
      </x:c>
      <x:c r="E4" s="20" t="str">
        <x:v>https://doi.org/10.1021/acsomega.6b00140</x:v>
      </x:c>
      <x:c r="F4" s="20" t="str">
        <x:v>Peptide→Au growth mechanism</x:v>
      </x:c>
      <x:c r="G4" s="20" t="str">
        <x:v>B1 PEPTIDE_AUNP_MECHANISM</x:v>
      </x:c>
      <x:c r="H4" s="20" t="str">
        <x:v>Mechanistic only</x:v>
      </x:c>
      <x:c r="I4" s="20" t="str">
        <x:v>Controlled peptide/pH experiment; sequence and pH alter size, shape and stability</x:v>
      </x:c>
      <x:c r="J4" s="20" t="str">
        <x:v>High</x:v>
      </x:c>
    </x:row>
    <x:row r="5" ht="18" customHeight="1">
      <x:c r="A5" s="20" t="str">
        <x:v>S02</x:v>
      </x:c>
      <x:c r="B5" s="20" t="str">
        <x:v>d2sc03443c.pdf</x:v>
      </x:c>
      <x:c r="C5" s="20" t="str">
        <x:v>Peptide-directed chiral gold nano-bipyramids</x:v>
      </x:c>
      <x:c r="D5" s="20" t="n">
        <x:v>2022</x:v>
      </x:c>
      <x:c r="E5" s="20" t="str">
        <x:v>https://doi.org/10.1039/d2sc03443c</x:v>
      </x:c>
      <x:c r="F5" s="20" t="str">
        <x:v>Peptide chirality + PTT</x:v>
      </x:c>
      <x:c r="G5" s="20" t="str">
        <x:v>B1 PEPTIDE_AUNP_MECHANISM</x:v>
      </x:c>
      <x:c r="H5" s="20" t="str">
        <x:v>Mechanistic only</x:v>
      </x:c>
      <x:c r="I5" s="20" t="str">
        <x:v>D/L Cys-Phe controls chiral morphology and biological/PTT behavior</x:v>
      </x:c>
      <x:c r="J5" s="20" t="str">
        <x:v>Medium</x:v>
      </x:c>
    </x:row>
    <x:row r="6" ht="18" customHeight="1">
      <x:c r="A6" s="20" t="str">
        <x:v>S03</x:v>
      </x:c>
      <x:c r="B6" s="20" t="str">
        <x:v>ja6b07322.pdf</x:v>
      </x:c>
      <x:c r="C6" s="20" t="str">
        <x:v>Single-helical Au nanoparticle superstructures</x:v>
      </x:c>
      <x:c r="D6" s="20" t="n">
        <x:v>2016</x:v>
      </x:c>
      <x:c r="E6" s="20" t="str">
        <x:v>https://doi.org/10.1021/jacs.6b07322</x:v>
      </x:c>
      <x:c r="F6" s="20" t="str">
        <x:v>Peptide modification→assembly</x:v>
      </x:c>
      <x:c r="G6" s="20" t="str">
        <x:v>B1 PEPTIDE_AUNP_MECHANISM</x:v>
      </x:c>
      <x:c r="H6" s="20" t="str">
        <x:v>Mechanistic only</x:v>
      </x:c>
      <x:c r="I6" s="20" t="str">
        <x:v>Methionine oxidation changes assembly architecture under otherwise similar conditions</x:v>
      </x:c>
      <x:c r="J6" s="20" t="str">
        <x:v>High</x:v>
      </x:c>
    </x:row>
    <x:row r="7" ht="18" customHeight="1">
      <x:c r="A7" s="20" t="str">
        <x:v>S04</x:v>
      </x:c>
      <x:c r="B7" s="20" t="str">
        <x:v>nl4013776.pdf</x:v>
      </x:c>
      <x:c r="C7" s="20" t="str">
        <x:v>Tailorable plasmonic circular dichroism of helical superstructures</x:v>
      </x:c>
      <x:c r="D7" s="20" t="n">
        <x:v>2013</x:v>
      </x:c>
      <x:c r="E7" s="20" t="str">
        <x:v>https://doi.org/10.1021/nl4013776</x:v>
      </x:c>
      <x:c r="F7" s="20" t="str">
        <x:v>Peptide chirality→assembly optics</x:v>
      </x:c>
      <x:c r="G7" s="20" t="str">
        <x:v>B1 PEPTIDE_AUNP_MECHANISM</x:v>
      </x:c>
      <x:c r="H7" s="20" t="str">
        <x:v>Mechanistic only</x:v>
      </x:c>
      <x:c r="I7" s="20" t="str">
        <x:v>L/D peptide conjugates control helix handedness and nanoparticle geometry</x:v>
      </x:c>
      <x:c r="J7" s="20" t="str">
        <x:v>Medium</x:v>
      </x:c>
    </x:row>
    <x:row r="8" ht="18" customHeight="1">
      <x:c r="A8" s="20" t="str">
        <x:v>S05</x:v>
      </x:c>
      <x:c r="B8" s="20" t="str">
        <x:v>nn8b09559.pdf</x:v>
      </x:c>
      <x:c r="C8" s="20" t="str">
        <x:v>Two-dimensional gold quantum dots with tunable bandgaps</x:v>
      </x:c>
      <x:c r="D8" s="20" t="n">
        <x:v>2019</x:v>
      </x:c>
      <x:c r="E8" s="20" t="str">
        <x:v>https://doi.org/10.1021/acsnano.8b09559</x:v>
      </x:c>
      <x:c r="F8" s="20" t="str">
        <x:v>Atomic Au physics prior</x:v>
      </x:c>
      <x:c r="G8" s="20" t="str">
        <x:v>D1 METHOD_REFERENCE</x:v>
      </x:c>
      <x:c r="H8" s="20" t="str">
        <x:v>No</x:v>
      </x:c>
      <x:c r="I8" s="20" t="str">
        <x:v>Au atom count/geometry linked to bandgap; not peptide-templated aqueous AuNC</x:v>
      </x:c>
      <x:c r="J8" s="20" t="str">
        <x:v>Medium</x:v>
      </x:c>
    </x:row>
    <x:row r="9" ht="18" customHeight="1">
      <x:c r="A9" s="20" t="str">
        <x:v>S06</x:v>
      </x:c>
      <x:c r="B9" s="20" t="str">
        <x:v>PIIS2589004222012949.pdf</x:v>
      </x:c>
      <x:c r="C9" s="20" t="str">
        <x:v>Advances of gold nanoclusters for bioimaging</x:v>
      </x:c>
      <x:c r="D9" s="20" t="n">
        <x:v>2022</x:v>
      </x:c>
      <x:c r="E9" s="20" t="str">
        <x:v>https://doi.org/10.1016/j.isci.2022.105022</x:v>
      </x:c>
      <x:c r="F9" s="20" t="str">
        <x:v>Review / literature map</x:v>
      </x:c>
      <x:c r="G9" s="20" t="str">
        <x:v>D1 METHOD_REFERENCE</x:v>
      </x:c>
      <x:c r="H9" s="20" t="str">
        <x:v>No</x:v>
      </x:c>
      <x:c r="I9" s="20" t="str">
        <x:v>Identifies peptide/AuNC primary literature, optical properties and biomedical applications</x:v>
      </x:c>
      <x:c r="J9" s="20" t="str">
        <x:v>High</x:v>
      </x:c>
    </x:row>
    <x:row r="10" ht="18" customHeight="1">
      <x:c r="A10" s="20" t="str">
        <x:v>S07</x:v>
      </x:c>
      <x:c r="B10" s="20" t="str">
        <x:v>s41467-024-49172-6.pdf</x:v>
      </x:c>
      <x:c r="C10" s="20" t="str">
        <x:v>ML-guided full-color high-PLQY carbon quantum dots</x:v>
      </x:c>
      <x:c r="D10" s="20" t="n">
        <x:v>2024</x:v>
      </x:c>
      <x:c r="E10" s="20" t="str">
        <x:v>https://doi.org/10.1038/s41467-024-49172-6</x:v>
      </x:c>
      <x:c r="F10" s="20" t="str">
        <x:v>ML-guided synthesis</x:v>
      </x:c>
      <x:c r="G10" s="20" t="str">
        <x:v>D1 METHOD_REFERENCE</x:v>
      </x:c>
      <x:c r="H10" s="20" t="str">
        <x:v>No</x:v>
      </x:c>
      <x:c r="I10" s="20" t="str">
        <x:v>Closed-loop, multi-objective materials optimization blueprint</x:v>
      </x:c>
      <x:c r="J10" s="20" t="str">
        <x:v>Very High</x:v>
      </x:c>
    </x:row>
    <x:row r="11" ht="18" customHeight="1">
      <x:c r="A11" s="20" t="str">
        <x:v>S08</x:v>
      </x:c>
      <x:c r="B11" s="20" t="str">
        <x:v>s41592-023-02159-5.pdf</x:v>
      </x:c>
      <x:c r="C11" s="20" t="str">
        <x:v>ALBATROSS sequence→ensemble prediction</x:v>
      </x:c>
      <x:c r="D11" s="20" t="n">
        <x:v>2024</x:v>
      </x:c>
      <x:c r="E11" s="20" t="str">
        <x:v>https://doi.org/10.1038/s41592-023-02159-5</x:v>
      </x:c>
      <x:c r="F11" s="20" t="str">
        <x:v>Peptide/protein conformation model</x:v>
      </x:c>
      <x:c r="G11" s="20" t="str">
        <x:v>D1 METHOD_REFERENCE</x:v>
      </x:c>
      <x:c r="H11" s="20" t="str">
        <x:v>Feature model only</x:v>
      </x:c>
      <x:c r="I11" s="20" t="str">
        <x:v>Sequence-derived Rg/Re/asphericity/scaling descriptors; not metal-specific</x:v>
      </x:c>
      <x:c r="J11" s="20" t="str">
        <x:v>High</x:v>
      </x:c>
    </x:row>
    <x:row r="12" ht="18" customHeight="1">
      <x:c r="A12" s="20" t="str">
        <x:v>S09</x:v>
      </x:c>
      <x:c r="B12" s="20" t="str">
        <x:v>s41592-023-02160-y.pdf</x:v>
      </x:c>
      <x:c r="C12" s="20" t="str">
        <x:v>ALBATROSS research briefing</x:v>
      </x:c>
      <x:c r="D12" s="20" t="n">
        <x:v>2024</x:v>
      </x:c>
      <x:c r="E12" s="20" t="str">
        <x:v>https://doi.org/10.1038/s41592-023-02160-y</x:v>
      </x:c>
      <x:c r="F12" s="20" t="str">
        <x:v>Method briefing</x:v>
      </x:c>
      <x:c r="G12" s="20" t="str">
        <x:v>D1 METHOD_REFERENCE</x:v>
      </x:c>
      <x:c r="H12" s="20" t="str">
        <x:v>No</x:v>
      </x:c>
      <x:c r="I12" s="20" t="str">
        <x:v>Concise methodological background; no new AuNC training data</x:v>
      </x:c>
      <x:c r="J12" s="20" t="str">
        <x:v>Low</x:v>
      </x:c>
    </x:row>
    <x:row r="13" ht="18" customHeight="1">
      <x:c r="A13" s="20" t="str">
        <x:v>S10</x:v>
      </x:c>
      <x:c r="B13" s="20" t="str">
        <x:v>Advanced Materials - 2019 - Liu - Atomic‐Precision Gold Clusters for NIR‐II Imaging.pdf</x:v>
      </x:c>
      <x:c r="C13" s="20" t="str">
        <x:v>Atomic-precision Au25(SG)18 for NIR-II imaging</x:v>
      </x:c>
      <x:c r="D13" s="20" t="n">
        <x:v>2019</x:v>
      </x:c>
      <x:c r="E13" s="20" t="str">
        <x:v>https://doi.org/10.1002/adma.201901015</x:v>
      </x:c>
      <x:c r="F13" s="20" t="str">
        <x:v>Atomic-precision peptide-ligand AuNC</x:v>
      </x:c>
      <x:c r="G13" s="20" t="str">
        <x:v>A1 DIRECT_PEPTIDE_ATOMIC_AUNC</x:v>
      </x:c>
      <x:c r="H13" s="20" t="str">
        <x:v>Yes</x:v>
      </x:c>
      <x:c r="I13" s="20" t="str">
        <x:v>Au25(SG)18 nuclearity, structure, NIR-II emission, clearance; synthesis details require SI</x:v>
      </x:c>
      <x:c r="J13" s="20" t="str">
        <x:v>Very High</x:v>
      </x:c>
    </x:row>
    <x:row r="14" ht="18" customHeight="1">
      <x:c r="A14" s="20" t="str">
        <x:v>S11</x:v>
      </x:c>
      <x:c r="B14" s="20" t="str">
        <x:v>baghdasaryan-et-al-2024-intratumor-injected-gold-molecular-clusters-for-nir-ii-imaging-and-cancer-therapy.pdf</x:v>
      </x:c>
      <x:c r="C14" s="20" t="str">
        <x:v>Au25/AuPC intratumor NIR-II imaging and PTT</x:v>
      </x:c>
      <x:c r="D14" s="20" t="n">
        <x:v>2024</x:v>
      </x:c>
      <x:c r="E14" s="20" t="str">
        <x:v>https://doi.org/10.1073/pnas.2318265121</x:v>
      </x:c>
      <x:c r="F14" s="20" t="str">
        <x:v>AuNC PTT benchmark</x:v>
      </x:c>
      <x:c r="G14" s="20" t="str">
        <x:v>C1 AUNC_PTT_BENCHMARK</x:v>
      </x:c>
      <x:c r="H14" s="20" t="str">
        <x:v>PTT benchmark</x:v>
      </x:c>
      <x:c r="I14" s="20" t="str">
        <x:v>Quantitative 808-nm heating and in-vivo tumor PTT performance</x:v>
      </x:c>
      <x:c r="J14" s="20" t="str">
        <x:v>Very High</x:v>
      </x:c>
    </x:row>
    <x:row r="15" ht="18" customHeight="1">
      <x:c r="A15" s="20" t="str">
        <x:v>S12</x:v>
      </x:c>
      <x:c r="B15" s="20" t="str">
        <x:v>cr4c00835.pdf</x:v>
      </x:c>
      <x:c r="C15" s="20" t="str">
        <x:v>Molecular gold nanoclusters for advanced NIR-II bioimaging and therapy</x:v>
      </x:c>
      <x:c r="D15" s="20" t="n">
        <x:v>2025</x:v>
      </x:c>
      <x:c r="E15" s="20" t="str">
        <x:v>https://doi.org/10.1021/acs.chemrev.4c00835</x:v>
      </x:c>
      <x:c r="F15" s="20" t="str">
        <x:v>Review / mechanism / literature map</x:v>
      </x:c>
      <x:c r="G15" s="20" t="str">
        <x:v>D1 METHOD_REFERENCE</x:v>
      </x:c>
      <x:c r="H15" s="20" t="str">
        <x:v>No</x:v>
      </x:c>
      <x:c r="I15" s="20" t="str">
        <x:v>Atomic synthesis, PTT mechanism, ligand effects and priority primary references</x:v>
      </x:c>
      <x:c r="J15" s="20" t="str">
        <x:v>Very High</x:v>
      </x:c>
    </x:row>
    <x:row r="16" ht="18" customHeight="1">
      <x:c r="A16" s="20" t="str">
        <x:v>S13</x:v>
      </x:c>
      <x:c r="B16" s="20" t="str">
        <x:v>s41467-022-33341-6.pdf</x:v>
      </x:c>
      <x:c r="C16" s="20" t="str">
        <x:v>Phosphorylcholine-conjugated Au25 for LN NIR-II imaging</x:v>
      </x:c>
      <x:c r="D16" s="20" t="n">
        <x:v>2022</x:v>
      </x:c>
      <x:c r="E16" s="20" t="str">
        <x:v>https://doi.org/10.1038/s41467-022-33341-6</x:v>
      </x:c>
      <x:c r="F16" s="20" t="str">
        <x:v>Biomedical AuNC benchmark</x:v>
      </x:c>
      <x:c r="G16" s="20" t="str">
        <x:v>C2 AUNC_BIOMEDICAL_BENCHMARK</x:v>
      </x:c>
      <x:c r="H16" s="20" t="str">
        <x:v>Benchmark only</x:v>
      </x:c>
      <x:c r="I16" s="20" t="str">
        <x:v>Surface chemistry→stealth behavior, LN imaging and renal clearance</x:v>
      </x:c>
      <x:c r="J16" s="20" t="str">
        <x:v>High</x:v>
      </x:c>
    </x:row>
    <x:row r="17" ht="18" customHeight="1">
      <x:c r="A17" s="20" t="str">
        <x:v>S14</x:v>
      </x:c>
      <x:c r="B17" s="20" t="str">
        <x:v>sciadv.adh7828.pdf</x:v>
      </x:c>
      <x:c r="C17" s="20" t="str">
        <x:v>Bioactive NIR-II Au22 / Au21Cu1 clusters</x:v>
      </x:c>
      <x:c r="D17" s="20" t="n">
        <x:v>2023</x:v>
      </x:c>
      <x:c r="E17" s="20" t="str">
        <x:v>https://doi.org/10.1126/sciadv.adh7828</x:v>
      </x:c>
      <x:c r="F17" s="20" t="str">
        <x:v>Atomic-precision peptide-ligand AuNC</x:v>
      </x:c>
      <x:c r="G17" s="20" t="str">
        <x:v>A1 DIRECT_PEPTIDE_ATOMIC_AUNC</x:v>
      </x:c>
      <x:c r="H17" s="20" t="str">
        <x:v>Yes</x:v>
      </x:c>
      <x:c r="I17" s="20" t="str">
        <x:v>Exact Au22(SG)18 synthesis + atomic doping + optical/biological outcomes</x:v>
      </x:c>
      <x:c r="J17" s="20" t="str">
        <x:v>Very High</x:v>
      </x:c>
    </x:row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ffc3279ccb2044a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28" hidden="0" customWidth="1"/>
    <x:col min="4" max="4" width="16" hidden="0" customWidth="1"/>
    <x:col min="5" max="5" width="24" hidden="0" customWidth="1"/>
    <x:col min="6" max="6" width="28" hidden="0" customWidth="1"/>
    <x:col min="7" max="7" width="18" hidden="0" customWidth="1"/>
    <x:col min="8" max="8" width="14" hidden="0" customWidth="1"/>
    <x:col min="9" max="9" width="30" hidden="0" customWidth="1"/>
    <x:col min="10" max="10" width="13" hidden="0" customWidth="1"/>
    <x:col min="11" max="11" width="12" hidden="0" customWidth="1"/>
    <x:col min="12" max="12" width="13" hidden="0" customWidth="1"/>
    <x:col min="13" max="13" width="16" hidden="0" customWidth="1"/>
    <x:col min="14" max="14" width="34" hidden="0" customWidth="1"/>
    <x:col min="15" max="15" width="20" hidden="0" customWidth="1"/>
    <x:col min="16" max="16" width="40" hidden="0" customWidth="1"/>
    <x:col min="17" max="17" width="22" hidden="0" customWidth="1"/>
    <x:col min="18" max="18" width="9" hidden="0" customWidth="1"/>
    <x:col min="19" max="19" width="13" hidden="0" customWidth="1"/>
    <x:col min="20" max="20" width="10" hidden="0" customWidth="1"/>
    <x:col min="21" max="21" width="32" hidden="0" customWidth="1"/>
    <x:col min="22" max="22" width="16" hidden="0" customWidth="1"/>
    <x:col min="23" max="23" width="18" hidden="0" customWidth="1"/>
    <x:col min="24" max="24" width="12" hidden="0" customWidth="1"/>
    <x:col min="25" max="25" width="18" hidden="0" customWidth="1"/>
    <x:col min="26" max="26" width="12" hidden="0" customWidth="1"/>
    <x:col min="27" max="27" width="10" hidden="0" customWidth="1"/>
    <x:col min="28" max="28" width="16" hidden="0" customWidth="1"/>
    <x:col min="29" max="29" width="18" hidden="0" customWidth="1"/>
    <x:col min="30" max="30" width="14" hidden="0" customWidth="1"/>
    <x:col min="31" max="31" width="24" hidden="0" customWidth="1"/>
    <x:col min="32" max="32" width="72" hidden="0" customWidth="1"/>
    <x:col min="33" max="33" width="28" hidden="0" customWidth="1"/>
    <x:col min="34" max="34" width="42" hidden="0" customWidth="1"/>
    <x:col min="35" max="35" width="16" hidden="0" customWidth="1"/>
  </x:cols>
  <x:sheetData>
    <x:row r="1" ht="28" customHeight="1">
      <x:c r="A1" s="5" t="str">
        <x:v>PepAuDB v0.1 — Experiment-Level Starter Records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</x:row>
    <x:row r="2" ht="18" customHeight="1"/>
    <x:row r="3" ht="32" customHeight="1">
      <x:c r="A3" s="14" t="str">
        <x:v>Record_ID</x:v>
      </x:c>
      <x:c r="B3" s="14" t="str">
        <x:v>Source_ID</x:v>
      </x:c>
      <x:c r="C3" s="14" t="str">
        <x:v>Evidence_Class</x:v>
      </x:c>
      <x:c r="D3" s="14" t="str">
        <x:v>Data_Status</x:v>
      </x:c>
      <x:c r="E3" s="14" t="str">
        <x:v>Material_Regime</x:v>
      </x:c>
      <x:c r="F3" s="14" t="str">
        <x:v>Peptide_or_Ligand</x:v>
      </x:c>
      <x:c r="G3" s="14" t="str">
        <x:v>Sequence</x:v>
      </x:c>
      <x:c r="H3" s="14" t="str">
        <x:v>Stereochemistry</x:v>
      </x:c>
      <x:c r="I3" s="14" t="str">
        <x:v>Terminal_or_Chemical_Modification</x:v>
      </x:c>
      <x:c r="J3" s="14" t="str">
        <x:v>Au_Nuclearity</x:v>
      </x:c>
      <x:c r="K3" s="14" t="str">
        <x:v>Ligand_Count</x:v>
      </x:c>
      <x:c r="L3" s="14" t="str">
        <x:v>Core_Size_nm</x:v>
      </x:c>
      <x:c r="M3" s="14" t="str">
        <x:v>Hydrodynamic_Size_nm</x:v>
      </x:c>
      <x:c r="N3" s="14" t="str">
        <x:v>Morphology</x:v>
      </x:c>
      <x:c r="O3" s="14" t="str">
        <x:v>Au_Precursor</x:v>
      </x:c>
      <x:c r="P3" s="14" t="str">
        <x:v>Peptide_or_Ligand_Condition</x:v>
      </x:c>
      <x:c r="Q3" s="14" t="str">
        <x:v>Reducing_Agent</x:v>
      </x:c>
      <x:c r="R3" s="14" t="str">
        <x:v>pH</x:v>
      </x:c>
      <x:c r="S3" s="14" t="str">
        <x:v>Temperature_C</x:v>
      </x:c>
      <x:c r="T3" s="14" t="str">
        <x:v>Time_h</x:v>
      </x:c>
      <x:c r="U3" s="14" t="str">
        <x:v>Mixing_or_Process</x:v>
      </x:c>
      <x:c r="V3" s="14" t="str">
        <x:v>Emission_Peak_nm</x:v>
      </x:c>
      <x:c r="W3" s="14" t="str">
        <x:v>Emission_Range_nm</x:v>
      </x:c>
      <x:c r="X3" s="14" t="str">
        <x:v>PLQY_pct</x:v>
      </x:c>
      <x:c r="Y3" s="14" t="str">
        <x:v>Absorption_or_LSPR_nm</x:v>
      </x:c>
      <x:c r="Z3" s="14" t="str">
        <x:v>Zeta_mV</x:v>
      </x:c>
      <x:c r="AA3" s="14" t="str">
        <x:v>Laser_nm</x:v>
      </x:c>
      <x:c r="AB3" s="14" t="str">
        <x:v>Laser_Power_W_cm2</x:v>
      </x:c>
      <x:c r="AC3" s="14" t="str">
        <x:v>PTT_Temperature_C</x:v>
      </x:c>
      <x:c r="AD3" s="14" t="str">
        <x:v>PTT_Time_min</x:v>
      </x:c>
      <x:c r="AE3" s="14" t="str">
        <x:v>Application</x:v>
      </x:c>
      <x:c r="AF3" s="14" t="str">
        <x:v>Key_Observation</x:v>
      </x:c>
      <x:c r="AG3" s="14" t="str">
        <x:v>Source_Locator</x:v>
      </x:c>
      <x:c r="AH3" s="14" t="str">
        <x:v>DOI_URL</x:v>
      </x:c>
      <x:c r="AI3" s="14" t="str">
        <x:v>Key_Field_Completeness_pct</x:v>
      </x:c>
    </x:row>
    <x:row r="4" ht="18" customHeight="1">
      <x:c r="A4" s="20" t="str">
        <x:v>R001</x:v>
      </x:c>
      <x:c r="B4" s="20" t="str">
        <x:v>S01</x:v>
      </x:c>
      <x:c r="C4" s="20" t="str">
        <x:v>B1 PEPTIDE_AUNP_MECHANISM</x:v>
      </x:c>
      <x:c r="D4" s="20" t="str">
        <x:v>DIRECT</x:v>
      </x:c>
      <x:c r="E4" s="20" t="str">
        <x:v>gold_nanoparticle</x:v>
      </x:c>
      <x:c r="F4" s="20" t="str">
        <x:v>AAAKCK</x:v>
      </x:c>
      <x:c r="G4" s="20" t="str">
        <x:v>AAAKCK</x:v>
      </x:c>
      <x:c r="H4" s="20" t="str">
        <x:v>L</x:v>
      </x:c>
      <x:c r="I4" s="20" t="str">
        <x:v>None</x:v>
      </x:c>
      <x:c r="J4" s="20" t="str"/>
      <x:c r="K4" s="20" t="str"/>
      <x:c r="L4" s="20"/>
      <x:c r="M4" s="20"/>
      <x:c r="N4" s="20" t="str">
        <x:v>Mostly icosahedron/decahedron; some hexagonal plates</x:v>
      </x:c>
      <x:c r="O4" s="20" t="str">
        <x:v>HAuCl4</x:v>
      </x:c>
      <x:c r="P4" s="20" t="str">
        <x:v>7 mM peptide; 10 mM HAuCl4; 20 mM phosphate buffer</x:v>
      </x:c>
      <x:c r="Q4" s="20" t="str">
        <x:v>Peptide self-reduction</x:v>
      </x:c>
      <x:c r="R4" s="20" t="n">
        <x:v>4</x:v>
      </x:c>
      <x:c r="S4" s="20" t="n">
        <x:v>25</x:v>
      </x:c>
      <x:c r="T4" s="20"/>
      <x:c r="U4" s="20" t="str">
        <x:v>No stirring; room temperature</x:v>
      </x:c>
      <x:c r="V4" s="20"/>
      <x:c r="W4" s="20"/>
      <x:c r="X4" s="20"/>
      <x:c r="Y4" s="20"/>
      <x:c r="Z4" s="20"/>
      <x:c r="AA4" s="20"/>
      <x:c r="AB4" s="20"/>
      <x:c r="AC4" s="20"/>
      <x:c r="AD4" s="20"/>
      <x:c r="AE4" s="20" t="str">
        <x:v>Mechanistic</x:v>
      </x:c>
      <x:c r="AF4" s="20" t="str">
        <x:v>pH 4: 71.4% icosahedron/decahedron; size ranges 55–90, 50–100 and 65–125 nm for icosahedron/decahedron/plates</x:v>
      </x:c>
      <x:c r="AG4" s="20" t="str">
        <x:v>Main text p.5; Fig.6</x:v>
      </x:c>
      <x:c r="AH4" s="20" t="str">
        <x:v>https://doi.org/10.1021/acsomega.6b00140</x:v>
      </x:c>
      <x:c r="AI4" s="24" t="n">
        <x:f>ROUND(100*COUNTA(G4,J4,L4,R4,S4,T4,V4,X4,AA4,AC4)/10,0)</x:f>
        <x:v>30</x:v>
      </x:c>
    </x:row>
    <x:row r="5" ht="18" customHeight="1">
      <x:c r="A5" s="20" t="str">
        <x:v>R002</x:v>
      </x:c>
      <x:c r="B5" s="20" t="str">
        <x:v>S01</x:v>
      </x:c>
      <x:c r="C5" s="20" t="str">
        <x:v>B1 PEPTIDE_AUNP_MECHANISM</x:v>
      </x:c>
      <x:c r="D5" s="20" t="str">
        <x:v>DIRECT</x:v>
      </x:c>
      <x:c r="E5" s="20" t="str">
        <x:v>gold_nanoparticle</x:v>
      </x:c>
      <x:c r="F5" s="20" t="str">
        <x:v>AAAKCK</x:v>
      </x:c>
      <x:c r="G5" s="20" t="str">
        <x:v>AAAKCK</x:v>
      </x:c>
      <x:c r="H5" s="20" t="str">
        <x:v>L</x:v>
      </x:c>
      <x:c r="I5" s="20" t="str">
        <x:v>None</x:v>
      </x:c>
      <x:c r="J5" s="20" t="str"/>
      <x:c r="K5" s="20" t="str"/>
      <x:c r="L5" s="20"/>
      <x:c r="M5" s="20"/>
      <x:c r="N5" s="20" t="str">
        <x:v>Mixed; icosahedron/decahedron + bipyramids/spheres/plates</x:v>
      </x:c>
      <x:c r="O5" s="20" t="str">
        <x:v>HAuCl4</x:v>
      </x:c>
      <x:c r="P5" s="20" t="str">
        <x:v>7 mM peptide; 10 mM HAuCl4; 20 mM phosphate buffer</x:v>
      </x:c>
      <x:c r="Q5" s="20" t="str">
        <x:v>Peptide self-reduction</x:v>
      </x:c>
      <x:c r="R5" s="20" t="n">
        <x:v>6</x:v>
      </x:c>
      <x:c r="S5" s="20" t="n">
        <x:v>25</x:v>
      </x:c>
      <x:c r="T5" s="20"/>
      <x:c r="U5" s="20" t="str">
        <x:v>No stirring; room temperature</x:v>
      </x:c>
      <x:c r="V5" s="20"/>
      <x:c r="W5" s="20"/>
      <x:c r="X5" s="20"/>
      <x:c r="Y5" s="20"/>
      <x:c r="Z5" s="20"/>
      <x:c r="AA5" s="20"/>
      <x:c r="AB5" s="20"/>
      <x:c r="AC5" s="20"/>
      <x:c r="AD5" s="20"/>
      <x:c r="AE5" s="20" t="str">
        <x:v>Mechanistic</x:v>
      </x:c>
      <x:c r="AF5" s="20" t="str">
        <x:v>pH 6 reduces many size ranges vs pH 4; spherical/bipyramidal forms appear</x:v>
      </x:c>
      <x:c r="AG5" s="20" t="str">
        <x:v>Main text p.5; Fig.6</x:v>
      </x:c>
      <x:c r="AH5" s="20" t="str">
        <x:v>https://doi.org/10.1021/acsomega.6b00140</x:v>
      </x:c>
      <x:c r="AI5" s="24" t="n">
        <x:f>ROUND(100*COUNTA(G5,J5,L5,R5,S5,T5,V5,X5,AA5,AC5)/10,0)</x:f>
        <x:v>30</x:v>
      </x:c>
    </x:row>
    <x:row r="6" ht="18" customHeight="1">
      <x:c r="A6" s="20" t="str">
        <x:v>R003</x:v>
      </x:c>
      <x:c r="B6" s="20" t="str">
        <x:v>S01</x:v>
      </x:c>
      <x:c r="C6" s="20" t="str">
        <x:v>B1 PEPTIDE_AUNP_MECHANISM</x:v>
      </x:c>
      <x:c r="D6" s="20" t="str">
        <x:v>DIRECT</x:v>
      </x:c>
      <x:c r="E6" s="20" t="str">
        <x:v>gold_nanoparticle</x:v>
      </x:c>
      <x:c r="F6" s="20" t="str">
        <x:v>AAAKCK</x:v>
      </x:c>
      <x:c r="G6" s="20" t="str">
        <x:v>AAAKCK</x:v>
      </x:c>
      <x:c r="H6" s="20" t="str">
        <x:v>L</x:v>
      </x:c>
      <x:c r="I6" s="20" t="str">
        <x:v>None</x:v>
      </x:c>
      <x:c r="J6" s="20" t="str"/>
      <x:c r="K6" s="20" t="str"/>
      <x:c r="L6" s="20" t="n">
        <x:v>18</x:v>
      </x:c>
      <x:c r="M6" s="20"/>
      <x:c r="N6" s="20" t="str">
        <x:v>Predominantly spherical / low shape polydispersity</x:v>
      </x:c>
      <x:c r="O6" s="20" t="str">
        <x:v>HAuCl4</x:v>
      </x:c>
      <x:c r="P6" s="20" t="str">
        <x:v>7 mM peptide; 10 mM HAuCl4; 20 mM phosphate buffer</x:v>
      </x:c>
      <x:c r="Q6" s="20" t="str">
        <x:v>Peptide self-reduction</x:v>
      </x:c>
      <x:c r="R6" s="20" t="n">
        <x:v>9</x:v>
      </x:c>
      <x:c r="S6" s="20" t="n">
        <x:v>25</x:v>
      </x:c>
      <x:c r="T6" s="20"/>
      <x:c r="U6" s="20" t="str">
        <x:v>No stirring; room temperature</x:v>
      </x:c>
      <x:c r="V6" s="20"/>
      <x:c r="W6" s="20"/>
      <x:c r="X6" s="20"/>
      <x:c r="Y6" s="20"/>
      <x:c r="Z6" s="20"/>
      <x:c r="AA6" s="20"/>
      <x:c r="AB6" s="20"/>
      <x:c r="AC6" s="20"/>
      <x:c r="AD6" s="20"/>
      <x:c r="AE6" s="20" t="str">
        <x:v>Mechanistic</x:v>
      </x:c>
      <x:c r="AF6" s="20" t="str">
        <x:v>pH 9 produced low shape polydispersity with predominant ~18 nm particles</x:v>
      </x:c>
      <x:c r="AG6" s="20" t="str">
        <x:v>Main text p.5; Fig.6F</x:v>
      </x:c>
      <x:c r="AH6" s="20" t="str">
        <x:v>https://doi.org/10.1021/acsomega.6b00140</x:v>
      </x:c>
      <x:c r="AI6" s="24" t="n">
        <x:f>ROUND(100*COUNTA(G6,J6,L6,R6,S6,T6,V6,X6,AA6,AC6)/10,0)</x:f>
        <x:v>40</x:v>
      </x:c>
    </x:row>
    <x:row r="7" ht="18" customHeight="1">
      <x:c r="A7" s="20" t="str">
        <x:v>R004</x:v>
      </x:c>
      <x:c r="B7" s="20" t="str">
        <x:v>S01</x:v>
      </x:c>
      <x:c r="C7" s="20" t="str">
        <x:v>B1 PEPTIDE_AUNP_MECHANISM</x:v>
      </x:c>
      <x:c r="D7" s="20" t="str">
        <x:v>DIRECT</x:v>
      </x:c>
      <x:c r="E7" s="20" t="str">
        <x:v>gold_nanoparticle</x:v>
      </x:c>
      <x:c r="F7" s="20" t="str">
        <x:v>AAARCR</x:v>
      </x:c>
      <x:c r="G7" s="20" t="str">
        <x:v>AAARCR</x:v>
      </x:c>
      <x:c r="H7" s="20" t="str">
        <x:v>L</x:v>
      </x:c>
      <x:c r="I7" s="20" t="str">
        <x:v>None</x:v>
      </x:c>
      <x:c r="J7" s="20" t="str"/>
      <x:c r="K7" s="20" t="str"/>
      <x:c r="L7" s="20" t="n">
        <x:v>79</x:v>
      </x:c>
      <x:c r="M7" s="20"/>
      <x:c r="N7" s="20" t="str">
        <x:v>Low-polydispersity particles</x:v>
      </x:c>
      <x:c r="O7" s="20" t="str">
        <x:v>HAuCl4</x:v>
      </x:c>
      <x:c r="P7" s="20" t="str">
        <x:v>Same base protocol as alkaline peptide experiments</x:v>
      </x:c>
      <x:c r="Q7" s="20" t="str">
        <x:v>Peptide self-reduction</x:v>
      </x:c>
      <x:c r="R7" s="20" t="n">
        <x:v>9</x:v>
      </x:c>
      <x:c r="S7" s="20" t="n">
        <x:v>25</x:v>
      </x:c>
      <x:c r="T7" s="20"/>
      <x:c r="U7" s="20" t="str">
        <x:v>No stirring; room temperature</x:v>
      </x:c>
      <x:c r="V7" s="20"/>
      <x:c r="W7" s="20"/>
      <x:c r="X7" s="20"/>
      <x:c r="Y7" s="20" t="n">
        <x:v>536</x:v>
      </x:c>
      <x:c r="Z7" s="20" t="n">
        <x:v>30.4</x:v>
      </x:c>
      <x:c r="AA7" s="20"/>
      <x:c r="AB7" s="20"/>
      <x:c r="AC7" s="20"/>
      <x:c r="AD7" s="20"/>
      <x:c r="AE7" s="20" t="str">
        <x:v>Mechanistic</x:v>
      </x:c>
      <x:c r="AF7" s="20" t="str">
        <x:v>Alkaline pH favored AAARCR synthesis; mean diameter 79±6 nm reported for pH 9–10</x:v>
      </x:c>
      <x:c r="AG7" s="20" t="str">
        <x:v>Main text p.7–8; Fig.11</x:v>
      </x:c>
      <x:c r="AH7" s="20" t="str">
        <x:v>https://doi.org/10.1021/acsomega.6b00140</x:v>
      </x:c>
      <x:c r="AI7" s="24" t="n">
        <x:f>ROUND(100*COUNTA(G7,J7,L7,R7,S7,T7,V7,X7,AA7,AC7)/10,0)</x:f>
        <x:v>40</x:v>
      </x:c>
    </x:row>
    <x:row r="8" ht="18" customHeight="1">
      <x:c r="A8" s="20" t="str">
        <x:v>R005</x:v>
      </x:c>
      <x:c r="B8" s="20" t="str">
        <x:v>S01</x:v>
      </x:c>
      <x:c r="C8" s="20" t="str">
        <x:v>B1 PEPTIDE_AUNP_MECHANISM</x:v>
      </x:c>
      <x:c r="D8" s="20" t="str">
        <x:v>DIRECT</x:v>
      </x:c>
      <x:c r="E8" s="20" t="str">
        <x:v>gold_nanoparticle</x:v>
      </x:c>
      <x:c r="F8" s="20" t="str">
        <x:v>AAARCR</x:v>
      </x:c>
      <x:c r="G8" s="20" t="str">
        <x:v>AAARCR</x:v>
      </x:c>
      <x:c r="H8" s="20" t="str">
        <x:v>L</x:v>
      </x:c>
      <x:c r="I8" s="20" t="str">
        <x:v>None</x:v>
      </x:c>
      <x:c r="J8" s="20" t="str"/>
      <x:c r="K8" s="20" t="str"/>
      <x:c r="L8" s="20" t="n">
        <x:v>79</x:v>
      </x:c>
      <x:c r="M8" s="20"/>
      <x:c r="N8" s="20" t="str">
        <x:v>Low-polydispersity particles</x:v>
      </x:c>
      <x:c r="O8" s="20" t="str">
        <x:v>HAuCl4</x:v>
      </x:c>
      <x:c r="P8" s="20" t="str">
        <x:v>Same base protocol as alkaline peptide experiments</x:v>
      </x:c>
      <x:c r="Q8" s="20" t="str">
        <x:v>Peptide self-reduction</x:v>
      </x:c>
      <x:c r="R8" s="20" t="n">
        <x:v>10</x:v>
      </x:c>
      <x:c r="S8" s="20" t="n">
        <x:v>25</x:v>
      </x:c>
      <x:c r="T8" s="20"/>
      <x:c r="U8" s="20" t="str">
        <x:v>No stirring; room temperature</x:v>
      </x:c>
      <x:c r="V8" s="20"/>
      <x:c r="W8" s="20"/>
      <x:c r="X8" s="20"/>
      <x:c r="Y8" s="20" t="n">
        <x:v>536</x:v>
      </x:c>
      <x:c r="Z8" s="20" t="n">
        <x:v>33.2</x:v>
      </x:c>
      <x:c r="AA8" s="20"/>
      <x:c r="AB8" s="20"/>
      <x:c r="AC8" s="20"/>
      <x:c r="AD8" s="20"/>
      <x:c r="AE8" s="20" t="str">
        <x:v>Mechanistic</x:v>
      </x:c>
      <x:c r="AF8" s="20" t="str">
        <x:v>Narrow SPR ~536 nm; mean diameter 79±6 nm; positive zeta potential</x:v>
      </x:c>
      <x:c r="AG8" s="20" t="str">
        <x:v>Main text p.7–8; Fig.11</x:v>
      </x:c>
      <x:c r="AH8" s="20" t="str">
        <x:v>https://doi.org/10.1021/acsomega.6b00140</x:v>
      </x:c>
      <x:c r="AI8" s="24" t="n">
        <x:f>ROUND(100*COUNTA(G8,J8,L8,R8,S8,T8,V8,X8,AA8,AC8)/10,0)</x:f>
        <x:v>40</x:v>
      </x:c>
    </x:row>
    <x:row r="9" ht="18" customHeight="1">
      <x:c r="A9" s="20" t="str">
        <x:v>R006</x:v>
      </x:c>
      <x:c r="B9" s="20" t="str">
        <x:v>S01</x:v>
      </x:c>
      <x:c r="C9" s="20" t="str">
        <x:v>B1 PEPTIDE_AUNP_MECHANISM</x:v>
      </x:c>
      <x:c r="D9" s="20" t="str">
        <x:v>DIRECT</x:v>
      </x:c>
      <x:c r="E9" s="20" t="str">
        <x:v>gold_nanoparticle</x:v>
      </x:c>
      <x:c r="F9" s="20" t="str">
        <x:v>AAAACA</x:v>
      </x:c>
      <x:c r="G9" s="20" t="str">
        <x:v>AAAACA</x:v>
      </x:c>
      <x:c r="H9" s="20" t="str">
        <x:v>L</x:v>
      </x:c>
      <x:c r="I9" s="20" t="str">
        <x:v>PEG10 required</x:v>
      </x:c>
      <x:c r="J9" s="20" t="str"/>
      <x:c r="K9" s="20" t="str"/>
      <x:c r="L9" s="20"/>
      <x:c r="M9" s="20"/>
      <x:c r="N9" s="20" t="str">
        <x:v>GNP formation</x:v>
      </x:c>
      <x:c r="O9" s="20" t="str">
        <x:v>HAuCl4</x:v>
      </x:c>
      <x:c r="P9" s="20" t="str">
        <x:v>PEG10 present</x:v>
      </x:c>
      <x:c r="Q9" s="20" t="str">
        <x:v>Peptide + PEG-assisted</x:v>
      </x:c>
      <x:c r="R9" s="20" t="n">
        <x:v>8</x:v>
      </x:c>
      <x:c r="S9" s="20" t="n">
        <x:v>25</x:v>
      </x:c>
      <x:c r="T9" s="20"/>
      <x:c r="U9" s="20" t="str">
        <x:v>Room temperature</x:v>
      </x:c>
      <x:c r="V9" s="20"/>
      <x:c r="W9" s="20"/>
      <x:c r="X9" s="20"/>
      <x:c r="Y9" s="20"/>
      <x:c r="Z9" s="20"/>
      <x:c r="AA9" s="20"/>
      <x:c r="AB9" s="20"/>
      <x:c r="AC9" s="20"/>
      <x:c r="AD9" s="20"/>
      <x:c r="AE9" s="20" t="str">
        <x:v>Mechanistic</x:v>
      </x:c>
      <x:c r="AF9" s="20" t="str">
        <x:v>Neutral peptide required PEG10; GNP synthesis at pH 8 and 11</x:v>
      </x:c>
      <x:c r="AG9" s="20" t="str">
        <x:v>Main text p.8 + SI</x:v>
      </x:c>
      <x:c r="AH9" s="20" t="str">
        <x:v>https://doi.org/10.1021/acsomega.6b00140</x:v>
      </x:c>
      <x:c r="AI9" s="24" t="n">
        <x:f>ROUND(100*COUNTA(G9,J9,L9,R9,S9,T9,V9,X9,AA9,AC9)/10,0)</x:f>
        <x:v>30</x:v>
      </x:c>
    </x:row>
    <x:row r="10" ht="18" customHeight="1">
      <x:c r="A10" s="20" t="str">
        <x:v>R007</x:v>
      </x:c>
      <x:c r="B10" s="20" t="str">
        <x:v>S01</x:v>
      </x:c>
      <x:c r="C10" s="20" t="str">
        <x:v>B1 PEPTIDE_AUNP_MECHANISM</x:v>
      </x:c>
      <x:c r="D10" s="20" t="str">
        <x:v>DIRECT</x:v>
      </x:c>
      <x:c r="E10" s="20" t="str">
        <x:v>gold_nanoparticle</x:v>
      </x:c>
      <x:c r="F10" s="20" t="str">
        <x:v>AAAECE</x:v>
      </x:c>
      <x:c r="G10" s="20" t="str">
        <x:v>AAAECE</x:v>
      </x:c>
      <x:c r="H10" s="20" t="str">
        <x:v>L</x:v>
      </x:c>
      <x:c r="I10" s="20" t="str">
        <x:v>PEG10 required</x:v>
      </x:c>
      <x:c r="J10" s="20" t="str"/>
      <x:c r="K10" s="20" t="str"/>
      <x:c r="L10" s="20"/>
      <x:c r="M10" s="20"/>
      <x:c r="N10" s="20" t="str">
        <x:v>GNP formation</x:v>
      </x:c>
      <x:c r="O10" s="20" t="str">
        <x:v>HAuCl4</x:v>
      </x:c>
      <x:c r="P10" s="20" t="str">
        <x:v>PEG10 present</x:v>
      </x:c>
      <x:c r="Q10" s="20" t="str">
        <x:v>Peptide + PEG-assisted</x:v>
      </x:c>
      <x:c r="R10" s="20" t="n">
        <x:v>7</x:v>
      </x:c>
      <x:c r="S10" s="20" t="n">
        <x:v>80</x:v>
      </x:c>
      <x:c r="T10" s="20"/>
      <x:c r="U10" s="20" t="str">
        <x:v>Heating required</x:v>
      </x:c>
      <x:c r="V10" s="20"/>
      <x:c r="W10" s="20"/>
      <x:c r="X10" s="20"/>
      <x:c r="Y10" s="20"/>
      <x:c r="Z10" s="20"/>
      <x:c r="AA10" s="20"/>
      <x:c r="AB10" s="20"/>
      <x:c r="AC10" s="20"/>
      <x:c r="AD10" s="20"/>
      <x:c r="AE10" s="20" t="str">
        <x:v>Mechanistic</x:v>
      </x:c>
      <x:c r="AF10" s="20" t="str">
        <x:v>Acidic peptide required PEG10 and 80°C; synthesis observed at pH 7 and 11</x:v>
      </x:c>
      <x:c r="AG10" s="20" t="str">
        <x:v>Main text p.8 + SI</x:v>
      </x:c>
      <x:c r="AH10" s="20" t="str">
        <x:v>https://doi.org/10.1021/acsomega.6b00140</x:v>
      </x:c>
      <x:c r="AI10" s="24" t="n">
        <x:f>ROUND(100*COUNTA(G10,J10,L10,R10,S10,T10,V10,X10,AA10,AC10)/10,0)</x:f>
        <x:v>30</x:v>
      </x:c>
    </x:row>
    <x:row r="11" ht="18" customHeight="1">
      <x:c r="A11" s="20" t="str">
        <x:v>R008</x:v>
      </x:c>
      <x:c r="B11" s="20" t="str">
        <x:v>S01</x:v>
      </x:c>
      <x:c r="C11" s="20" t="str">
        <x:v>B1 PEPTIDE_AUNP_MECHANISM</x:v>
      </x:c>
      <x:c r="D11" s="20" t="str">
        <x:v>DIRECT</x:v>
      </x:c>
      <x:c r="E11" s="20" t="str">
        <x:v>gold_nanoparticle</x:v>
      </x:c>
      <x:c r="F11" s="20" t="str">
        <x:v>Glutathione (GSH)</x:v>
      </x:c>
      <x:c r="G11" s="20" t="str">
        <x:v>γ-ECG</x:v>
      </x:c>
      <x:c r="H11" s="20" t="str">
        <x:v>L</x:v>
      </x:c>
      <x:c r="I11" s="20" t="str">
        <x:v>PEG10 required</x:v>
      </x:c>
      <x:c r="J11" s="20" t="str"/>
      <x:c r="K11" s="20" t="str"/>
      <x:c r="L11" s="20"/>
      <x:c r="M11" s="20"/>
      <x:c r="N11" s="20" t="str">
        <x:v>GNP formation</x:v>
      </x:c>
      <x:c r="O11" s="20" t="str">
        <x:v>HAuCl4</x:v>
      </x:c>
      <x:c r="P11" s="20" t="str">
        <x:v>PEG10 present</x:v>
      </x:c>
      <x:c r="Q11" s="20" t="str">
        <x:v>Peptide + PEG-assisted</x:v>
      </x:c>
      <x:c r="R11" s="20" t="n">
        <x:v>11</x:v>
      </x:c>
      <x:c r="S11" s="20" t="n">
        <x:v>80</x:v>
      </x:c>
      <x:c r="T11" s="20"/>
      <x:c r="U11" s="20" t="str">
        <x:v>Heating required</x:v>
      </x:c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 t="str">
        <x:v>Mechanistic</x:v>
      </x:c>
      <x:c r="AF11" s="20" t="str">
        <x:v>GSH required PEG10 + 80°C and produced GNPs only at pH 11 in this study</x:v>
      </x:c>
      <x:c r="AG11" s="20" t="str">
        <x:v>Main text p.8 + SI</x:v>
      </x:c>
      <x:c r="AH11" s="20" t="str">
        <x:v>https://doi.org/10.1021/acsomega.6b00140</x:v>
      </x:c>
      <x:c r="AI11" s="24" t="n">
        <x:f>ROUND(100*COUNTA(G11,J11,L11,R11,S11,T11,V11,X11,AA11,AC11)/10,0)</x:f>
        <x:v>30</x:v>
      </x:c>
    </x:row>
    <x:row r="12" ht="18" customHeight="1">
      <x:c r="A12" s="20" t="str">
        <x:v>R009</x:v>
      </x:c>
      <x:c r="B12" s="20" t="str">
        <x:v>S02</x:v>
      </x:c>
      <x:c r="C12" s="20" t="str">
        <x:v>B1 PEPTIDE_AUNP_MECHANISM</x:v>
      </x:c>
      <x:c r="D12" s="20" t="str">
        <x:v>DIRECT</x:v>
      </x:c>
      <x:c r="E12" s="20" t="str">
        <x:v>gold_bipyramid</x:v>
      </x:c>
      <x:c r="F12" s="20" t="str">
        <x:v>D-Cys-Phe</x:v>
      </x:c>
      <x:c r="G12" s="20" t="str">
        <x:v>CF</x:v>
      </x:c>
      <x:c r="H12" s="20" t="str">
        <x:v>D</x:v>
      </x:c>
      <x:c r="I12" s="20" t="str">
        <x:v>Chiral D peptide; SH-PEG surface stabilization</x:v>
      </x:c>
      <x:c r="J12" s="20" t="str"/>
      <x:c r="K12" s="20" t="str"/>
      <x:c r="L12" s="20"/>
      <x:c r="M12" s="20"/>
      <x:c r="N12" s="20" t="str">
        <x:v>Sea-cucumber-like spiked GBP; ~200×50 nm</x:v>
      </x:c>
      <x:c r="O12" s="20" t="str">
        <x:v>HAuCl4</x:v>
      </x:c>
      <x:c r="P12" s="20" t="str">
        <x:v>Seed-mediated growth with Cys-Phe</x:v>
      </x:c>
      <x:c r="Q12" s="20" t="str">
        <x:v>Ascorbic acid</x:v>
      </x:c>
      <x:c r="R12" s="20"/>
      <x:c r="S12" s="20"/>
      <x:c r="T12" s="20"/>
      <x:c r="U12" s="20" t="str">
        <x:v>~100 nm Au NBP seeds; aqueous growth</x:v>
      </x:c>
      <x:c r="V12" s="20"/>
      <x:c r="W12" s="20"/>
      <x:c r="X12" s="20"/>
      <x:c r="Y12" s="20" t="n">
        <x:v>536</x:v>
      </x:c>
      <x:c r="Z12" s="20"/>
      <x:c r="AA12" s="20" t="n">
        <x:v>808</x:v>
      </x:c>
      <x:c r="AB12" s="20" t="n">
        <x:v>0.8</x:v>
      </x:c>
      <x:c r="AC12" s="20" t="str">
        <x:v>&gt;45</x:v>
      </x:c>
      <x:c r="AD12" s="20" t="n">
        <x:v>5</x:v>
      </x:c>
      <x:c r="AE12" s="20" t="str">
        <x:v>Antibacterial PTT</x:v>
      </x:c>
      <x:c r="AF12" s="20" t="str">
        <x:v>D-form gave stronger bacterial binding and higher PTT response than L-form</x:v>
      </x:c>
      <x:c r="AG12" s="20" t="str">
        <x:v>Main text pp.2–4</x:v>
      </x:c>
      <x:c r="AH12" s="20" t="str">
        <x:v>https://doi.org/10.1039/d2sc03443c</x:v>
      </x:c>
      <x:c r="AI12" s="24" t="n">
        <x:f>ROUND(100*COUNTA(G12,J12,L12,R12,S12,T12,V12,X12,AA12,AC12)/10,0)</x:f>
        <x:v>30</x:v>
      </x:c>
    </x:row>
    <x:row r="13" ht="18" customHeight="1">
      <x:c r="A13" s="20" t="str">
        <x:v>R010</x:v>
      </x:c>
      <x:c r="B13" s="20" t="str">
        <x:v>S02</x:v>
      </x:c>
      <x:c r="C13" s="20" t="str">
        <x:v>B1 PEPTIDE_AUNP_MECHANISM</x:v>
      </x:c>
      <x:c r="D13" s="20" t="str">
        <x:v>DIRECT</x:v>
      </x:c>
      <x:c r="E13" s="20" t="str">
        <x:v>gold_bipyramid</x:v>
      </x:c>
      <x:c r="F13" s="20" t="str">
        <x:v>L-Cys-Phe</x:v>
      </x:c>
      <x:c r="G13" s="20" t="str">
        <x:v>CF</x:v>
      </x:c>
      <x:c r="H13" s="20" t="str">
        <x:v>L</x:v>
      </x:c>
      <x:c r="I13" s="20" t="str">
        <x:v>Chiral L peptide; SH-PEG surface stabilization</x:v>
      </x:c>
      <x:c r="J13" s="20" t="str"/>
      <x:c r="K13" s="20" t="str"/>
      <x:c r="L13" s="20"/>
      <x:c r="M13" s="20"/>
      <x:c r="N13" s="20" t="str">
        <x:v>Sea-cucumber-like spiked GBP; ~200×50 nm</x:v>
      </x:c>
      <x:c r="O13" s="20" t="str">
        <x:v>HAuCl4</x:v>
      </x:c>
      <x:c r="P13" s="20" t="str">
        <x:v>Seed-mediated growth with Cys-Phe</x:v>
      </x:c>
      <x:c r="Q13" s="20" t="str">
        <x:v>Ascorbic acid</x:v>
      </x:c>
      <x:c r="R13" s="20"/>
      <x:c r="S13" s="20"/>
      <x:c r="T13" s="20"/>
      <x:c r="U13" s="20" t="str">
        <x:v>~100 nm Au NBP seeds; aqueous growth</x:v>
      </x:c>
      <x:c r="V13" s="20"/>
      <x:c r="W13" s="20"/>
      <x:c r="X13" s="20"/>
      <x:c r="Y13" s="20" t="n">
        <x:v>536</x:v>
      </x:c>
      <x:c r="Z13" s="20"/>
      <x:c r="AA13" s="20" t="n">
        <x:v>808</x:v>
      </x:c>
      <x:c r="AB13" s="20" t="n">
        <x:v>0.8</x:v>
      </x:c>
      <x:c r="AC13" s="20" t="str">
        <x:v>&gt;45</x:v>
      </x:c>
      <x:c r="AD13" s="20" t="n">
        <x:v>5</x:v>
      </x:c>
      <x:c r="AE13" s="20" t="str">
        <x:v>Antibacterial PTT</x:v>
      </x:c>
      <x:c r="AF13" s="20" t="str">
        <x:v>L-form forms mirror-chiral GBP and has lower bacterial affinity than D-form</x:v>
      </x:c>
      <x:c r="AG13" s="20" t="str">
        <x:v>Main text pp.2–4</x:v>
      </x:c>
      <x:c r="AH13" s="20" t="str">
        <x:v>https://doi.org/10.1039/d2sc03443c</x:v>
      </x:c>
      <x:c r="AI13" s="24" t="n">
        <x:f>ROUND(100*COUNTA(G13,J13,L13,R13,S13,T13,V13,X13,AA13,AC13)/10,0)</x:f>
        <x:v>30</x:v>
      </x:c>
    </x:row>
    <x:row r="14" ht="18" customHeight="1">
      <x:c r="A14" s="20" t="str">
        <x:v>R011</x:v>
      </x:c>
      <x:c r="B14" s="20" t="str">
        <x:v>S03</x:v>
      </x:c>
      <x:c r="C14" s="20" t="str">
        <x:v>B1 PEPTIDE_AUNP_MECHANISM</x:v>
      </x:c>
      <x:c r="D14" s="20" t="str">
        <x:v>DIRECT</x:v>
      </x:c>
      <x:c r="E14" s="20" t="str">
        <x:v>gold_superstructure</x:v>
      </x:c>
      <x:c r="F14" s="20" t="str">
        <x:v>C18-(PEPAuM-ox)2</x:v>
      </x:c>
      <x:c r="G14" s="20" t="str">
        <x:v>AYSSGAPPMoxPPF</x:v>
      </x:c>
      <x:c r="H14" s="20" t="str">
        <x:v>L</x:v>
      </x:c>
      <x:c r="I14" s="20" t="str">
        <x:v>C18 tail; methionine oxidized to sulfoxide</x:v>
      </x:c>
      <x:c r="J14" s="20" t="str"/>
      <x:c r="K14" s="20" t="str"/>
      <x:c r="L14" s="20"/>
      <x:c r="M14" s="20"/>
      <x:c r="N14" s="20" t="str">
        <x:v>Single-helical superstructure; rod-like AuNP 16.6×9.6 nm</x:v>
      </x:c>
      <x:c r="O14" s="20" t="str">
        <x:v>Gold salt</x:v>
      </x:c>
      <x:c r="P14" s="20" t="str">
        <x:v>Peptide conjugate + assembly buffer</x:v>
      </x:c>
      <x:c r="Q14" s="20" t="str">
        <x:v>Reducing agent used</x:v>
      </x:c>
      <x:c r="R14" s="20"/>
      <x:c r="S14" s="20"/>
      <x:c r="T14" s="20" t="n">
        <x:v>15</x:v>
      </x:c>
      <x:c r="U14" s="20" t="str">
        <x:v>In-situ growth on peptide fibers</x:v>
      </x:c>
      <x:c r="V14" s="20"/>
      <x:c r="W14" s="20"/>
      <x:c r="X14" s="20"/>
      <x:c r="Y14" s="20"/>
      <x:c r="Z14" s="20"/>
      <x:c r="AA14" s="20"/>
      <x:c r="AB14" s="20"/>
      <x:c r="AC14" s="20"/>
      <x:c r="AD14" s="20"/>
      <x:c r="AE14" s="20" t="str">
        <x:v>Chiral assembly</x:v>
      </x:c>
      <x:c r="AF14" s="20" t="str">
        <x:v>Methionine oxidation alone switches product toward single helices under otherwise nearly identical synthesis conditions</x:v>
      </x:c>
      <x:c r="AG14" s="20" t="str">
        <x:v>Main text p.2; Fig.1–2</x:v>
      </x:c>
      <x:c r="AH14" s="20" t="str">
        <x:v>https://doi.org/10.1021/jacs.6b07322</x:v>
      </x:c>
      <x:c r="AI14" s="24" t="n">
        <x:f>ROUND(100*COUNTA(G14,J14,L14,R14,S14,T14,V14,X14,AA14,AC14)/10,0)</x:f>
        <x:v>20</x:v>
      </x:c>
    </x:row>
    <x:row r="15" ht="18" customHeight="1">
      <x:c r="A15" s="20" t="str">
        <x:v>R012</x:v>
      </x:c>
      <x:c r="B15" s="20" t="str">
        <x:v>S03</x:v>
      </x:c>
      <x:c r="C15" s="20" t="str">
        <x:v>B1 PEPTIDE_AUNP_MECHANISM</x:v>
      </x:c>
      <x:c r="D15" s="20" t="str">
        <x:v>DIRECT</x:v>
      </x:c>
      <x:c r="E15" s="20" t="str">
        <x:v>gold_superstructure</x:v>
      </x:c>
      <x:c r="F15" s="20" t="str">
        <x:v>C18-(PEPAu)2</x:v>
      </x:c>
      <x:c r="G15" s="20" t="str">
        <x:v>AYSSGAPPMPPF</x:v>
      </x:c>
      <x:c r="H15" s="20" t="str">
        <x:v>L</x:v>
      </x:c>
      <x:c r="I15" s="20" t="str">
        <x:v>C18 tail; unoxidized methionine</x:v>
      </x:c>
      <x:c r="J15" s="20" t="str"/>
      <x:c r="K15" s="20" t="str"/>
      <x:c r="L15" s="20"/>
      <x:c r="M15" s="20"/>
      <x:c r="N15" s="20" t="str">
        <x:v>Double-helical superstructure</x:v>
      </x:c>
      <x:c r="O15" s="20" t="str">
        <x:v>Gold salt</x:v>
      </x:c>
      <x:c r="P15" s="20" t="str">
        <x:v>Peptide conjugate + assembly buffer</x:v>
      </x:c>
      <x:c r="Q15" s="20" t="str">
        <x:v>Reducing agent used</x:v>
      </x:c>
      <x:c r="R15" s="20"/>
      <x:c r="S15" s="20"/>
      <x:c r="T15" s="20"/>
      <x:c r="U15" s="20" t="str">
        <x:v>In-situ growth on peptide fibers</x:v>
      </x:c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 t="str">
        <x:v>Chiral assembly</x:v>
      </x:c>
      <x:c r="AF15" s="20" t="str">
        <x:v>Unoxidized conjugate directs double-helical assembly; serves as paired comparator to oxidized peptide</x:v>
      </x:c>
      <x:c r="AG15" s="20" t="str">
        <x:v>Main text pp.1–2</x:v>
      </x:c>
      <x:c r="AH15" s="20" t="str">
        <x:v>https://doi.org/10.1021/jacs.6b07322</x:v>
      </x:c>
      <x:c r="AI15" s="24" t="n">
        <x:f>ROUND(100*COUNTA(G15,J15,L15,R15,S15,T15,V15,X15,AA15,AC15)/10,0)</x:f>
        <x:v>10</x:v>
      </x:c>
    </x:row>
    <x:row r="16" ht="18" customHeight="1">
      <x:c r="A16" s="20" t="str">
        <x:v>R013</x:v>
      </x:c>
      <x:c r="B16" s="20" t="str">
        <x:v>S04</x:v>
      </x:c>
      <x:c r="C16" s="20" t="str">
        <x:v>B1 PEPTIDE_AUNP_MECHANISM</x:v>
      </x:c>
      <x:c r="D16" s="20" t="str">
        <x:v>DIRECT</x:v>
      </x:c>
      <x:c r="E16" s="20" t="str">
        <x:v>gold_superstructure</x:v>
      </x:c>
      <x:c r="F16" s="20" t="str">
        <x:v>C12-L-PEPAu</x:v>
      </x:c>
      <x:c r="G16" s="20" t="str">
        <x:v>AYSSGAPPMPPF</x:v>
      </x:c>
      <x:c r="H16" s="20" t="str">
        <x:v>L</x:v>
      </x:c>
      <x:c r="I16" s="20" t="str">
        <x:v>C12 acyl tail</x:v>
      </x:c>
      <x:c r="J16" s="20" t="str"/>
      <x:c r="K16" s="20" t="str"/>
      <x:c r="L16" s="20" t="n">
        <x:v>5.74</x:v>
      </x:c>
      <x:c r="M16" s="20"/>
      <x:c r="N16" s="20" t="str">
        <x:v>Left-handed double helix</x:v>
      </x:c>
      <x:c r="O16" s="20" t="str">
        <x:v>Gold precursor</x:v>
      </x:c>
      <x:c r="P16" s="20" t="str">
        <x:v>Mixed with HEPES buffer</x:v>
      </x:c>
      <x:c r="Q16" s="20"/>
      <x:c r="R16" s="20"/>
      <x:c r="S16" s="20"/>
      <x:c r="T16" s="20"/>
      <x:c r="U16" s="20" t="str">
        <x:v>Peptide self-assembly + Au growth</x:v>
      </x:c>
      <x:c r="V16" s="20"/>
      <x:c r="W16" s="20"/>
      <x:c r="X16" s="20"/>
      <x:c r="Y16" s="20"/>
      <x:c r="Z16" s="20"/>
      <x:c r="AA16" s="20"/>
      <x:c r="AB16" s="20"/>
      <x:c r="AC16" s="20"/>
      <x:c r="AD16" s="20"/>
      <x:c r="AE16" s="20" t="str">
        <x:v>Chiral plasmonics</x:v>
      </x:c>
      <x:c r="AF16" s="20" t="str">
        <x:v>L-peptide gives left-handed helices; initial particles 5.74±0.75 nm</x:v>
      </x:c>
      <x:c r="AG16" s="20" t="str">
        <x:v>Main text pp.1–2</x:v>
      </x:c>
      <x:c r="AH16" s="20" t="str">
        <x:v>https://doi.org/10.1021/nl4013776</x:v>
      </x:c>
      <x:c r="AI16" s="24" t="n">
        <x:f>ROUND(100*COUNTA(G16,J16,L16,R16,S16,T16,V16,X16,AA16,AC16)/10,0)</x:f>
        <x:v>20</x:v>
      </x:c>
    </x:row>
    <x:row r="17" ht="18" customHeight="1">
      <x:c r="A17" s="20" t="str">
        <x:v>R014</x:v>
      </x:c>
      <x:c r="B17" s="20" t="str">
        <x:v>S04</x:v>
      </x:c>
      <x:c r="C17" s="20" t="str">
        <x:v>B1 PEPTIDE_AUNP_MECHANISM</x:v>
      </x:c>
      <x:c r="D17" s="20" t="str">
        <x:v>DIRECT</x:v>
      </x:c>
      <x:c r="E17" s="20" t="str">
        <x:v>gold_superstructure</x:v>
      </x:c>
      <x:c r="F17" s="20" t="str">
        <x:v>C12-D-PEPAu</x:v>
      </x:c>
      <x:c r="G17" s="20" t="str">
        <x:v>AYSSGAPPMPPF</x:v>
      </x:c>
      <x:c r="H17" s="20" t="str">
        <x:v>D</x:v>
      </x:c>
      <x:c r="I17" s="20" t="str">
        <x:v>C12 acyl tail</x:v>
      </x:c>
      <x:c r="J17" s="20" t="str"/>
      <x:c r="K17" s="20" t="str"/>
      <x:c r="L17" s="20" t="n">
        <x:v>5.25</x:v>
      </x:c>
      <x:c r="M17" s="20"/>
      <x:c r="N17" s="20" t="str">
        <x:v>Right-handed double helix</x:v>
      </x:c>
      <x:c r="O17" s="20" t="str">
        <x:v>Gold precursor</x:v>
      </x:c>
      <x:c r="P17" s="20" t="str">
        <x:v>Mixed with HEPES buffer</x:v>
      </x:c>
      <x:c r="Q17" s="20"/>
      <x:c r="R17" s="20"/>
      <x:c r="S17" s="20"/>
      <x:c r="T17" s="20"/>
      <x:c r="U17" s="20" t="str">
        <x:v>Peptide self-assembly + Au growth</x:v>
      </x:c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 t="str">
        <x:v>Chiral plasmonics</x:v>
      </x:c>
      <x:c r="AF17" s="20" t="str">
        <x:v>D-peptide gives right-handed helices; initial particles 5.25±0.79 nm</x:v>
      </x:c>
      <x:c r="AG17" s="20" t="str">
        <x:v>Main text pp.1–2</x:v>
      </x:c>
      <x:c r="AH17" s="20" t="str">
        <x:v>https://doi.org/10.1021/nl4013776</x:v>
      </x:c>
      <x:c r="AI17" s="24" t="n">
        <x:f>ROUND(100*COUNTA(G17,J17,L17,R17,S17,T17,V17,X17,AA17,AC17)/10,0)</x:f>
        <x:v>20</x:v>
      </x:c>
    </x:row>
    <x:row r="18" ht="18" customHeight="1">
      <x:c r="A18" s="20" t="str">
        <x:v>R015</x:v>
      </x:c>
      <x:c r="B18" s="20" t="str">
        <x:v>S14</x:v>
      </x:c>
      <x:c r="C18" s="20" t="str">
        <x:v>A1 DIRECT_PEPTIDE_ATOMIC_AUNC</x:v>
      </x:c>
      <x:c r="D18" s="20" t="str">
        <x:v>DIRECT</x:v>
      </x:c>
      <x:c r="E18" s="20" t="str">
        <x:v>atomically_precise_AuNC</x:v>
      </x:c>
      <x:c r="F18" s="20" t="str">
        <x:v>Glutathione (SG)</x:v>
      </x:c>
      <x:c r="G18" s="20" t="str">
        <x:v>γ-ECG</x:v>
      </x:c>
      <x:c r="H18" s="20" t="str">
        <x:v>L</x:v>
      </x:c>
      <x:c r="I18" s="20" t="str">
        <x:v>Thiolate ligand</x:v>
      </x:c>
      <x:c r="J18" s="20" t="n">
        <x:v>22</x:v>
      </x:c>
      <x:c r="K18" s="20" t="n">
        <x:v>18</x:v>
      </x:c>
      <x:c r="L18" s="20" t="n">
        <x:v>1.5</x:v>
      </x:c>
      <x:c r="M18" s="20" t="n">
        <x:v>2.01</x:v>
      </x:c>
      <x:c r="N18" s="20" t="str">
        <x:v>Atomically precise Au22(SG)18</x:v>
      </x:c>
      <x:c r="O18" s="20" t="str">
        <x:v>HAuCl4</x:v>
      </x:c>
      <x:c r="P18" s="20" t="str">
        <x:v>20 mM HAuCl4 12.5 mL + 50 mM GSH 7.5 mL in 180 mL water</x:v>
      </x:c>
      <x:c r="Q18" s="20" t="str">
        <x:v>NaBH4</x:v>
      </x:c>
      <x:c r="R18" s="20" t="n">
        <x:v>12</x:v>
      </x:c>
      <x:c r="S18" s="20" t="n">
        <x:v>25</x:v>
      </x:c>
      <x:c r="T18" s="20" t="n">
        <x:v>0.5</x:v>
      </x:c>
      <x:c r="U18" s="20" t="str">
        <x:v>500 rpm after NaBH4; then acidification</x:v>
      </x:c>
      <x:c r="V18" s="20" t="n">
        <x:v>925</x:v>
      </x:c>
      <x:c r="W18" s="20" t="str">
        <x:v>925–1300 tail</x:v>
      </x:c>
      <x:c r="X18" s="20" t="n">
        <x:v>0.16</x:v>
      </x:c>
      <x:c r="Y18" s="20" t="n">
        <x:v>515</x:v>
      </x:c>
      <x:c r="Z18" s="20"/>
      <x:c r="AA18" s="20" t="n">
        <x:v>808</x:v>
      </x:c>
      <x:c r="AB18" s="20"/>
      <x:c r="AC18" s="20"/>
      <x:c r="AD18" s="20"/>
      <x:c r="AE18" s="20" t="str">
        <x:v>NIR-II imaging / bioactivity</x:v>
      </x:c>
      <x:c r="AF18" s="20" t="str">
        <x:v>Atomic-precision Au22; pH later shifted to 2.5 and sealed/stirred 8 h for size focusing/purification</x:v>
      </x:c>
      <x:c r="AG18" s="20" t="str">
        <x:v>Results p.2 + Methods p.13</x:v>
      </x:c>
      <x:c r="AH18" s="20" t="str">
        <x:v>https://doi.org/10.1126/sciadv.adh7828</x:v>
      </x:c>
      <x:c r="AI18" s="24" t="n">
        <x:f>ROUND(100*COUNTA(G18,J18,L18,R18,S18,T18,V18,X18,AA18,AC18)/10,0)</x:f>
        <x:v>90</x:v>
      </x:c>
    </x:row>
    <x:row r="19" ht="18" customHeight="1">
      <x:c r="A19" s="20" t="str">
        <x:v>R016</x:v>
      </x:c>
      <x:c r="B19" s="20" t="str">
        <x:v>S14</x:v>
      </x:c>
      <x:c r="C19" s="20" t="str">
        <x:v>A1 DIRECT_PEPTIDE_ATOMIC_AUNC</x:v>
      </x:c>
      <x:c r="D19" s="20" t="str">
        <x:v>DIRECT</x:v>
      </x:c>
      <x:c r="E19" s="20" t="str">
        <x:v>atomically_precise_AuNC</x:v>
      </x:c>
      <x:c r="F19" s="20" t="str">
        <x:v>Glutathione (SG)</x:v>
      </x:c>
      <x:c r="G19" s="20" t="str">
        <x:v>γ-ECG</x:v>
      </x:c>
      <x:c r="H19" s="20" t="str">
        <x:v>L</x:v>
      </x:c>
      <x:c r="I19" s="20" t="str">
        <x:v>Single Cu atom doping</x:v>
      </x:c>
      <x:c r="J19" s="20" t="n">
        <x:v>21</x:v>
      </x:c>
      <x:c r="K19" s="20" t="n">
        <x:v>18</x:v>
      </x:c>
      <x:c r="L19" s="20" t="n">
        <x:v>1.5</x:v>
      </x:c>
      <x:c r="M19" s="20"/>
      <x:c r="N19" s="20" t="str">
        <x:v>Au21Cu1(SG)18</x:v>
      </x:c>
      <x:c r="O19" s="20" t="str">
        <x:v>HAuCl4 + Cu2+</x:v>
      </x:c>
      <x:c r="P19" s="20" t="str">
        <x:v>Same Au22 method; Cu2+ added</x:v>
      </x:c>
      <x:c r="Q19" s="20" t="str">
        <x:v>NaBH4</x:v>
      </x:c>
      <x:c r="R19" s="20" t="n">
        <x:v>12</x:v>
      </x:c>
      <x:c r="S19" s="20" t="n">
        <x:v>25</x:v>
      </x:c>
      <x:c r="T19" s="20" t="n">
        <x:v>8.5</x:v>
      </x:c>
      <x:c r="U19" s="20" t="str">
        <x:v>500 rpm 30 min; pH 2.5; sealed 200 rpm 8 h</x:v>
      </x:c>
      <x:c r="V19" s="20"/>
      <x:c r="W19" s="20"/>
      <x:c r="X19" s="20"/>
      <x:c r="Y19" s="20"/>
      <x:c r="Z19" s="20"/>
      <x:c r="AA19" s="20" t="n">
        <x:v>808</x:v>
      </x:c>
      <x:c r="AB19" s="20"/>
      <x:c r="AC19" s="20"/>
      <x:c r="AD19" s="20"/>
      <x:c r="AE19" s="20" t="str">
        <x:v>NIR-II imaging / nanozyme</x:v>
      </x:c>
      <x:c r="AF19" s="20" t="str">
        <x:v>Cu single-atom substitution lowers bandgap 1.33→1.28 eV and strongly increases enzyme-mimetic activity</x:v>
      </x:c>
      <x:c r="AG19" s="20" t="str">
        <x:v>Results pp.1–2 + Methods p.13</x:v>
      </x:c>
      <x:c r="AH19" s="20" t="str">
        <x:v>https://doi.org/10.1126/sciadv.adh7828</x:v>
      </x:c>
      <x:c r="AI19" s="24" t="n">
        <x:f>ROUND(100*COUNTA(G19,J19,L19,R19,S19,T19,V19,X19,AA19,AC19)/10,0)</x:f>
        <x:v>70</x:v>
      </x:c>
    </x:row>
    <x:row r="20" ht="18" customHeight="1">
      <x:c r="A20" s="20" t="str">
        <x:v>R017</x:v>
      </x:c>
      <x:c r="B20" s="20" t="str">
        <x:v>S10</x:v>
      </x:c>
      <x:c r="C20" s="20" t="str">
        <x:v>A1 DIRECT_PEPTIDE_ATOMIC_AUNC</x:v>
      </x:c>
      <x:c r="D20" s="20" t="str">
        <x:v>DIRECT</x:v>
      </x:c>
      <x:c r="E20" s="20" t="str">
        <x:v>atomically_precise_AuNC</x:v>
      </x:c>
      <x:c r="F20" s="20" t="str">
        <x:v>Glutathione (SG)</x:v>
      </x:c>
      <x:c r="G20" s="20" t="str">
        <x:v>γ-ECG</x:v>
      </x:c>
      <x:c r="H20" s="20" t="str">
        <x:v>L</x:v>
      </x:c>
      <x:c r="I20" s="20" t="str">
        <x:v>Thiolate ligand</x:v>
      </x:c>
      <x:c r="J20" s="20" t="n">
        <x:v>25</x:v>
      </x:c>
      <x:c r="K20" s="20" t="n">
        <x:v>18</x:v>
      </x:c>
      <x:c r="L20" s="20" t="str">
        <x:v>&lt;2</x:v>
      </x:c>
      <x:c r="M20" s="20" t="n">
        <x:v>3.2</x:v>
      </x:c>
      <x:c r="N20" s="20" t="str">
        <x:v>Au25(SG)18; 13-Au core + six Au2(SG)3 shell motifs</x:v>
      </x:c>
      <x:c r="O20" s="20" t="str">
        <x:v>Not fully specified in main paper</x:v>
      </x:c>
      <x:c r="P20" s="20" t="str">
        <x:v>Main paper refers to prior method / SI</x:v>
      </x:c>
      <x:c r="Q20" s="20" t="str">
        <x:v>Not fully specified</x:v>
      </x:c>
      <x:c r="R20" s="20"/>
      <x:c r="S20" s="20"/>
      <x:c r="T20" s="20"/>
      <x:c r="U20" s="20" t="str">
        <x:v>See Supporting Information</x:v>
      </x:c>
      <x:c r="V20" s="20"/>
      <x:c r="W20" s="20" t="str">
        <x:v>1100–1350</x:v>
      </x:c>
      <x:c r="X20" s="20"/>
      <x:c r="Y20" s="20"/>
      <x:c r="Z20" s="20"/>
      <x:c r="AA20" s="20"/>
      <x:c r="AB20" s="20"/>
      <x:c r="AC20" s="20"/>
      <x:c r="AD20" s="20"/>
      <x:c r="AE20" s="20" t="str">
        <x:v>NIR-II imaging</x:v>
      </x:c>
      <x:c r="AF20" s="20" t="str">
        <x:v>Atomic-precision Au25 with strong NIR-II emission; exact synthesis must be taken from SI/primary synthesis method</x:v>
      </x:c>
      <x:c r="AG20" s="20" t="str">
        <x:v>Main text pp.1–2; Experimental points to SI</x:v>
      </x:c>
      <x:c r="AH20" s="20" t="str">
        <x:v>https://doi.org/10.1002/adma.201901015</x:v>
      </x:c>
      <x:c r="AI20" s="24" t="n">
        <x:f>ROUND(100*COUNTA(G20,J20,L20,R20,S20,T20,V20,X20,AA20,AC20)/10,0)</x:f>
        <x:v>30</x:v>
      </x:c>
    </x:row>
    <x:row r="21" ht="18" customHeight="1">
      <x:c r="A21" s="20" t="str">
        <x:v>R018</x:v>
      </x:c>
      <x:c r="B21" s="20" t="str">
        <x:v>S11</x:v>
      </x:c>
      <x:c r="C21" s="20" t="str">
        <x:v>C1 AUNC_PTT_BENCHMARK</x:v>
      </x:c>
      <x:c r="D21" s="20" t="str">
        <x:v>DIRECT</x:v>
      </x:c>
      <x:c r="E21" s="20" t="str">
        <x:v>atomically_precise_AuNC</x:v>
      </x:c>
      <x:c r="F21" s="20" t="str">
        <x:v>Phosphorylcholine-functionalized Au25</x:v>
      </x:c>
      <x:c r="G21" s="20" t="str">
        <x:v>N/A</x:v>
      </x:c>
      <x:c r="H21" s="20" t="str">
        <x:v>N/A</x:v>
      </x:c>
      <x:c r="I21" s="20" t="str">
        <x:v>PC surface coating</x:v>
      </x:c>
      <x:c r="J21" s="20" t="n">
        <x:v>25</x:v>
      </x:c>
      <x:c r="K21" s="20"/>
      <x:c r="L21" s="20" t="str">
        <x:v>~2</x:v>
      </x:c>
      <x:c r="M21" s="20"/>
      <x:c r="N21" s="20" t="str">
        <x:v>Molecular Au25 cluster</x:v>
      </x:c>
      <x:c r="O21" s="20" t="str">
        <x:v>Au25 precursor/system</x:v>
      </x:c>
      <x:c r="P21" s="20" t="str">
        <x:v>25 mg/mL AuPC aqueous solution</x:v>
      </x:c>
      <x:c r="Q21" s="20" t="str">
        <x:v>N/A</x:v>
      </x:c>
      <x:c r="R21" s="20"/>
      <x:c r="S21" s="20"/>
      <x:c r="T21" s="20"/>
      <x:c r="U21" s="20" t="str">
        <x:v>Benchmark material</x:v>
      </x:c>
      <x:c r="V21" s="20" t="n">
        <x:v>1090</x:v>
      </x:c>
      <x:c r="W21" s="20" t="str">
        <x:v>900–1500</x:v>
      </x:c>
      <x:c r="X21" s="20" t="n">
        <x:v>0.38</x:v>
      </x:c>
      <x:c r="Y21" s="20"/>
      <x:c r="Z21" s="20"/>
      <x:c r="AA21" s="20" t="n">
        <x:v>808</x:v>
      </x:c>
      <x:c r="AB21" s="20" t="n">
        <x:v>0.3</x:v>
      </x:c>
      <x:c r="AC21" s="20" t="n">
        <x:v>70</x:v>
      </x:c>
      <x:c r="AD21" s="20" t="n">
        <x:v>10</x:v>
      </x:c>
      <x:c r="AE21" s="20" t="str">
        <x:v>Cancer PTT benchmark</x:v>
      </x:c>
      <x:c r="AF21" s="20" t="str">
        <x:v>In vitro: ~70°C from room temperature within 10 min under 808 nm, 0.3 W/cm²</x:v>
      </x:c>
      <x:c r="AG21" s="20" t="str">
        <x:v>Main text p.4; Fig.4</x:v>
      </x:c>
      <x:c r="AH21" s="20" t="str">
        <x:v>https://doi.org/10.1073/pnas.2318265121</x:v>
      </x:c>
      <x:c r="AI21" s="24" t="n">
        <x:f>ROUND(100*COUNTA(G21,J21,L21,R21,S21,T21,V21,X21,AA21,AC21)/10,0)</x:f>
        <x:v>70</x:v>
      </x:c>
    </x:row>
    <x:row r="22" ht="18" customHeight="1">
      <x:c r="A22" s="20" t="str">
        <x:v>R019</x:v>
      </x:c>
      <x:c r="B22" s="20" t="str">
        <x:v>S11</x:v>
      </x:c>
      <x:c r="C22" s="20" t="str">
        <x:v>C1 AUNC_PTT_BENCHMARK</x:v>
      </x:c>
      <x:c r="D22" s="20" t="str">
        <x:v>DIRECT</x:v>
      </x:c>
      <x:c r="E22" s="20" t="str">
        <x:v>atomically_precise_AuNC</x:v>
      </x:c>
      <x:c r="F22" s="20" t="str">
        <x:v>Phosphorylcholine-functionalized Au25</x:v>
      </x:c>
      <x:c r="G22" s="20" t="str">
        <x:v>N/A</x:v>
      </x:c>
      <x:c r="H22" s="20" t="str">
        <x:v>N/A</x:v>
      </x:c>
      <x:c r="I22" s="20" t="str">
        <x:v>PC surface coating</x:v>
      </x:c>
      <x:c r="J22" s="20" t="n">
        <x:v>25</x:v>
      </x:c>
      <x:c r="K22" s="20"/>
      <x:c r="L22" s="20" t="str">
        <x:v>~2</x:v>
      </x:c>
      <x:c r="M22" s="20"/>
      <x:c r="N22" s="20" t="str">
        <x:v>Molecular Au25 cluster</x:v>
      </x:c>
      <x:c r="O22" s="20" t="str">
        <x:v>Au25 precursor/system</x:v>
      </x:c>
      <x:c r="P22" s="20" t="str">
        <x:v>20–40 µL of 25 mg/mL intratumorally</x:v>
      </x:c>
      <x:c r="Q22" s="20" t="str">
        <x:v>N/A</x:v>
      </x:c>
      <x:c r="R22" s="20"/>
      <x:c r="S22" s="20"/>
      <x:c r="T22" s="20"/>
      <x:c r="U22" s="20" t="str">
        <x:v>4T1 tumor, intratumoral injection</x:v>
      </x:c>
      <x:c r="V22" s="20" t="n">
        <x:v>1090</x:v>
      </x:c>
      <x:c r="W22" s="20" t="str">
        <x:v>900–1500</x:v>
      </x:c>
      <x:c r="X22" s="20" t="n">
        <x:v>0.38</x:v>
      </x:c>
      <x:c r="Y22" s="20"/>
      <x:c r="Z22" s="20"/>
      <x:c r="AA22" s="20" t="n">
        <x:v>808</x:v>
      </x:c>
      <x:c r="AB22" s="20" t="n">
        <x:v>0.3</x:v>
      </x:c>
      <x:c r="AC22" s="20" t="n">
        <x:v>60</x:v>
      </x:c>
      <x:c r="AD22" s="20" t="n">
        <x:v>30</x:v>
      </x:c>
      <x:c r="AE22" s="20" t="str">
        <x:v>Cancer PTT benchmark</x:v>
      </x:c>
      <x:c r="AF22" s="20" t="str">
        <x:v>In vivo: ~53°C at 3 min, rising to ~60°C; 94.4% 60-day relative survival reported</x:v>
      </x:c>
      <x:c r="AG22" s="20" t="str">
        <x:v>Main text pp.4–6; Fig.5</x:v>
      </x:c>
      <x:c r="AH22" s="20" t="str">
        <x:v>https://doi.org/10.1073/pnas.2318265121</x:v>
      </x:c>
      <x:c r="AI22" s="24" t="n">
        <x:f>ROUND(100*COUNTA(G22,J22,L22,R22,S22,T22,V22,X22,AA22,AC22)/10,0)</x:f>
        <x:v>70</x:v>
      </x:c>
    </x:row>
    <x:row r="23" ht="18" customHeight="1">
      <x:c r="A23" s="20" t="str">
        <x:v>R020</x:v>
      </x:c>
      <x:c r="B23" s="20" t="str">
        <x:v>S13</x:v>
      </x:c>
      <x:c r="C23" s="20" t="str">
        <x:v>C2 AUNC_BIOMEDICAL_BENCHMARK</x:v>
      </x:c>
      <x:c r="D23" s="20" t="str">
        <x:v>DIRECT</x:v>
      </x:c>
      <x:c r="E23" s="20" t="str">
        <x:v>atomically_precise_AuNC</x:v>
      </x:c>
      <x:c r="F23" s="20" t="str">
        <x:v>Phosphorylcholine-functionalized Au25</x:v>
      </x:c>
      <x:c r="G23" s="20" t="str">
        <x:v>N/A</x:v>
      </x:c>
      <x:c r="H23" s="20" t="str">
        <x:v>N/A</x:v>
      </x:c>
      <x:c r="I23" s="20" t="str">
        <x:v>PC surface coating</x:v>
      </x:c>
      <x:c r="J23" s="20" t="n">
        <x:v>25</x:v>
      </x:c>
      <x:c r="K23" s="20"/>
      <x:c r="L23" s="20"/>
      <x:c r="M23" s="20"/>
      <x:c r="N23" s="20" t="str">
        <x:v>Au25-PC molecular cluster</x:v>
      </x:c>
      <x:c r="O23" s="20" t="str">
        <x:v>Au25 precursor/system</x:v>
      </x:c>
      <x:c r="P23" s="20" t="str">
        <x:v>Surface-functionalized with PC</x:v>
      </x:c>
      <x:c r="Q23" s="20" t="str">
        <x:v>N/A</x:v>
      </x:c>
      <x:c r="R23" s="20"/>
      <x:c r="S23" s="20"/>
      <x:c r="T23" s="20"/>
      <x:c r="U23" s="20" t="str">
        <x:v>Subcutaneous injection</x:v>
      </x:c>
      <x:c r="V23" s="20"/>
      <x:c r="W23" s="20" t="str">
        <x:v>1000–3000 imaging window</x:v>
      </x:c>
      <x:c r="X23" s="20"/>
      <x:c r="Y23" s="20"/>
      <x:c r="Z23" s="20"/>
      <x:c r="AA23" s="20"/>
      <x:c r="AB23" s="20"/>
      <x:c r="AC23" s="20"/>
      <x:c r="AD23" s="20"/>
      <x:c r="AE23" s="20" t="str">
        <x:v>Lymph-node NIR-II imaging</x:v>
      </x:c>
      <x:c r="AF23" s="20" t="str">
        <x:v>Super-stealth behavior; optimal LN imaging ~0.5–1 h with rapid renal clearance</x:v>
      </x:c>
      <x:c r="AG23" s="20" t="str">
        <x:v>Abstract / main text p.1</x:v>
      </x:c>
      <x:c r="AH23" s="20" t="str">
        <x:v>https://doi.org/10.1038/s41467-022-33341-6</x:v>
      </x:c>
      <x:c r="AI23" s="24" t="n">
        <x:f>ROUND(100*COUNTA(G23,J23,L23,R23,S23,T23,V23,X23,AA23,AC23)/10,0)</x:f>
        <x:v>20</x:v>
      </x:c>
    </x:row>
    <x:row r="24" ht="18" customHeight="1">
      <x:c r="A24" s="20" t="str">
        <x:v>R021</x:v>
      </x:c>
      <x:c r="B24" s="20" t="str">
        <x:v>S12</x:v>
      </x:c>
      <x:c r="C24" s="20" t="str">
        <x:v>D1 METHOD_REFERENCE</x:v>
      </x:c>
      <x:c r="D24" s="20" t="str">
        <x:v>REVIEW-DERIVED</x:v>
      </x:c>
      <x:c r="E24" s="20" t="str">
        <x:v>atomically_precise_AuNC</x:v>
      </x:c>
      <x:c r="F24" s="20" t="str">
        <x:v>Glutathione (GSH)</x:v>
      </x:c>
      <x:c r="G24" s="20" t="str">
        <x:v>γ-ECG</x:v>
      </x:c>
      <x:c r="H24" s="20" t="str">
        <x:v>L</x:v>
      </x:c>
      <x:c r="I24" s="20" t="str">
        <x:v>Review table entry</x:v>
      </x:c>
      <x:c r="J24" s="20" t="n">
        <x:v>25</x:v>
      </x:c>
      <x:c r="K24" s="20" t="n">
        <x:v>18</x:v>
      </x:c>
      <x:c r="L24" s="20"/>
      <x:c r="M24" s="20"/>
      <x:c r="N24" s="20" t="str">
        <x:v>Au25(GSH)18</x:v>
      </x:c>
      <x:c r="O24" s="20" t="str">
        <x:v>N/A</x:v>
      </x:c>
      <x:c r="P24" s="20" t="str">
        <x:v>Review-derived optical entry</x:v>
      </x:c>
      <x:c r="Q24" s="20" t="str">
        <x:v>N/A</x:v>
      </x:c>
      <x:c r="R24" s="20"/>
      <x:c r="S24" s="20"/>
      <x:c r="T24" s="20"/>
      <x:c r="U24" s="20" t="str">
        <x:v>Primary paper required</x:v>
      </x:c>
      <x:c r="V24" s="20" t="n">
        <x:v>1120</x:v>
      </x:c>
      <x:c r="W24" s="20" t="str">
        <x:v>900–1500</x:v>
      </x:c>
      <x:c r="X24" s="20" t="n">
        <x:v>0.13</x:v>
      </x:c>
      <x:c r="Y24" s="20"/>
      <x:c r="Z24" s="20"/>
      <x:c r="AA24" s="20" t="n">
        <x:v>808</x:v>
      </x:c>
      <x:c r="AB24" s="20"/>
      <x:c r="AC24" s="20"/>
      <x:c r="AD24" s="20"/>
      <x:c r="AE24" s="20" t="str">
        <x:v>Imaging benchmark</x:v>
      </x:c>
      <x:c r="AF24" s="20" t="str">
        <x:v>Review table lists Au25(GSH)18 with NIR-II emission and low PLQY; primary paper must be extracted before training</x:v>
      </x:c>
      <x:c r="AG24" s="20" t="str">
        <x:v>Chem. Rev. Table 1</x:v>
      </x:c>
      <x:c r="AH24" s="20" t="str">
        <x:v>https://doi.org/10.1021/acs.chemrev.4c00835</x:v>
      </x:c>
      <x:c r="AI24" s="24" t="n">
        <x:f>ROUND(100*COUNTA(G24,J24,L24,R24,S24,T24,V24,X24,AA24,AC24)/10,0)</x:f>
        <x:v>50</x:v>
      </x:c>
    </x:row>
    <x:row r="25" ht="18" customHeight="1">
      <x:c r="A25" s="20" t="str">
        <x:v>R022</x:v>
      </x:c>
      <x:c r="B25" s="20" t="str">
        <x:v>S12</x:v>
      </x:c>
      <x:c r="C25" s="20" t="str">
        <x:v>D1 METHOD_REFERENCE</x:v>
      </x:c>
      <x:c r="D25" s="20" t="str">
        <x:v>REVIEW-DERIVED</x:v>
      </x:c>
      <x:c r="E25" s="20" t="str">
        <x:v>atomically_precise_AuNC</x:v>
      </x:c>
      <x:c r="F25" s="20" t="str">
        <x:v>4-mercaptobenzoic acid (MBA)</x:v>
      </x:c>
      <x:c r="G25" s="20" t="str">
        <x:v>N/A</x:v>
      </x:c>
      <x:c r="H25" s="20" t="str">
        <x:v>N/A</x:v>
      </x:c>
      <x:c r="I25" s="20" t="str">
        <x:v>Review table entry</x:v>
      </x:c>
      <x:c r="J25" s="20" t="n">
        <x:v>44</x:v>
      </x:c>
      <x:c r="K25" s="20" t="n">
        <x:v>26</x:v>
      </x:c>
      <x:c r="L25" s="20"/>
      <x:c r="M25" s="20"/>
      <x:c r="N25" s="20" t="str">
        <x:v>Au44(MBA)26</x:v>
      </x:c>
      <x:c r="O25" s="20" t="str">
        <x:v>N/A</x:v>
      </x:c>
      <x:c r="P25" s="20" t="str">
        <x:v>Review-derived optical/PTT entry</x:v>
      </x:c>
      <x:c r="Q25" s="20" t="str">
        <x:v>N/A</x:v>
      </x:c>
      <x:c r="R25" s="20"/>
      <x:c r="S25" s="20"/>
      <x:c r="T25" s="20"/>
      <x:c r="U25" s="20" t="str">
        <x:v>Primary paper required</x:v>
      </x:c>
      <x:c r="V25" s="20" t="n">
        <x:v>1080</x:v>
      </x:c>
      <x:c r="W25" s="20" t="str">
        <x:v>~1080 and 1280</x:v>
      </x:c>
      <x:c r="X25" s="20" t="n">
        <x:v>4.5</x:v>
      </x:c>
      <x:c r="Y25" s="20"/>
      <x:c r="Z25" s="20"/>
      <x:c r="AA25" s="20" t="n">
        <x:v>808</x:v>
      </x:c>
      <x:c r="AB25" s="20"/>
      <x:c r="AC25" s="20"/>
      <x:c r="AD25" s="20"/>
      <x:c r="AE25" s="20" t="str">
        <x:v>PTT / theranostics</x:v>
      </x:c>
      <x:c r="AF25" s="20" t="str">
        <x:v>Review identifies Au44(MBA)26 as high-PCE PTT-capable cluster; not peptide-templated and must remain a benchmark</x:v>
      </x:c>
      <x:c r="AG25" s="20" t="str">
        <x:v>Chem. Rev. Table 1 + PTT section</x:v>
      </x:c>
      <x:c r="AH25" s="20" t="str">
        <x:v>https://doi.org/10.1021/acs.chemrev.4c00835</x:v>
      </x:c>
      <x:c r="AI25" s="24" t="n">
        <x:f>ROUND(100*COUNTA(G25,J25,L25,R25,S25,T25,V25,X25,AA25,AC25)/10,0)</x:f>
        <x:v>50</x:v>
      </x:c>
    </x:row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AI1"/>
  </x:mergeCells>
  <x:conditionalFormatting sqref="AI4:AI25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2631a1689cc429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22" hidden="0" customWidth="1"/>
    <x:col min="4" max="4" width="24" hidden="0" customWidth="1"/>
    <x:col min="5" max="5" width="24" hidden="0" customWidth="1"/>
    <x:col min="6" max="6" width="11" hidden="0" customWidth="1"/>
    <x:col min="7" max="7" width="14" hidden="0" customWidth="1"/>
    <x:col min="8" max="8" width="24" hidden="0" customWidth="1"/>
    <x:col min="9" max="9" width="14" hidden="0" customWidth="1"/>
    <x:col min="10" max="10" width="26" hidden="0" customWidth="1"/>
    <x:col min="11" max="11" width="28" hidden="0" customWidth="1"/>
    <x:col min="12" max="12" width="40" hidden="0" customWidth="1"/>
    <x:col min="13" max="13" width="28" hidden="0" customWidth="1"/>
    <x:col min="14" max="14" width="42" hidden="0" customWidth="1"/>
  </x:cols>
  <x:sheetData>
    <x:row r="1" ht="28" customHeight="1">
      <x:c r="A1" s="5" t="str">
        <x:v>Photothermal Benchmarks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18" customHeight="1"/>
    <x:row r="3" ht="32" customHeight="1">
      <x:c r="A3" s="14" t="str">
        <x:v>Benchmark_ID</x:v>
      </x:c>
      <x:c r="B3" s="14" t="str">
        <x:v>Source_ID</x:v>
      </x:c>
      <x:c r="C3" s="14" t="str">
        <x:v>Material</x:v>
      </x:c>
      <x:c r="D3" s="14" t="str">
        <x:v>Ligand / peptide</x:v>
      </x:c>
      <x:c r="E3" s="14" t="str">
        <x:v>Regime</x:v>
      </x:c>
      <x:c r="F3" s="14" t="str">
        <x:v>Laser_nm</x:v>
      </x:c>
      <x:c r="G3" s="14" t="str">
        <x:v>Power_W_cm2</x:v>
      </x:c>
      <x:c r="H3" s="14" t="str">
        <x:v>Concentration</x:v>
      </x:c>
      <x:c r="I3" s="14" t="str">
        <x:v>Exposure_min</x:v>
      </x:c>
      <x:c r="J3" s="14" t="str">
        <x:v>Temperature_result</x:v>
      </x:c>
      <x:c r="K3" s="14" t="str">
        <x:v>Biological_context</x:v>
      </x:c>
      <x:c r="L3" s="14" t="str">
        <x:v>Outcome</x:v>
      </x:c>
      <x:c r="M3" s="14" t="str">
        <x:v>Use_in_model</x:v>
      </x:c>
      <x:c r="N3" s="14" t="str">
        <x:v>DOI_URL</x:v>
      </x:c>
    </x:row>
    <x:row r="4" ht="18" customHeight="1">
      <x:c r="A4" s="20" t="str">
        <x:v>P01</x:v>
      </x:c>
      <x:c r="B4" s="20" t="str">
        <x:v>S11</x:v>
      </x:c>
      <x:c r="C4" s="20" t="str">
        <x:v>Au25/AuPC</x:v>
      </x:c>
      <x:c r="D4" s="20" t="str">
        <x:v>Phosphorylcholine</x:v>
      </x:c>
      <x:c r="E4" s="20" t="str">
        <x:v>atomically_precise_AuNC</x:v>
      </x:c>
      <x:c r="F4" s="20" t="n">
        <x:v>808</x:v>
      </x:c>
      <x:c r="G4" s="20" t="n">
        <x:v>0.3</x:v>
      </x:c>
      <x:c r="H4" s="20" t="str">
        <x:v>25 mg/mL</x:v>
      </x:c>
      <x:c r="I4" s="20" t="n">
        <x:v>10</x:v>
      </x:c>
      <x:c r="J4" s="20" t="str">
        <x:v>~70°C from room temperature</x:v>
      </x:c>
      <x:c r="K4" s="20" t="str">
        <x:v>In vitro aqueous solution</x:v>
      </x:c>
      <x:c r="L4" s="20" t="str">
        <x:v>Strong AuNC photothermal heating</x:v>
      </x:c>
      <x:c r="M4" s="20" t="str">
        <x:v>Target/reference only</x:v>
      </x:c>
      <x:c r="N4" s="20" t="str">
        <x:v>https://doi.org/10.1073/pnas.2318265121</x:v>
      </x:c>
    </x:row>
    <x:row r="5" ht="18" customHeight="1">
      <x:c r="A5" s="20" t="str">
        <x:v>P02</x:v>
      </x:c>
      <x:c r="B5" s="20" t="str">
        <x:v>S11</x:v>
      </x:c>
      <x:c r="C5" s="20" t="str">
        <x:v>Au25/AuPC</x:v>
      </x:c>
      <x:c r="D5" s="20" t="str">
        <x:v>Phosphorylcholine</x:v>
      </x:c>
      <x:c r="E5" s="20" t="str">
        <x:v>atomically_precise_AuNC</x:v>
      </x:c>
      <x:c r="F5" s="20" t="n">
        <x:v>808</x:v>
      </x:c>
      <x:c r="G5" s="20" t="n">
        <x:v>0.3</x:v>
      </x:c>
      <x:c r="H5" s="20" t="str">
        <x:v>20–40 µL of 25 mg/mL i.t.</x:v>
      </x:c>
      <x:c r="I5" s="20" t="n">
        <x:v>30</x:v>
      </x:c>
      <x:c r="J5" s="20" t="str">
        <x:v>~53°C at 3 min; up to ~60°C</x:v>
      </x:c>
      <x:c r="K5" s="20" t="str">
        <x:v>4T1 breast tumor, mouse</x:v>
      </x:c>
      <x:c r="L5" s="20" t="str">
        <x:v>Tumor ablation; 94.4% 60-day relative survival</x:v>
      </x:c>
      <x:c r="M5" s="20" t="str">
        <x:v>Target/reference only</x:v>
      </x:c>
      <x:c r="N5" s="20" t="str">
        <x:v>https://doi.org/10.1073/pnas.2318265121</x:v>
      </x:c>
    </x:row>
    <x:row r="6" ht="18" customHeight="1">
      <x:c r="A6" s="20" t="str">
        <x:v>P03</x:v>
      </x:c>
      <x:c r="B6" s="20" t="str">
        <x:v>S02</x:v>
      </x:c>
      <x:c r="C6" s="20" t="str">
        <x:v>D-/L-GBPs</x:v>
      </x:c>
      <x:c r="D6" s="20" t="str">
        <x:v>D-/L-Cys-Phe</x:v>
      </x:c>
      <x:c r="E6" s="20" t="str">
        <x:v>gold_bipyramid</x:v>
      </x:c>
      <x:c r="F6" s="20" t="n">
        <x:v>808</x:v>
      </x:c>
      <x:c r="G6" s="20" t="n">
        <x:v>0.8</x:v>
      </x:c>
      <x:c r="H6" s="20" t="str">
        <x:v>55 mg/mL</x:v>
      </x:c>
      <x:c r="I6" s="20" t="n">
        <x:v>5</x:v>
      </x:c>
      <x:c r="J6" s="20" t="str">
        <x:v>&gt;45°C</x:v>
      </x:c>
      <x:c r="K6" s="20" t="str">
        <x:v>In vitro solution</x:v>
      </x:c>
      <x:c r="L6" s="20" t="str">
        <x:v>Useful PTT but material is ~200×50 nm, not AuNC</x:v>
      </x:c>
      <x:c r="M6" s="20" t="str">
        <x:v>Mechanistic benchmark only</x:v>
      </x:c>
      <x:c r="N6" s="20" t="str">
        <x:v>https://doi.org/10.1039/d2sc03443c</x:v>
      </x:c>
    </x:row>
    <x:row r="7" ht="18" customHeight="1">
      <x:c r="A7" s="20" t="str">
        <x:v>P04</x:v>
      </x:c>
      <x:c r="B7" s="20" t="str">
        <x:v>S02</x:v>
      </x:c>
      <x:c r="C7" s="20" t="str">
        <x:v>D-GBP</x:v>
      </x:c>
      <x:c r="D7" s="20" t="str">
        <x:v>D-Cys-Phe</x:v>
      </x:c>
      <x:c r="E7" s="20" t="str">
        <x:v>gold_bipyramid</x:v>
      </x:c>
      <x:c r="F7" s="20" t="n">
        <x:v>808</x:v>
      </x:c>
      <x:c r="G7" s="20" t="n">
        <x:v>0.8</x:v>
      </x:c>
      <x:c r="H7" s="20" t="str">
        <x:v>55 mg/mL</x:v>
      </x:c>
      <x:c r="I7" s="20" t="n">
        <x:v>10</x:v>
      </x:c>
      <x:c r="J7" s="20" t="str">
        <x:v>~60±4.5°C at infected site</x:v>
      </x:c>
      <x:c r="K7" s="20" t="str">
        <x:v>Mouse skin infection</x:v>
      </x:c>
      <x:c r="L7" s="20" t="str">
        <x:v>D-form highest local temperature</x:v>
      </x:c>
      <x:c r="M7" s="20" t="str">
        <x:v>Mechanistic benchmark only</x:v>
      </x:c>
      <x:c r="N7" s="20" t="str">
        <x:v>https://doi.org/10.1039/d2sc03443c</x:v>
      </x:c>
    </x:row>
    <x:row r="8" ht="18" customHeight="1">
      <x:c r="A8" s="20" t="str">
        <x:v>P05</x:v>
      </x:c>
      <x:c r="B8" s="20" t="str">
        <x:v>S12</x:v>
      </x:c>
      <x:c r="C8" s="20" t="str">
        <x:v>Au44(MBA)26</x:v>
      </x:c>
      <x:c r="D8" s="20" t="str">
        <x:v>MBA</x:v>
      </x:c>
      <x:c r="E8" s="20" t="str">
        <x:v>atomically_precise_AuNC</x:v>
      </x:c>
      <x:c r="F8" s="20" t="n">
        <x:v>808</x:v>
      </x:c>
      <x:c r="G8" s="20"/>
      <x:c r="H8" s="20" t="str">
        <x:v>Primary paper required</x:v>
      </x:c>
      <x:c r="I8" s="20"/>
      <x:c r="J8" s="20" t="str">
        <x:v>High PCE stated in review</x:v>
      </x:c>
      <x:c r="K8" s="20" t="str">
        <x:v>4T1 cancer models</x:v>
      </x:c>
      <x:c r="L8" s="20" t="str">
        <x:v>PTT / PDT / immunotherapy literature lead</x:v>
      </x:c>
      <x:c r="M8" s="20" t="str">
        <x:v>Acquire primary paper</x:v>
      </x:c>
      <x:c r="N8" s="20" t="str">
        <x:v>https://doi.org/10.1021/acs.chemrev.4c00835</x:v>
      </x:c>
    </x:row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6cfd6320c4ff403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8" hidden="0" customWidth="1"/>
    <x:col min="3" max="3" width="10" hidden="0" customWidth="1"/>
    <x:col min="4" max="4" width="28" hidden="0" customWidth="1"/>
    <x:col min="5" max="5" width="42" hidden="0" customWidth="1"/>
    <x:col min="6" max="6" width="48" hidden="0" customWidth="1"/>
    <x:col min="7" max="7" width="48" hidden="0" customWidth="1"/>
    <x:col min="8" max="8" width="20" hidden="0" customWidth="1"/>
    <x:col min="9" max="9" width="16" hidden="0" customWidth="1"/>
  </x:cols>
  <x:sheetData>
    <x:row r="1" ht="28" customHeight="1">
      <x:c r="A1" s="5" t="str">
        <x:v>Priority Primary Papers to Acquire Next</x:v>
      </x:c>
      <x:c r="B1" s="5"/>
      <x:c r="C1" s="5"/>
      <x:c r="D1" s="5"/>
      <x:c r="E1" s="5"/>
      <x:c r="F1" s="5"/>
      <x:c r="G1" s="5"/>
      <x:c r="H1" s="5"/>
      <x:c r="I1" s="5"/>
    </x:row>
    <x:row r="2" ht="18" customHeight="1"/>
    <x:row r="3" ht="32" customHeight="1">
      <x:c r="A3" s="14" t="str">
        <x:v>Priority</x:v>
      </x:c>
      <x:c r="B3" s="14" t="str">
        <x:v>Paper</x:v>
      </x:c>
      <x:c r="C3" s="14" t="str">
        <x:v>Year</x:v>
      </x:c>
      <x:c r="D3" s="14" t="str">
        <x:v>Journal</x:v>
      </x:c>
      <x:c r="E3" s="14" t="str">
        <x:v>DOI / URL</x:v>
      </x:c>
      <x:c r="F3" s="14" t="str">
        <x:v>Why needed</x:v>
      </x:c>
      <x:c r="G3" s="14" t="str">
        <x:v>Expected data</x:v>
      </x:c>
      <x:c r="H3" s="14" t="str">
        <x:v>Found via</x:v>
      </x:c>
      <x:c r="I3" s="14" t="str">
        <x:v>Status</x:v>
      </x:c>
    </x:row>
    <x:row r="4" ht="18" customHeight="1">
      <x:c r="A4" s="20" t="str">
        <x:v>P1</x:v>
      </x:c>
      <x:c r="B4" s="20" t="str">
        <x:v>Kundu et al. — Surface ligand-controlled wavelength-tunable luminescence of gold nanoclusters: cellular imaging and smart fluorescent probes for amyloid detection</x:v>
      </x:c>
      <x:c r="C4" s="20" t="n">
        <x:v>2020</x:v>
      </x:c>
      <x:c r="D4" s="20" t="str">
        <x:v>ACS Applied Bio Materials</x:v>
      </x:c>
      <x:c r="E4" s="20" t="str">
        <x:v>https://doi.org/10.1021/acsabm.0c00337</x:v>
      </x:c>
      <x:c r="F4" s="20" t="str">
        <x:v>Direct ligand-chain-length → AuNC optical tuning</x:v>
      </x:c>
      <x:c r="G4" s="20" t="str">
        <x:v>Ligand identities/lengths, AuNC size, emission, synthesis</x:v>
      </x:c>
      <x:c r="H4" s="20" t="str">
        <x:v>iScience review</x:v>
      </x:c>
      <x:c r="I4" s="20" t="str">
        <x:v>TO ACQUIRE</x:v>
      </x:c>
    </x:row>
    <x:row r="5" ht="18" customHeight="1">
      <x:c r="A5" s="20" t="str">
        <x:v>P1</x:v>
      </x:c>
      <x:c r="B5" s="20" t="str">
        <x:v>Liu et al. — Polypeptide-templated Au nanoclusters with red and blue fluorescence emissions for multimodal imaging of cell nuclei</x:v>
      </x:c>
      <x:c r="C5" s="20" t="n">
        <x:v>2020</x:v>
      </x:c>
      <x:c r="D5" s="20" t="str">
        <x:v>ACS Applied Bio Materials</x:v>
      </x:c>
      <x:c r="E5" s="20" t="str">
        <x:v>https://doi.org/10.1021/acsabm.9b01078</x:v>
      </x:c>
      <x:c r="F5" s="20" t="str">
        <x:v>Direct peptide template + synthesis conditions → different AuNC fluorescence</x:v>
      </x:c>
      <x:c r="G5" s="20" t="str">
        <x:v>Exact polypeptide sequence/template, pH order, size, emission, QY</x:v>
      </x:c>
      <x:c r="H5" s="20" t="str">
        <x:v>iScience review</x:v>
      </x:c>
      <x:c r="I5" s="20" t="str">
        <x:v>TO ACQUIRE</x:v>
      </x:c>
    </x:row>
    <x:row r="6" ht="18" customHeight="1">
      <x:c r="A6" s="20" t="str">
        <x:v>P1</x:v>
      </x:c>
      <x:c r="B6" s="20" t="str">
        <x:v>Shichibu et al. — Large-scale synthesis of thiolated Au25 clusters via ligand exchange reactions of phosphine-stabilized Au11 clusters</x:v>
      </x:c>
      <x:c r="C6" s="20" t="n">
        <x:v>2005</x:v>
      </x:c>
      <x:c r="D6" s="20" t="str">
        <x:v>JACS</x:v>
      </x:c>
      <x:c r="E6" s="20" t="str">
        <x:v>https://doi.org/10.1021/ja053915s</x:v>
      </x:c>
      <x:c r="F6" s="20" t="str">
        <x:v>Canonical Au25(SG)18 preparation path</x:v>
      </x:c>
      <x:c r="G6" s="20" t="str">
        <x:v>Exact nuclearity conversion, GSH conditions, yields</x:v>
      </x:c>
      <x:c r="H6" s="20" t="str">
        <x:v>iScience review</x:v>
      </x:c>
      <x:c r="I6" s="20" t="str">
        <x:v>TO ACQUIRE</x:v>
      </x:c>
    </x:row>
    <x:row r="7" ht="18" customHeight="1">
      <x:c r="A7" s="20" t="str">
        <x:v>P1</x:v>
      </x:c>
      <x:c r="B7" s="20" t="str">
        <x:v>Ndugire &amp; Yan — Synthesis and solution isomerization of water-soluble Au9 nanoclusters prepared by nuclearity conversion of [Au11(PPh3)8Cl2]Cl</x:v>
      </x:c>
      <x:c r="C7" s="20" t="n">
        <x:v>2021</x:v>
      </x:c>
      <x:c r="D7" s="20" t="str">
        <x:v>Nanoscale</x:v>
      </x:c>
      <x:c r="E7" s="20" t="str">
        <x:v>https://doi.org/10.1039/d1nr04401j</x:v>
      </x:c>
      <x:c r="F7" s="20" t="str">
        <x:v>Nuclearity conversion + water-soluble cluster chemistry; review links to GSH→Au25 route</x:v>
      </x:c>
      <x:c r="G7" s="20" t="str">
        <x:v>Conditions, nuclearity transformations, GSH conversion details</x:v>
      </x:c>
      <x:c r="H7" s="20" t="str">
        <x:v>iScience review</x:v>
      </x:c>
      <x:c r="I7" s="20" t="str">
        <x:v>TO ACQUIRE</x:v>
      </x:c>
    </x:row>
    <x:row r="8" ht="18" customHeight="1">
      <x:c r="A8" s="20" t="str">
        <x:v>P1</x:v>
      </x:c>
      <x:c r="B8" s="20" t="str">
        <x:v>Wang et al. — AuNCs-LHRHa nano-system for FL/CT dual-mode imaging and photothermal therapy of targeted prostate cancer</x:v>
      </x:c>
      <x:c r="C8" s="20" t="n">
        <x:v>2022</x:v>
      </x:c>
      <x:c r="D8" s="20" t="str">
        <x:v>Journal of Materials Chemistry B</x:v>
      </x:c>
      <x:c r="E8" s="20" t="str">
        <x:v>https://doi.org/10.1039/d2tb00531j</x:v>
      </x:c>
      <x:c r="F8" s="20" t="str">
        <x:v>Direct peptide-targeted AuNC PTT application</x:v>
      </x:c>
      <x:c r="G8" s="20" t="str">
        <x:v>Peptide identity, AuNC synthesis, laser/PCE/heating, uptake</x:v>
      </x:c>
      <x:c r="H8" s="20" t="str">
        <x:v>iScience review</x:v>
      </x:c>
      <x:c r="I8" s="20" t="str">
        <x:v>TO ACQUIRE</x:v>
      </x:c>
    </x:row>
    <x:row r="9" ht="18" customHeight="1">
      <x:c r="A9" s="20" t="str">
        <x:v>P1</x:v>
      </x:c>
      <x:c r="B9" s="20" t="str">
        <x:v>Xia et al. — pH-responsive gold nanoclusters-based nanoprobes for lung cancer targeted near-infrared fluorescence imaging and chemo-photodynamic therapy</x:v>
      </x:c>
      <x:c r="C9" s="20" t="n">
        <x:v>2018</x:v>
      </x:c>
      <x:c r="D9" s="20" t="str">
        <x:v>Acta Biomaterialia</x:v>
      </x:c>
      <x:c r="E9" s="20" t="str">
        <x:v>https://doi.org/10.1016/j.actbio.2017.12.034</x:v>
      </x:c>
      <x:c r="F9" s="20" t="str">
        <x:v>Responsive AuNC functionalization; useful for therapeutic design constraints</x:v>
      </x:c>
      <x:c r="G9" s="20" t="str">
        <x:v>Ligand/peptide components, pH response, NIR properties, tumor data</x:v>
      </x:c>
      <x:c r="H9" s="20" t="str">
        <x:v>iScience review</x:v>
      </x:c>
      <x:c r="I9" s="20" t="str">
        <x:v>TO ACQUIRE</x:v>
      </x:c>
    </x:row>
    <x:row r="10" ht="18" customHeight="1">
      <x:c r="A10" s="20" t="str">
        <x:v>P1</x:v>
      </x:c>
      <x:c r="B10" s="20" t="str">
        <x:v>Liang et al. — One-pot synthesis of Gd3+-functionalized gold nanoclusters for dual-mode fluorescence/MR imaging</x:v>
      </x:c>
      <x:c r="C10" s="20" t="n">
        <x:v>2013</x:v>
      </x:c>
      <x:c r="D10" s="20" t="str">
        <x:v>Journal of Materials Chemistry B</x:v>
      </x:c>
      <x:c r="E10" s="20" t="str">
        <x:v>https://doi.org/10.1039/c3tb20440e</x:v>
      </x:c>
      <x:c r="F10" s="20" t="str">
        <x:v>Peptide/cyclic-ligand structural functionalization lead</x:v>
      </x:c>
      <x:c r="G10" s="20" t="str">
        <x:v>Cyclic peptide sequence/modifications, synthesis and size</x:v>
      </x:c>
      <x:c r="H10" s="20" t="str">
        <x:v>iScience review</x:v>
      </x:c>
      <x:c r="I10" s="20" t="str">
        <x:v>TO ACQUIRE</x:v>
      </x:c>
    </x:row>
    <x:row r="11" ht="18" customHeight="1">
      <x:c r="A11" s="20" t="str">
        <x:v>P1</x:v>
      </x:c>
      <x:c r="B11" s="20" t="str">
        <x:v>Zhang et al. — Gold nanoclusters-based nanoprobes for simultaneous fluorescence imaging and targeted photodynamic therapy with superior penetration and retention behavior in tumors</x:v>
      </x:c>
      <x:c r="C11" s="20" t="n">
        <x:v>2015</x:v>
      </x:c>
      <x:c r="D11" s="20" t="str">
        <x:v>Advanced Functional Materials</x:v>
      </x:c>
      <x:c r="E11" s="20" t="str">
        <x:v>https://doi.org/10.1002/adfm.201403095</x:v>
      </x:c>
      <x:c r="F11" s="20" t="str">
        <x:v>Tumor-targeted therapeutic AuNC design</x:v>
      </x:c>
      <x:c r="G11" s="20" t="str">
        <x:v>Targeting component, AuNC formulation, optical/biological endpoints</x:v>
      </x:c>
      <x:c r="H11" s="20" t="str">
        <x:v>iScience review</x:v>
      </x:c>
      <x:c r="I11" s="20" t="str">
        <x:v>TO ACQUIRE</x:v>
      </x:c>
    </x:row>
    <x:row r="12" ht="18" customHeight="1">
      <x:c r="A12" s="20" t="str">
        <x:v>P2</x:v>
      </x:c>
      <x:c r="B12" s="20" t="str">
        <x:v>Tan et al. — Uncovering the design rules for peptide synthesis of metal nanoparticles</x:v>
      </x:c>
      <x:c r="C12" s="20" t="n">
        <x:v>2010</x:v>
      </x:c>
      <x:c r="D12" s="20" t="str">
        <x:v>JACS</x:v>
      </x:c>
      <x:c r="E12" s="20" t="str"/>
      <x:c r="F12" s="20" t="str">
        <x:v>Direct peptide sequence design rules for metal nanoparticle synthesis</x:v>
      </x:c>
      <x:c r="G12" s="20" t="str">
        <x:v>Sequence library, binding/reduction motifs, size/morphology outcomes</x:v>
      </x:c>
      <x:c r="H12" s="20" t="str">
        <x:v>ACS Omega references</x:v>
      </x:c>
      <x:c r="I12" s="20" t="str">
        <x:v>TO ACQUIRE</x:v>
      </x:c>
    </x:row>
    <x:row r="13" ht="18" customHeight="1">
      <x:c r="A13" s="20" t="str">
        <x:v>P2</x:v>
      </x:c>
      <x:c r="B13" s="20" t="str">
        <x:v>Li et al. — Peptide-mediated synthesis of gold nanoparticles: effects of peptide sequence and nature of binding on physicochemical properties</x:v>
      </x:c>
      <x:c r="C13" s="20" t="n">
        <x:v>2014</x:v>
      </x:c>
      <x:c r="D13" s="20" t="str">
        <x:v>Nanoscale</x:v>
      </x:c>
      <x:c r="E13" s="20" t="str"/>
      <x:c r="F13" s="20" t="str">
        <x:v>Sequence→gold physicochemical-property relationships</x:v>
      </x:c>
      <x:c r="G13" s="20" t="str">
        <x:v>Sequence variants, synthesis conditions, size/shape/binding</x:v>
      </x:c>
      <x:c r="H13" s="20" t="str">
        <x:v>ACS Omega references</x:v>
      </x:c>
      <x:c r="I13" s="20" t="str">
        <x:v>TO ACQUIRE</x:v>
      </x:c>
    </x:row>
    <x:row r="14" ht="18" customHeight="1">
      <x:c r="A14" s="20" t="str">
        <x:v>P2</x:v>
      </x:c>
      <x:c r="B14" s="20" t="str">
        <x:v>Lee et al. — Amino-acid- and peptide-directed synthesis of chiral plasmonic gold nanoparticles</x:v>
      </x:c>
      <x:c r="C14" s="20" t="n">
        <x:v>2018</x:v>
      </x:c>
      <x:c r="D14" s="20" t="str">
        <x:v>Nature</x:v>
      </x:c>
      <x:c r="E14" s="20" t="str"/>
      <x:c r="F14" s="20" t="str">
        <x:v>High-value peptide chirality / gold growth paper</x:v>
      </x:c>
      <x:c r="G14" s="20" t="str">
        <x:v>Amino-acid/peptide design, chirality, optical/growth data</x:v>
      </x:c>
      <x:c r="H14" s="20" t="str">
        <x:v>Chem. Sci. references</x:v>
      </x:c>
      <x:c r="I14" s="20" t="str">
        <x:v>TO ACQUIRE</x:v>
      </x:c>
    </x:row>
    <x:row r="15" ht="18" customHeight="1">
      <x:c r="A15" s="20" t="str">
        <x:v>P2</x:v>
      </x:c>
      <x:c r="B15" s="20" t="str">
        <x:v>Slocik et al. — Synthesis of gold nanoparticles using multifunctional peptides</x:v>
      </x:c>
      <x:c r="C15" s="20" t="n">
        <x:v>2005</x:v>
      </x:c>
      <x:c r="D15" s="20" t="str">
        <x:v>Small</x:v>
      </x:c>
      <x:c r="E15" s="20" t="str"/>
      <x:c r="F15" s="20" t="str">
        <x:v>Foundational multifunctional peptide→Au synthesis</x:v>
      </x:c>
      <x:c r="G15" s="20" t="str">
        <x:v>Peptide sequences, multifunctional roles, synthesis outcomes</x:v>
      </x:c>
      <x:c r="H15" s="20" t="str">
        <x:v>ACS Omega references</x:v>
      </x:c>
      <x:c r="I15" s="20" t="str">
        <x:v>TO ACQUIRE</x:v>
      </x:c>
    </x:row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I1"/>
  </x:mergeCells>
  <x:conditionalFormatting sqref="A4:A15">
    <x:cfRule type="expression" dxfId="0" priority="1">
      <x:formula>A4="P1"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8184442c6f42e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65" hidden="0" customWidth="1"/>
    <x:col min="4" max="4" width="42" hidden="0" customWidth="1"/>
  </x:cols>
  <x:sheetData>
    <x:row r="1" ht="28" customHeight="1">
      <x:c r="A1" s="5" t="str">
        <x:v>PepAuDB Data Dictionary</x:v>
      </x:c>
      <x:c r="B1" s="5"/>
      <x:c r="C1" s="5"/>
      <x:c r="D1" s="5"/>
    </x:row>
    <x:row r="2" ht="18" customHeight="1"/>
    <x:row r="3" ht="32" customHeight="1">
      <x:c r="A3" s="14" t="str">
        <x:v>Field</x:v>
      </x:c>
      <x:c r="B3" s="14" t="str">
        <x:v>Type / unit</x:v>
      </x:c>
      <x:c r="C3" s="14" t="str">
        <x:v>Meaning</x:v>
      </x:c>
      <x:c r="D3" s="14" t="str">
        <x:v>Model use</x:v>
      </x:c>
    </x:row>
    <x:row r="4" ht="18" customHeight="1">
      <x:c r="A4" s="20" t="str">
        <x:v>Evidence_Class</x:v>
      </x:c>
      <x:c r="B4" s="20" t="str">
        <x:v>categorical</x:v>
      </x:c>
      <x:c r="C4" s="20" t="str">
        <x:v>A1 direct peptide atomic AuNC; A2 direct peptide non-precise AuNC; B1 peptide-AuNP mechanism; C1 PTT benchmark; C2 biomedical benchmark; D1 method/review reference</x:v>
      </x:c>
      <x:c r="D4" s="20" t="str">
        <x:v>Controls whether a row is eligible for training</x:v>
      </x:c>
    </x:row>
    <x:row r="5" ht="18" customHeight="1">
      <x:c r="A5" s="20" t="str">
        <x:v>Data_Status</x:v>
      </x:c>
      <x:c r="B5" s="20" t="str">
        <x:v>categorical</x:v>
      </x:c>
      <x:c r="C5" s="20" t="str">
        <x:v>DIRECT or REVIEW-DERIVED</x:v>
      </x:c>
      <x:c r="D5" s="20" t="str">
        <x:v>REVIEW-DERIVED rows must not enter final model training until primary paper is extracted</x:v>
      </x:c>
    </x:row>
    <x:row r="6" ht="18" customHeight="1">
      <x:c r="A6" s="20" t="str">
        <x:v>Material_Regime</x:v>
      </x:c>
      <x:c r="B6" s="20" t="str">
        <x:v>categorical</x:v>
      </x:c>
      <x:c r="C6" s="20" t="str">
        <x:v>Separates atomic AuNC, non-precise AuNC, AuNP, bipyramid, superstructure, 2D AuQD</x:v>
      </x:c>
      <x:c r="D6" s="20" t="str">
        <x:v>Prevents invalid cross-regime mixing</x:v>
      </x:c>
    </x:row>
    <x:row r="7" ht="18" customHeight="1">
      <x:c r="A7" s="20" t="str">
        <x:v>Sequence</x:v>
      </x:c>
      <x:c r="B7" s="20" t="str">
        <x:v>string</x:v>
      </x:c>
      <x:c r="C7" s="20" t="str">
        <x:v>Exact peptide sequence where available</x:v>
      </x:c>
      <x:c r="D7" s="20" t="str">
        <x:v>Primary sequence encoder input</x:v>
      </x:c>
    </x:row>
    <x:row r="8" ht="18" customHeight="1">
      <x:c r="A8" s="20" t="str">
        <x:v>Stereochemistry</x:v>
      </x:c>
      <x:c r="B8" s="20" t="str">
        <x:v>categorical</x:v>
      </x:c>
      <x:c r="C8" s="20" t="str">
        <x:v>L, D, mixed, N/A</x:v>
      </x:c>
      <x:c r="D8" s="20" t="str">
        <x:v>Needed for chiral peptide systems</x:v>
      </x:c>
    </x:row>
    <x:row r="9" ht="18" customHeight="1">
      <x:c r="A9" s="20" t="str">
        <x:v>Terminal_or_Chemical_Modification</x:v>
      </x:c>
      <x:c r="B9" s="20" t="str">
        <x:v>string</x:v>
      </x:c>
      <x:c r="C9" s="20" t="str">
        <x:v>Acyl tails, oxidation, conjugation, cyclic state, etc.</x:v>
      </x:c>
      <x:c r="D9" s="20" t="str">
        <x:v>Captures chemistry not represented by amino-acid letters</x:v>
      </x:c>
    </x:row>
    <x:row r="10" ht="18" customHeight="1">
      <x:c r="A10" s="20" t="str">
        <x:v>Au_Nuclearity</x:v>
      </x:c>
      <x:c r="B10" s="20" t="str">
        <x:v>integer</x:v>
      </x:c>
      <x:c r="C10" s="20" t="str">
        <x:v>Number of Au atoms in atomically precise cluster</x:v>
      </x:c>
      <x:c r="D10" s="20" t="str">
        <x:v>Primary atomic-precision structural target</x:v>
      </x:c>
    </x:row>
    <x:row r="11" ht="18" customHeight="1">
      <x:c r="A11" s="20" t="str">
        <x:v>Core_Size_nm</x:v>
      </x:c>
      <x:c r="B11" s="20" t="str">
        <x:v>nm</x:v>
      </x:c>
      <x:c r="C11" s="20" t="str">
        <x:v>Metal-core size</x:v>
      </x:c>
      <x:c r="D11" s="20" t="str">
        <x:v>Structural target / safety proxy</x:v>
      </x:c>
    </x:row>
    <x:row r="12" ht="18" customHeight="1">
      <x:c r="A12" s="20" t="str">
        <x:v>Hydrodynamic_Size_nm</x:v>
      </x:c>
      <x:c r="B12" s="20" t="str">
        <x:v>nm</x:v>
      </x:c>
      <x:c r="C12" s="20" t="str">
        <x:v>Effective size in solution/biological media</x:v>
      </x:c>
      <x:c r="D12" s="20" t="str">
        <x:v>Clearance/stability feature</x:v>
      </x:c>
    </x:row>
    <x:row r="13" ht="18" customHeight="1">
      <x:c r="A13" s="20" t="str">
        <x:v>Au_Precursor</x:v>
      </x:c>
      <x:c r="B13" s="20" t="str">
        <x:v>string</x:v>
      </x:c>
      <x:c r="C13" s="20" t="str">
        <x:v>Gold precursor and concentration where available</x:v>
      </x:c>
      <x:c r="D13" s="20" t="str">
        <x:v>Synthesis-context encoder</x:v>
      </x:c>
    </x:row>
    <x:row r="14" ht="18" customHeight="1">
      <x:c r="A14" s="20" t="str">
        <x:v>Reducing_Agent</x:v>
      </x:c>
      <x:c r="B14" s="20" t="str">
        <x:v>string</x:v>
      </x:c>
      <x:c r="C14" s="20" t="str">
        <x:v>NaBH4, ascorbate, peptide self-reduction, etc.</x:v>
      </x:c>
      <x:c r="D14" s="20" t="str">
        <x:v>Synthesis-context encoder</x:v>
      </x:c>
    </x:row>
    <x:row r="15" ht="18" customHeight="1">
      <x:c r="A15" s="20" t="str">
        <x:v>pH</x:v>
      </x:c>
      <x:c r="B15" s="20" t="str">
        <x:v>unitless</x:v>
      </x:c>
      <x:c r="C15" s="20" t="str">
        <x:v>Reaction pH; multi-stage pH protocols should eventually become separate protocol-step fields</x:v>
      </x:c>
      <x:c r="D15" s="20" t="str">
        <x:v>Critical synthesis variable</x:v>
      </x:c>
    </x:row>
    <x:row r="16" ht="18" customHeight="1">
      <x:c r="A16" s="20" t="str">
        <x:v>Temperature_C</x:v>
      </x:c>
      <x:c r="B16" s="20" t="str">
        <x:v>°C</x:v>
      </x:c>
      <x:c r="C16" s="20" t="str">
        <x:v>Reaction temperature</x:v>
      </x:c>
      <x:c r="D16" s="20" t="str">
        <x:v>Critical synthesis variable</x:v>
      </x:c>
    </x:row>
    <x:row r="17" ht="18" customHeight="1">
      <x:c r="A17" s="20" t="str">
        <x:v>Time_h</x:v>
      </x:c>
      <x:c r="B17" s="20" t="str">
        <x:v>hours</x:v>
      </x:c>
      <x:c r="C17" s="20" t="str">
        <x:v>Reaction time</x:v>
      </x:c>
      <x:c r="D17" s="20" t="str">
        <x:v>Critical synthesis variable</x:v>
      </x:c>
    </x:row>
    <x:row r="18" ht="18" customHeight="1">
      <x:c r="A18" s="20" t="str">
        <x:v>Emission_Peak_nm</x:v>
      </x:c>
      <x:c r="B18" s="20" t="str">
        <x:v>nm</x:v>
      </x:c>
      <x:c r="C18" s="20" t="str">
        <x:v>Peak photoluminescence wavelength</x:v>
      </x:c>
      <x:c r="D18" s="20" t="str">
        <x:v>Theranostic target</x:v>
      </x:c>
    </x:row>
    <x:row r="19" ht="18" customHeight="1">
      <x:c r="A19" s="20" t="str">
        <x:v>PLQY_pct</x:v>
      </x:c>
      <x:c r="B19" s="20" t="str">
        <x:v>%</x:v>
      </x:c>
      <x:c r="C19" s="20" t="str">
        <x:v>Photoluminescence quantum yield</x:v>
      </x:c>
      <x:c r="D19" s="20" t="str">
        <x:v>Theranostic target; not automatically maximized for PTT</x:v>
      </x:c>
    </x:row>
    <x:row r="20" ht="18" customHeight="1">
      <x:c r="A20" s="20" t="str">
        <x:v>Laser_nm</x:v>
      </x:c>
      <x:c r="B20" s="20" t="str">
        <x:v>nm</x:v>
      </x:c>
      <x:c r="C20" s="20" t="str">
        <x:v>PTT excitation wavelength</x:v>
      </x:c>
      <x:c r="D20" s="20" t="str">
        <x:v>PTT context</x:v>
      </x:c>
    </x:row>
    <x:row r="21" ht="18" customHeight="1">
      <x:c r="A21" s="20" t="str">
        <x:v>Laser_Power_W_cm2</x:v>
      </x:c>
      <x:c r="B21" s="20" t="str">
        <x:v>W/cm²</x:v>
      </x:c>
      <x:c r="C21" s="20" t="str">
        <x:v>Power density</x:v>
      </x:c>
      <x:c r="D21" s="20" t="str">
        <x:v>PTT context</x:v>
      </x:c>
    </x:row>
    <x:row r="22" ht="18" customHeight="1">
      <x:c r="A22" s="20" t="str">
        <x:v>PTT_Temperature_C</x:v>
      </x:c>
      <x:c r="B22" s="20" t="str">
        <x:v>°C</x:v>
      </x:c>
      <x:c r="C22" s="20" t="str">
        <x:v>Observed temperature under stated irradiation</x:v>
      </x:c>
      <x:c r="D22" s="20" t="str">
        <x:v>PTT target/benchmark</x:v>
      </x:c>
    </x:row>
    <x:row r="23" ht="18" customHeight="1">
      <x:c r="A23" s="20" t="str">
        <x:v>Key_Field_Completeness_pct</x:v>
      </x:c>
      <x:c r="B23" s="20" t="str">
        <x:v>%</x:v>
      </x:c>
      <x:c r="C23" s="20" t="str">
        <x:v>Simple coverage score across 10 key model fields</x:v>
      </x:c>
      <x:c r="D23" s="20" t="str">
        <x:v>Prioritizes records needing deeper extraction</x:v>
      </x:c>
    </x:row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c0d08ea581d43d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22" hidden="0" customWidth="1"/>
    <x:col min="4" max="4" width="50" hidden="0" customWidth="1"/>
    <x:col min="5" max="5" width="48" hidden="0" customWidth="1"/>
    <x:col min="6" max="6" width="48" hidden="0" customWidth="1"/>
    <x:col min="7" max="7" width="44" hidden="0" customWidth="1"/>
  </x:cols>
  <x:sheetData>
    <x:row r="1" ht="28" customHeight="1">
      <x:c r="A1" s="5" t="str">
        <x:v>Model Readiness — What Can Be Trained Now vs Later</x:v>
      </x:c>
      <x:c r="B1" s="5"/>
      <x:c r="C1" s="5"/>
      <x:c r="D1" s="5"/>
      <x:c r="E1" s="5"/>
      <x:c r="F1" s="5"/>
      <x:c r="G1" s="5"/>
    </x:row>
    <x:row r="2" ht="18" customHeight="1"/>
    <x:row r="3" ht="32" customHeight="1">
      <x:c r="A3" s="14" t="str">
        <x:v>Target</x:v>
      </x:c>
      <x:c r="B3" s="14" t="str">
        <x:v>Current direct evidence</x:v>
      </x:c>
      <x:c r="C3" s="14" t="str">
        <x:v>Current readiness</x:v>
      </x:c>
      <x:c r="D3" s="14" t="str">
        <x:v>Main gap</x:v>
      </x:c>
      <x:c r="E3" s="14" t="str">
        <x:v>Recommended first model</x:v>
      </x:c>
      <x:c r="F3" s="14" t="str">
        <x:v>Validation requirement</x:v>
      </x:c>
      <x:c r="G3" s="14" t="str">
        <x:v>Streamlit display</x:v>
      </x:c>
    </x:row>
    <x:row r="4" ht="18" customHeight="1">
      <x:c r="A4" s="20" t="str">
        <x:v>AuNC formation probability</x:v>
      </x:c>
      <x:c r="B4" s="20" t="str">
        <x:v>Very limited atomic-AuNC labels; richer AuNP mechanistic examples</x:v>
      </x:c>
      <x:c r="C4" s="20" t="str">
        <x:v>LOW</x:v>
      </x:c>
      <x:c r="D4" s="20" t="str">
        <x:v>Need many peptide/AuNC positive and negative experiments</x:v>
      </x:c>
      <x:c r="E4" s="20" t="str">
        <x:v>CatBoost/XGBoost baseline after more primary papers</x:v>
      </x:c>
      <x:c r="F4" s="20" t="str">
        <x:v>Paper-wise group split + calibration + class-balance metrics</x:v>
      </x:c>
      <x:c r="G4" s="20" t="str">
        <x:v>Probability + calibration + in-domain score</x:v>
      </x:c>
    </x:row>
    <x:row r="5" ht="18" customHeight="1">
      <x:c r="A5" s="20" t="str">
        <x:v>Au nuclearity</x:v>
      </x:c>
      <x:c r="B5" s="20" t="str">
        <x:v>Au22(SG)18 and Au25(SG)18 direct anchors</x:v>
      </x:c>
      <x:c r="C5" s="20" t="str">
        <x:v>VERY LOW</x:v>
      </x:c>
      <x:c r="D5" s="20" t="str">
        <x:v>Almost no peptide diversity</x:v>
      </x:c>
      <x:c r="E5" s="20" t="str">
        <x:v>Do not train final model yet; collect nuclearity-labeled primary studies</x:v>
      </x:c>
      <x:c r="F5" s="20" t="str">
        <x:v>Leave-one-paper-out; MAE + exact/±1 atom accuracy only when N is adequate</x:v>
      </x:c>
      <x:c r="G5" s="20" t="str">
        <x:v>Predicted Au_n + wide uncertainty</x:v>
      </x:c>
    </x:row>
    <x:row r="6" ht="18" customHeight="1">
      <x:c r="A6" s="20" t="str">
        <x:v>Core / hydrodynamic size</x:v>
      </x:c>
      <x:c r="B6" s="20" t="str">
        <x:v>Some direct atomic and mechanistic data</x:v>
      </x:c>
      <x:c r="C6" s="20" t="str">
        <x:v>LOW</x:v>
      </x:c>
      <x:c r="D6" s="20" t="str">
        <x:v>Material regimes currently mixed and sparse</x:v>
      </x:c>
      <x:c r="E6" s="20" t="str">
        <x:v>Regime-specific gradient boosting / GP</x:v>
      </x:c>
      <x:c r="F6" s="20" t="str">
        <x:v>Paper-wise split; MAE/RMSE + conformal interval</x:v>
      </x:c>
      <x:c r="G6" s="20" t="str">
        <x:v>Size prediction + 95% interval</x:v>
      </x:c>
    </x:row>
    <x:row r="7" ht="18" customHeight="1">
      <x:c r="A7" s="20" t="str">
        <x:v>Emission wavelength</x:v>
      </x:c>
      <x:c r="B7" s="20" t="str">
        <x:v>Au22/Au25 anchors + review-derived leads</x:v>
      </x:c>
      <x:c r="C7" s="20" t="str">
        <x:v>LOW–MEDIUM after acquisition</x:v>
      </x:c>
      <x:c r="D7" s="20" t="str">
        <x:v>Need more primary peptide-AuNC optical datasets</x:v>
      </x:c>
      <x:c r="E7" s="20" t="str">
        <x:v>ESM/physicochemical features + CatBoost/GP ensemble</x:v>
      </x:c>
      <x:c r="F7" s="20" t="str">
        <x:v>Paper-wise split; MAE/R²/Spearman; no review-derived duplicates</x:v>
      </x:c>
      <x:c r="G7" s="20" t="str">
        <x:v>Peak + interval + nearest literature analogues</x:v>
      </x:c>
    </x:row>
    <x:row r="8" ht="18" customHeight="1">
      <x:c r="A8" s="20" t="str">
        <x:v>PLQY</x:v>
      </x:c>
      <x:c r="B8" s="20" t="str">
        <x:v>Sparse direct values</x:v>
      </x:c>
      <x:c r="C8" s="20" t="str">
        <x:v>LOW</x:v>
      </x:c>
      <x:c r="D8" s="20" t="str">
        <x:v>Many papers omit QY; measurement protocols vary</x:v>
      </x:c>
      <x:c r="E8" s="20" t="str">
        <x:v>Regression only after harmonization</x:v>
      </x:c>
      <x:c r="F8" s="20" t="str">
        <x:v>Paper-wise split + uncertainty; report missingness</x:v>
      </x:c>
      <x:c r="G8" s="20" t="str">
        <x:v>QY prediction only in theranostic mode</x:v>
      </x:c>
    </x:row>
    <x:row r="9" ht="18" customHeight="1">
      <x:c r="A9" s="20" t="str">
        <x:v>PTT heating / PCE</x:v>
      </x:c>
      <x:c r="B9" s="20" t="str">
        <x:v>Strong benchmarks but almost no peptide-templated atomic AuNC training pairs</x:v>
      </x:c>
      <x:c r="C9" s="20" t="str">
        <x:v>LOW</x:v>
      </x:c>
      <x:c r="D9" s="20" t="str">
        <x:v>Need primary peptide-AuNC PTT studies and PCE values</x:v>
      </x:c>
      <x:c r="E9" s="20" t="str">
        <x:v>Benchmark/reference layer first; regression later</x:v>
      </x:c>
      <x:c r="F9" s="20" t="str">
        <x:v>Laser/context-aware split; report ΔT/PCE under matched conditions</x:v>
      </x:c>
      <x:c r="G9" s="20" t="str">
        <x:v>PTT score + laser context + evidence level</x:v>
      </x:c>
    </x:row>
    <x:row r="10" ht="18" customHeight="1">
      <x:c r="A10" s="20" t="str">
        <x:v>Synthesis-condition recommendation</x:v>
      </x:c>
      <x:c r="B10" s="20" t="str">
        <x:v>Strong mechanistic precedent + direct Au22 protocol</x:v>
      </x:c>
      <x:c r="C10" s="20" t="str">
        <x:v>MEDIUM for rule-guided prototype</x:v>
      </x:c>
      <x:c r="D10" s="20" t="str">
        <x:v>Insufficient direct atomic peptide diversity</x:v>
      </x:c>
      <x:c r="E10" s="20" t="str">
        <x:v>Bayesian optimization / multi-objective search after literature expansion</x:v>
      </x:c>
      <x:c r="F10" s="20" t="str">
        <x:v>Retrospective reconstruction + later closed-loop experiments</x:v>
      </x:c>
      <x:c r="G10" s="20" t="str">
        <x:v>Recommended condition window, not false single-point certainty</x:v>
      </x:c>
    </x:row>
    <x:row r="11" ht="18" customHeight="1">
      <x:c r="A11" s="20" t="str">
        <x:v>Peptide conformation descriptors</x:v>
      </x:c>
      <x:c r="B11" s="20" t="str">
        <x:v>ALBATROSS available</x:v>
      </x:c>
      <x:c r="C11" s="20" t="str">
        <x:v>READY AS AUXILIARY FEATURE</x:v>
      </x:c>
      <x:c r="D11" s="20" t="str">
        <x:v>Not metal-bound validation</x:v>
      </x:c>
      <x:c r="E11" s="20" t="str">
        <x:v>Use ALBATROSS/SPARROW as descriptors only</x:v>
      </x:c>
      <x:c r="F11" s="20" t="str">
        <x:v>Ablation: with vs without conformational features</x:v>
      </x:c>
      <x:c r="G11" s="20" t="str">
        <x:v>Rg/Re/asphericity shown as descriptors, not Au-binding truth</x:v>
      </x:c>
    </x:row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3483e68511247d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8" hidden="0" customWidth="1"/>
    <x:col min="4" max="4" width="32" hidden="0" customWidth="1"/>
    <x:col min="5" max="5" width="16" hidden="0" customWidth="1"/>
  </x:cols>
  <x:sheetData>
    <x:row r="1" ht="28" customHeight="1">
      <x:c r="A1" s="5" t="str">
        <x:v>PepAuDB v0.1 Dashboard</x:v>
      </x:c>
      <x:c r="B1" s="5"/>
      <x:c r="C1" s="5"/>
      <x:c r="D1" s="5"/>
      <x:c r="E1" s="5"/>
      <x:c r="F1" s="5"/>
      <x:c r="G1" s="5"/>
      <x:c r="H1" s="5"/>
    </x:row>
    <x:row r="2" ht="18" customHeight="1"/>
    <x:row r="3" ht="32" customHeight="1">
      <x:c r="A3" s="14" t="str">
        <x:v>KPI</x:v>
      </x:c>
      <x:c r="B3" s="14" t="str">
        <x:v>Value</x:v>
      </x:c>
      <x:c r="D3" s="14" t="str">
        <x:v>Evidence class</x:v>
      </x:c>
      <x:c r="E3" s="14" t="str">
        <x:v>Record count</x:v>
      </x:c>
    </x:row>
    <x:row r="4" ht="18" customHeight="1">
      <x:c r="A4" t="str">
        <x:v>Uploaded papers</x:v>
      </x:c>
      <x:c r="B4" t="n">
        <x:v>14</x:v>
      </x:c>
      <x:c r="D4" t="str">
        <x:v>A1 atomic peptide AuNC</x:v>
      </x:c>
      <x:c r="E4" t="n">
        <x:f>COUNTIF(PepAuDB_v0.1!C4:C25,"A1 DIRECT_PEPTIDE_ATOMIC_AUNC")</x:f>
        <x:v>3</x:v>
      </x:c>
    </x:row>
    <x:row r="5" ht="18" customHeight="1">
      <x:c r="A5" t="str">
        <x:v>Starter experiment-level records</x:v>
      </x:c>
      <x:c r="B5" t="n">
        <x:v>22</x:v>
      </x:c>
      <x:c r="D5" t="str">
        <x:v>B1 peptide-AuNP mechanism</x:v>
      </x:c>
      <x:c r="E5" t="n">
        <x:f>COUNTIF(PepAuDB_v0.1!C4:C25,"B1 PEPTIDE_AUNP_MECHANISM")</x:f>
        <x:v>14</x:v>
      </x:c>
    </x:row>
    <x:row r="6" ht="18" customHeight="1">
      <x:c r="A6" t="str">
        <x:v>Direct A1 atomic peptide-AuNC records</x:v>
      </x:c>
      <x:c r="B6" t="n">
        <x:f>COUNTIF(PepAuDB_v0.1!C4:C25,"A1 DIRECT_PEPTIDE_ATOMIC_AUNC")</x:f>
        <x:v>3</x:v>
      </x:c>
      <x:c r="D6" t="str">
        <x:v>C1 PTT benchmark</x:v>
      </x:c>
      <x:c r="E6" t="n">
        <x:f>COUNTIF(PepAuDB_v0.1!C4:C25,"C1 AUNC_PTT_BENCHMARK")</x:f>
        <x:v>2</x:v>
      </x:c>
    </x:row>
    <x:row r="7" ht="18" customHeight="1">
      <x:c r="A7" t="str">
        <x:v>Direct PTT benchmark records</x:v>
      </x:c>
      <x:c r="B7" t="n">
        <x:f>COUNTIF(PepAuDB_v0.1!C4:C25,"C1 AUNC_PTT_BENCHMARK")</x:f>
        <x:v>2</x:v>
      </x:c>
      <x:c r="D7" t="str">
        <x:v>C2 biomedical benchmark</x:v>
      </x:c>
      <x:c r="E7" t="n">
        <x:f>COUNTIF(PepAuDB_v0.1!C4:C25,"C2 AUNC_BIOMEDICAL_BENCHMARK")</x:f>
        <x:v>1</x:v>
      </x:c>
    </x:row>
    <x:row r="8" ht="18" customHeight="1">
      <x:c r="A8" t="str">
        <x:v>High-priority missing papers (P1)</x:v>
      </x:c>
      <x:c r="B8" t="n">
        <x:f>COUNTIF(Missing_Literature!A4:A15,"P1")</x:f>
        <x:v>8</x:v>
      </x:c>
      <x:c r="D8" t="str">
        <x:v>D1 method/review</x:v>
      </x:c>
      <x:c r="E8" t="n">
        <x:f>COUNTIF(PepAuDB_v0.1!C4:C25,"D1 METHOD_REFERENCE")</x:f>
        <x:v>2</x:v>
      </x:c>
    </x:row>
    <x:row r="9" ht="18" customHeight="1">
      <x:c r="D9" t="str">
        <x:v>DIRECT rows</x:v>
      </x:c>
      <x:c r="E9" t="n">
        <x:f>COUNTIF(PepAuDB_v0.1!D4:D25,"DIRECT")</x:f>
        <x:v>20</x:v>
      </x:c>
    </x:row>
    <x:row r="10" ht="18" customHeight="1">
      <x:c r="D10" t="str">
        <x:v>REVIEW-DERIVED rows</x:v>
      </x:c>
      <x:c r="E10" t="n">
        <x:f>COUNTIF(PepAuDB_v0.1!D4:D25,"REVIEW-DERIVED")</x:f>
        <x:v>2</x:v>
      </x:c>
    </x:row>
    <x:row r="11" ht="18" customHeight="1">
      <x:c r="A11" s="14" t="str">
        <x:v>Current decision</x:v>
      </x:c>
      <x:c r="B11" s="14" t="str">
        <x:v>Status</x:v>
      </x:c>
    </x:row>
    <x:row r="12" ht="18" customHeight="1">
      <x:c r="A12" s="20" t="str">
        <x:v>Replace synthetic 120-row training data</x:v>
      </x:c>
      <x:c r="B12" s="20" t="str">
        <x:v>YES — for scientific claims</x:v>
      </x:c>
    </x:row>
    <x:row r="13" ht="18" customHeight="1">
      <x:c r="A13" s="20" t="str">
        <x:v>Build final Streamlit model now</x:v>
      </x:c>
      <x:c r="B13" s="20" t="str">
        <x:v>NO — first expand primary data</x:v>
      </x:c>
    </x:row>
    <x:row r="14" ht="18" customHeight="1">
      <x:c r="A14" s="20" t="str">
        <x:v>Keep ALBATROSS/SPARROW</x:v>
      </x:c>
      <x:c r="B14" s="20" t="str">
        <x:v>YES — auxiliary sequence-conformation features</x:v>
      </x:c>
    </x:row>
    <x:row r="15" ht="18" customHeight="1">
      <x:c r="A15" s="20" t="str">
        <x:v>Optimize PLQY in PTT-only mode</x:v>
      </x:c>
      <x:c r="B15" s="20" t="str">
        <x:v>NO</x:v>
      </x:c>
    </x:row>
    <x:row r="16" ht="18" customHeight="1">
      <x:c r="A16" s="20" t="str">
        <x:v>Use multi-objective optimization later</x:v>
      </x:c>
      <x:c r="B16" s="20" t="str">
        <x:v>YES — after real-data benchmark</x:v>
      </x:c>
    </x:row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H1"/>
  </x:mergeCells>
  <x:pageMargins left="0.7" right="0.7" top="0.75" bottom="0.75" header="0.3" footer="0.3"/>
  <x:drawing xmlns:r="http://schemas.openxmlformats.org/officeDocument/2006/relationships" r:id="R991ebc3ef17447ba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9" hidden="0" customWidth="1"/>
    <x:col min="4" max="4" width="16" hidden="0" customWidth="1"/>
    <x:col min="5" max="5" width="26" hidden="0" customWidth="1"/>
    <x:col min="6" max="6" width="30" hidden="0" customWidth="1"/>
    <x:col min="7" max="7" width="36" hidden="0" customWidth="1"/>
    <x:col min="8" max="8" width="14" hidden="0" customWidth="1"/>
    <x:col min="9" max="9" width="32" hidden="0" customWidth="1"/>
    <x:col min="10" max="10" width="13" hidden="0" customWidth="1"/>
    <x:col min="11" max="11" width="12" hidden="0" customWidth="1"/>
    <x:col min="12" max="12" width="13" hidden="0" customWidth="1"/>
    <x:col min="13" max="13" width="16" hidden="0" customWidth="1"/>
    <x:col min="14" max="14" width="34" hidden="0" customWidth="1"/>
    <x:col min="15" max="15" width="22" hidden="0" customWidth="1"/>
    <x:col min="16" max="16" width="46" hidden="0" customWidth="1"/>
    <x:col min="17" max="17" width="27" hidden="0" customWidth="1"/>
    <x:col min="18" max="18" width="10" hidden="0" customWidth="1"/>
    <x:col min="19" max="19" width="13" hidden="0" customWidth="1"/>
    <x:col min="20" max="20" width="10" hidden="0" customWidth="1"/>
    <x:col min="21" max="21" width="40" hidden="0" customWidth="1"/>
    <x:col min="22" max="22" width="16" hidden="0" customWidth="1"/>
    <x:col min="23" max="23" width="24" hidden="0" customWidth="1"/>
    <x:col min="24" max="24" width="12" hidden="0" customWidth="1"/>
    <x:col min="25" max="25" width="20" hidden="0" customWidth="1"/>
    <x:col min="26" max="26" width="12" hidden="0" customWidth="1"/>
    <x:col min="27" max="27" width="10" hidden="0" customWidth="1"/>
    <x:col min="28" max="28" width="16" hidden="0" customWidth="1"/>
    <x:col min="29" max="29" width="18" hidden="0" customWidth="1"/>
    <x:col min="30" max="30" width="14" hidden="0" customWidth="1"/>
    <x:col min="31" max="31" width="28" hidden="0" customWidth="1"/>
    <x:col min="32" max="32" width="72" hidden="0" customWidth="1"/>
    <x:col min="33" max="33" width="34" hidden="0" customWidth="1"/>
    <x:col min="34" max="34" width="43" hidden="0" customWidth="1"/>
    <x:col min="35" max="35" width="16" hidden="0" customWidth="1"/>
    <x:col min="36" max="36" width="22" hidden="0" customWidth="1"/>
    <x:col min="37" max="37" width="24" hidden="0" customWidth="1"/>
    <x:col min="38" max="38" width="64" hidden="0" customWidth="1"/>
    <x:col min="39" max="39" width="14" hidden="0" customWidth="1"/>
    <x:col min="40" max="40" width="22" hidden="0" customWidth="1"/>
  </x:cols>
  <x:sheetData>
    <x:row r="1" ht="28" customHeight="1">
      <x:c r="A1" s="30" t="str">
        <x:v>PepAuDB v0.2 — Literature-Expanded, Training-Gated Records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  <x:c r="AA1" s="30"/>
      <x:c r="AB1" s="30"/>
      <x:c r="AC1" s="30"/>
      <x:c r="AD1" s="30"/>
      <x:c r="AE1" s="30"/>
      <x:c r="AF1" s="30"/>
      <x:c r="AG1" s="30"/>
      <x:c r="AH1" s="30"/>
      <x:c r="AI1" s="30"/>
      <x:c r="AJ1" s="30"/>
      <x:c r="AK1" s="30"/>
      <x:c r="AL1" s="30"/>
      <x:c r="AM1" s="30"/>
      <x:c r="AN1" s="30"/>
    </x:row>
    <x:row r="2" ht="18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</x:row>
    <x:row r="3" ht="32" customHeight="1">
      <x:c r="A3" s="35" t="str">
        <x:v>Record_ID</x:v>
      </x:c>
      <x:c r="B3" s="35" t="str">
        <x:v>Source_ID</x:v>
      </x:c>
      <x:c r="C3" s="35" t="str">
        <x:v>Evidence_Class</x:v>
      </x:c>
      <x:c r="D3" s="35" t="str">
        <x:v>Data_Status</x:v>
      </x:c>
      <x:c r="E3" s="35" t="str">
        <x:v>Material_Regime</x:v>
      </x:c>
      <x:c r="F3" s="35" t="str">
        <x:v>Peptide_or_Ligand</x:v>
      </x:c>
      <x:c r="G3" s="35" t="str">
        <x:v>Sequence</x:v>
      </x:c>
      <x:c r="H3" s="35" t="str">
        <x:v>Stereochemistry</x:v>
      </x:c>
      <x:c r="I3" s="35" t="str">
        <x:v>Terminal_or_Chemical_Modification</x:v>
      </x:c>
      <x:c r="J3" s="35" t="str">
        <x:v>Au_Nuclearity</x:v>
      </x:c>
      <x:c r="K3" s="35" t="str">
        <x:v>Ligand_Count</x:v>
      </x:c>
      <x:c r="L3" s="35" t="str">
        <x:v>Core_Size_nm</x:v>
      </x:c>
      <x:c r="M3" s="35" t="str">
        <x:v>Hydrodynamic_Size_nm</x:v>
      </x:c>
      <x:c r="N3" s="35" t="str">
        <x:v>Morphology</x:v>
      </x:c>
      <x:c r="O3" s="35" t="str">
        <x:v>Au_Precursor</x:v>
      </x:c>
      <x:c r="P3" s="35" t="str">
        <x:v>Peptide_or_Ligand_Condition</x:v>
      </x:c>
      <x:c r="Q3" s="35" t="str">
        <x:v>Reducing_Agent</x:v>
      </x:c>
      <x:c r="R3" s="35" t="str">
        <x:v>pH</x:v>
      </x:c>
      <x:c r="S3" s="35" t="str">
        <x:v>Temperature_C</x:v>
      </x:c>
      <x:c r="T3" s="35" t="str">
        <x:v>Time_h</x:v>
      </x:c>
      <x:c r="U3" s="35" t="str">
        <x:v>Mixing_or_Process</x:v>
      </x:c>
      <x:c r="V3" s="35" t="str">
        <x:v>Emission_Peak_nm</x:v>
      </x:c>
      <x:c r="W3" s="35" t="str">
        <x:v>Emission_Range_nm</x:v>
      </x:c>
      <x:c r="X3" s="35" t="str">
        <x:v>PLQY_pct</x:v>
      </x:c>
      <x:c r="Y3" s="35" t="str">
        <x:v>Absorption_or_LSPR_nm</x:v>
      </x:c>
      <x:c r="Z3" s="35" t="str">
        <x:v>Zeta_mV</x:v>
      </x:c>
      <x:c r="AA3" s="35" t="str">
        <x:v>Laser_nm</x:v>
      </x:c>
      <x:c r="AB3" s="35" t="str">
        <x:v>Laser_Power_W_cm2</x:v>
      </x:c>
      <x:c r="AC3" s="35" t="str">
        <x:v>PTT_Temperature_C</x:v>
      </x:c>
      <x:c r="AD3" s="35" t="str">
        <x:v>PTT_Time_min</x:v>
      </x:c>
      <x:c r="AE3" s="35" t="str">
        <x:v>Application</x:v>
      </x:c>
      <x:c r="AF3" s="35" t="str">
        <x:v>Key_Observation</x:v>
      </x:c>
      <x:c r="AG3" s="35" t="str">
        <x:v>Source_Locator</x:v>
      </x:c>
      <x:c r="AH3" s="35" t="str">
        <x:v>DOI_URL</x:v>
      </x:c>
      <x:c r="AI3" s="35" t="str">
        <x:v>Key_Field_Completeness_pct</x:v>
      </x:c>
      <x:c r="AJ3" s="35" t="str">
        <x:v>Training_Eligibility</x:v>
      </x:c>
      <x:c r="AK3" s="35" t="str">
        <x:v>Sequence_Status</x:v>
      </x:c>
      <x:c r="AL3" s="35" t="str">
        <x:v>QC_Flag</x:v>
      </x:c>
      <x:c r="AM3" s="35" t="str">
        <x:v>Research_Date</x:v>
      </x:c>
      <x:c r="AN3" s="35" t="str">
        <x:v>Source_Type</x:v>
      </x:c>
    </x:row>
    <x:row r="4" ht="18" customHeight="1">
      <x:c r="A4" s="20" t="str">
        <x:v>R001</x:v>
      </x:c>
      <x:c r="B4" s="20" t="str">
        <x:v>S01</x:v>
      </x:c>
      <x:c r="C4" s="20" t="str">
        <x:v>B1 PEPTIDE_AUNP_MECHANISM</x:v>
      </x:c>
      <x:c r="D4" s="20" t="str">
        <x:v>DIRECT</x:v>
      </x:c>
      <x:c r="E4" s="20" t="str">
        <x:v>gold_nanoparticle</x:v>
      </x:c>
      <x:c r="F4" s="20" t="str">
        <x:v>AAAKCK</x:v>
      </x:c>
      <x:c r="G4" s="20" t="str">
        <x:v>AAAKCK</x:v>
      </x:c>
      <x:c r="H4" s="20" t="str">
        <x:v>L</x:v>
      </x:c>
      <x:c r="I4" s="20" t="str">
        <x:v>None</x:v>
      </x:c>
      <x:c r="J4" s="20"/>
      <x:c r="K4" s="20"/>
      <x:c r="L4" s="20"/>
      <x:c r="M4" s="20"/>
      <x:c r="N4" s="20" t="str">
        <x:v>Mostly icosahedron/decahedron; some hexagonal plates</x:v>
      </x:c>
      <x:c r="O4" s="20" t="str">
        <x:v>HAuCl4</x:v>
      </x:c>
      <x:c r="P4" s="20" t="str">
        <x:v>7 mM peptide; 10 mM HAuCl4; 20 mM phosphate buffer</x:v>
      </x:c>
      <x:c r="Q4" s="20" t="str">
        <x:v>Peptide self-reduction</x:v>
      </x:c>
      <x:c r="R4" s="20" t="n">
        <x:v>4</x:v>
      </x:c>
      <x:c r="S4" s="20" t="n">
        <x:v>25</x:v>
      </x:c>
      <x:c r="T4" s="20"/>
      <x:c r="U4" s="20" t="str">
        <x:v>No stirring; room temperature</x:v>
      </x:c>
      <x:c r="V4" s="20"/>
      <x:c r="W4" s="20"/>
      <x:c r="X4" s="20"/>
      <x:c r="Y4" s="20"/>
      <x:c r="Z4" s="20"/>
      <x:c r="AA4" s="20"/>
      <x:c r="AB4" s="20"/>
      <x:c r="AC4" s="20"/>
      <x:c r="AD4" s="20"/>
      <x:c r="AE4" s="20" t="str">
        <x:v>Mechanistic</x:v>
      </x:c>
      <x:c r="AF4" s="20" t="str">
        <x:v>pH 4: 71.4% icosahedron/decahedron; size ranges 55–90, 50–100 and 65–125 nm for icosahedron/decahedron/plates</x:v>
      </x:c>
      <x:c r="AG4" s="20" t="str">
        <x:v>Main text p.5; Fig.6</x:v>
      </x:c>
      <x:c r="AH4" s="20" t="str">
        <x:v>https://doi.org/10.1021/acsomega.6b00140</x:v>
      </x:c>
      <x:c r="AI4" s="24" t="n">
        <x:f>ROUND(100*COUNTA(G4,J4,L4,R4,S4,T4,V4,X4,AA4,AC4)/10,0)</x:f>
        <x:v>30</x:v>
      </x:c>
      <x:c r="AJ4" s="20" t="str">
        <x:v>MECHANISTIC_ONLY</x:v>
      </x:c>
      <x:c r="AK4" s="20" t="str">
        <x:v>EXACT_FROM_UPLOADED_PRIMARY</x:v>
      </x:c>
      <x:c r="AL4" s="20" t="str">
        <x:v>Cross-regime peptide→gold mechanism; not an atomically precise AuNC training target.</x:v>
      </x:c>
      <x:c r="AM4" s="20" t="str">
        <x:v>2026-09-07</x:v>
      </x:c>
      <x:c r="AN4" s="20" t="str">
        <x:v>UPLOADED_PRIMARY_OR_REVIEW</x:v>
      </x:c>
    </x:row>
    <x:row r="5" ht="18" customHeight="1">
      <x:c r="A5" s="20" t="str">
        <x:v>R002</x:v>
      </x:c>
      <x:c r="B5" s="20" t="str">
        <x:v>S01</x:v>
      </x:c>
      <x:c r="C5" s="20" t="str">
        <x:v>B1 PEPTIDE_AUNP_MECHANISM</x:v>
      </x:c>
      <x:c r="D5" s="20" t="str">
        <x:v>DIRECT</x:v>
      </x:c>
      <x:c r="E5" s="20" t="str">
        <x:v>gold_nanoparticle</x:v>
      </x:c>
      <x:c r="F5" s="20" t="str">
        <x:v>AAAKCK</x:v>
      </x:c>
      <x:c r="G5" s="20" t="str">
        <x:v>AAAKCK</x:v>
      </x:c>
      <x:c r="H5" s="20" t="str">
        <x:v>L</x:v>
      </x:c>
      <x:c r="I5" s="20" t="str">
        <x:v>None</x:v>
      </x:c>
      <x:c r="J5" s="20"/>
      <x:c r="K5" s="20"/>
      <x:c r="L5" s="20"/>
      <x:c r="M5" s="20"/>
      <x:c r="N5" s="20" t="str">
        <x:v>Mixed; icosahedron/decahedron + bipyramids/spheres/plates</x:v>
      </x:c>
      <x:c r="O5" s="20" t="str">
        <x:v>HAuCl4</x:v>
      </x:c>
      <x:c r="P5" s="20" t="str">
        <x:v>7 mM peptide; 10 mM HAuCl4; 20 mM phosphate buffer</x:v>
      </x:c>
      <x:c r="Q5" s="20" t="str">
        <x:v>Peptide self-reduction</x:v>
      </x:c>
      <x:c r="R5" s="20" t="n">
        <x:v>6</x:v>
      </x:c>
      <x:c r="S5" s="20" t="n">
        <x:v>25</x:v>
      </x:c>
      <x:c r="T5" s="20"/>
      <x:c r="U5" s="20" t="str">
        <x:v>No stirring; room temperature</x:v>
      </x:c>
      <x:c r="V5" s="20"/>
      <x:c r="W5" s="20"/>
      <x:c r="X5" s="20"/>
      <x:c r="Y5" s="20"/>
      <x:c r="Z5" s="20"/>
      <x:c r="AA5" s="20"/>
      <x:c r="AB5" s="20"/>
      <x:c r="AC5" s="20"/>
      <x:c r="AD5" s="20"/>
      <x:c r="AE5" s="20" t="str">
        <x:v>Mechanistic</x:v>
      </x:c>
      <x:c r="AF5" s="20" t="str">
        <x:v>pH 6 reduces many size ranges vs pH 4; spherical/bipyramidal forms appear</x:v>
      </x:c>
      <x:c r="AG5" s="20" t="str">
        <x:v>Main text p.5; Fig.6</x:v>
      </x:c>
      <x:c r="AH5" s="20" t="str">
        <x:v>https://doi.org/10.1021/acsomega.6b00140</x:v>
      </x:c>
      <x:c r="AI5" s="24" t="n">
        <x:f>ROUND(100*COUNTA(G5,J5,L5,R5,S5,T5,V5,X5,AA5,AC5)/10,0)</x:f>
        <x:v>30</x:v>
      </x:c>
      <x:c r="AJ5" s="20" t="str">
        <x:v>MECHANISTIC_ONLY</x:v>
      </x:c>
      <x:c r="AK5" s="20" t="str">
        <x:v>EXACT_FROM_UPLOADED_PRIMARY</x:v>
      </x:c>
      <x:c r="AL5" s="20" t="str">
        <x:v>Cross-regime peptide→gold mechanism; not an atomically precise AuNC training target.</x:v>
      </x:c>
      <x:c r="AM5" s="20" t="str">
        <x:v>2026-09-07</x:v>
      </x:c>
      <x:c r="AN5" s="20" t="str">
        <x:v>UPLOADED_PRIMARY_OR_REVIEW</x:v>
      </x:c>
    </x:row>
    <x:row r="6" ht="18" customHeight="1">
      <x:c r="A6" s="20" t="str">
        <x:v>R003</x:v>
      </x:c>
      <x:c r="B6" s="20" t="str">
        <x:v>S01</x:v>
      </x:c>
      <x:c r="C6" s="20" t="str">
        <x:v>B1 PEPTIDE_AUNP_MECHANISM</x:v>
      </x:c>
      <x:c r="D6" s="20" t="str">
        <x:v>DIRECT</x:v>
      </x:c>
      <x:c r="E6" s="20" t="str">
        <x:v>gold_nanoparticle</x:v>
      </x:c>
      <x:c r="F6" s="20" t="str">
        <x:v>AAAKCK</x:v>
      </x:c>
      <x:c r="G6" s="20" t="str">
        <x:v>AAAKCK</x:v>
      </x:c>
      <x:c r="H6" s="20" t="str">
        <x:v>L</x:v>
      </x:c>
      <x:c r="I6" s="20" t="str">
        <x:v>None</x:v>
      </x:c>
      <x:c r="J6" s="20"/>
      <x:c r="K6" s="20"/>
      <x:c r="L6" s="20" t="n">
        <x:v>18</x:v>
      </x:c>
      <x:c r="M6" s="20"/>
      <x:c r="N6" s="20" t="str">
        <x:v>Predominantly spherical / low shape polydispersity</x:v>
      </x:c>
      <x:c r="O6" s="20" t="str">
        <x:v>HAuCl4</x:v>
      </x:c>
      <x:c r="P6" s="20" t="str">
        <x:v>7 mM peptide; 10 mM HAuCl4; 20 mM phosphate buffer</x:v>
      </x:c>
      <x:c r="Q6" s="20" t="str">
        <x:v>Peptide self-reduction</x:v>
      </x:c>
      <x:c r="R6" s="20" t="n">
        <x:v>9</x:v>
      </x:c>
      <x:c r="S6" s="20" t="n">
        <x:v>25</x:v>
      </x:c>
      <x:c r="T6" s="20"/>
      <x:c r="U6" s="20" t="str">
        <x:v>No stirring; room temperature</x:v>
      </x:c>
      <x:c r="V6" s="20"/>
      <x:c r="W6" s="20"/>
      <x:c r="X6" s="20"/>
      <x:c r="Y6" s="20"/>
      <x:c r="Z6" s="20"/>
      <x:c r="AA6" s="20"/>
      <x:c r="AB6" s="20"/>
      <x:c r="AC6" s="20"/>
      <x:c r="AD6" s="20"/>
      <x:c r="AE6" s="20" t="str">
        <x:v>Mechanistic</x:v>
      </x:c>
      <x:c r="AF6" s="20" t="str">
        <x:v>pH 9 produced low shape polydispersity with predominant ~18 nm particles</x:v>
      </x:c>
      <x:c r="AG6" s="20" t="str">
        <x:v>Main text p.5; Fig.6F</x:v>
      </x:c>
      <x:c r="AH6" s="20" t="str">
        <x:v>https://doi.org/10.1021/acsomega.6b00140</x:v>
      </x:c>
      <x:c r="AI6" s="24" t="n">
        <x:f>ROUND(100*COUNTA(G6,J6,L6,R6,S6,T6,V6,X6,AA6,AC6)/10,0)</x:f>
        <x:v>40</x:v>
      </x:c>
      <x:c r="AJ6" s="20" t="str">
        <x:v>MECHANISTIC_ONLY</x:v>
      </x:c>
      <x:c r="AK6" s="20" t="str">
        <x:v>EXACT_FROM_UPLOADED_PRIMARY</x:v>
      </x:c>
      <x:c r="AL6" s="20" t="str">
        <x:v>Cross-regime peptide→gold mechanism; not an atomically precise AuNC training target.</x:v>
      </x:c>
      <x:c r="AM6" s="20" t="str">
        <x:v>2026-09-07</x:v>
      </x:c>
      <x:c r="AN6" s="20" t="str">
        <x:v>UPLOADED_PRIMARY_OR_REVIEW</x:v>
      </x:c>
    </x:row>
    <x:row r="7" ht="18" customHeight="1">
      <x:c r="A7" s="20" t="str">
        <x:v>R004</x:v>
      </x:c>
      <x:c r="B7" s="20" t="str">
        <x:v>S01</x:v>
      </x:c>
      <x:c r="C7" s="20" t="str">
        <x:v>B1 PEPTIDE_AUNP_MECHANISM</x:v>
      </x:c>
      <x:c r="D7" s="20" t="str">
        <x:v>DIRECT</x:v>
      </x:c>
      <x:c r="E7" s="20" t="str">
        <x:v>gold_nanoparticle</x:v>
      </x:c>
      <x:c r="F7" s="20" t="str">
        <x:v>AAARCR</x:v>
      </x:c>
      <x:c r="G7" s="20" t="str">
        <x:v>AAARCR</x:v>
      </x:c>
      <x:c r="H7" s="20" t="str">
        <x:v>L</x:v>
      </x:c>
      <x:c r="I7" s="20" t="str">
        <x:v>None</x:v>
      </x:c>
      <x:c r="J7" s="20"/>
      <x:c r="K7" s="20"/>
      <x:c r="L7" s="20" t="n">
        <x:v>79</x:v>
      </x:c>
      <x:c r="M7" s="20"/>
      <x:c r="N7" s="20" t="str">
        <x:v>Low-polydispersity particles</x:v>
      </x:c>
      <x:c r="O7" s="20" t="str">
        <x:v>HAuCl4</x:v>
      </x:c>
      <x:c r="P7" s="20" t="str">
        <x:v>Same base protocol as alkaline peptide experiments</x:v>
      </x:c>
      <x:c r="Q7" s="20" t="str">
        <x:v>Peptide self-reduction</x:v>
      </x:c>
      <x:c r="R7" s="20" t="n">
        <x:v>9</x:v>
      </x:c>
      <x:c r="S7" s="20" t="n">
        <x:v>25</x:v>
      </x:c>
      <x:c r="T7" s="20"/>
      <x:c r="U7" s="20" t="str">
        <x:v>No stirring; room temperature</x:v>
      </x:c>
      <x:c r="V7" s="20"/>
      <x:c r="W7" s="20"/>
      <x:c r="X7" s="20"/>
      <x:c r="Y7" s="20" t="n">
        <x:v>536</x:v>
      </x:c>
      <x:c r="Z7" s="20" t="n">
        <x:v>30.4</x:v>
      </x:c>
      <x:c r="AA7" s="20"/>
      <x:c r="AB7" s="20"/>
      <x:c r="AC7" s="20"/>
      <x:c r="AD7" s="20"/>
      <x:c r="AE7" s="20" t="str">
        <x:v>Mechanistic</x:v>
      </x:c>
      <x:c r="AF7" s="20" t="str">
        <x:v>Alkaline pH favored AAARCR synthesis; mean diameter 79±6 nm reported for pH 9–10</x:v>
      </x:c>
      <x:c r="AG7" s="20" t="str">
        <x:v>Main text p.7–8; Fig.11</x:v>
      </x:c>
      <x:c r="AH7" s="20" t="str">
        <x:v>https://doi.org/10.1021/acsomega.6b00140</x:v>
      </x:c>
      <x:c r="AI7" s="24" t="n">
        <x:f>ROUND(100*COUNTA(G7,J7,L7,R7,S7,T7,V7,X7,AA7,AC7)/10,0)</x:f>
        <x:v>40</x:v>
      </x:c>
      <x:c r="AJ7" s="20" t="str">
        <x:v>MECHANISTIC_ONLY</x:v>
      </x:c>
      <x:c r="AK7" s="20" t="str">
        <x:v>EXACT_FROM_UPLOADED_PRIMARY</x:v>
      </x:c>
      <x:c r="AL7" s="20" t="str">
        <x:v>Cross-regime peptide→gold mechanism; not an atomically precise AuNC training target.</x:v>
      </x:c>
      <x:c r="AM7" s="20" t="str">
        <x:v>2026-09-07</x:v>
      </x:c>
      <x:c r="AN7" s="20" t="str">
        <x:v>UPLOADED_PRIMARY_OR_REVIEW</x:v>
      </x:c>
    </x:row>
    <x:row r="8" ht="18" customHeight="1">
      <x:c r="A8" s="20" t="str">
        <x:v>R005</x:v>
      </x:c>
      <x:c r="B8" s="20" t="str">
        <x:v>S01</x:v>
      </x:c>
      <x:c r="C8" s="20" t="str">
        <x:v>B1 PEPTIDE_AUNP_MECHANISM</x:v>
      </x:c>
      <x:c r="D8" s="20" t="str">
        <x:v>DIRECT</x:v>
      </x:c>
      <x:c r="E8" s="20" t="str">
        <x:v>gold_nanoparticle</x:v>
      </x:c>
      <x:c r="F8" s="20" t="str">
        <x:v>AAARCR</x:v>
      </x:c>
      <x:c r="G8" s="20" t="str">
        <x:v>AAARCR</x:v>
      </x:c>
      <x:c r="H8" s="20" t="str">
        <x:v>L</x:v>
      </x:c>
      <x:c r="I8" s="20" t="str">
        <x:v>None</x:v>
      </x:c>
      <x:c r="J8" s="20"/>
      <x:c r="K8" s="20"/>
      <x:c r="L8" s="20" t="n">
        <x:v>79</x:v>
      </x:c>
      <x:c r="M8" s="20"/>
      <x:c r="N8" s="20" t="str">
        <x:v>Low-polydispersity particles</x:v>
      </x:c>
      <x:c r="O8" s="20" t="str">
        <x:v>HAuCl4</x:v>
      </x:c>
      <x:c r="P8" s="20" t="str">
        <x:v>Same base protocol as alkaline peptide experiments</x:v>
      </x:c>
      <x:c r="Q8" s="20" t="str">
        <x:v>Peptide self-reduction</x:v>
      </x:c>
      <x:c r="R8" s="20" t="n">
        <x:v>10</x:v>
      </x:c>
      <x:c r="S8" s="20" t="n">
        <x:v>25</x:v>
      </x:c>
      <x:c r="T8" s="20"/>
      <x:c r="U8" s="20" t="str">
        <x:v>No stirring; room temperature</x:v>
      </x:c>
      <x:c r="V8" s="20"/>
      <x:c r="W8" s="20"/>
      <x:c r="X8" s="20"/>
      <x:c r="Y8" s="20" t="n">
        <x:v>536</x:v>
      </x:c>
      <x:c r="Z8" s="20" t="n">
        <x:v>33.2</x:v>
      </x:c>
      <x:c r="AA8" s="20"/>
      <x:c r="AB8" s="20"/>
      <x:c r="AC8" s="20"/>
      <x:c r="AD8" s="20"/>
      <x:c r="AE8" s="20" t="str">
        <x:v>Mechanistic</x:v>
      </x:c>
      <x:c r="AF8" s="20" t="str">
        <x:v>Narrow SPR ~536 nm; mean diameter 79±6 nm; positive zeta potential</x:v>
      </x:c>
      <x:c r="AG8" s="20" t="str">
        <x:v>Main text p.7–8; Fig.11</x:v>
      </x:c>
      <x:c r="AH8" s="20" t="str">
        <x:v>https://doi.org/10.1021/acsomega.6b00140</x:v>
      </x:c>
      <x:c r="AI8" s="24" t="n">
        <x:f>ROUND(100*COUNTA(G8,J8,L8,R8,S8,T8,V8,X8,AA8,AC8)/10,0)</x:f>
        <x:v>40</x:v>
      </x:c>
      <x:c r="AJ8" s="20" t="str">
        <x:v>MECHANISTIC_ONLY</x:v>
      </x:c>
      <x:c r="AK8" s="20" t="str">
        <x:v>EXACT_FROM_UPLOADED_PRIMARY</x:v>
      </x:c>
      <x:c r="AL8" s="20" t="str">
        <x:v>Cross-regime peptide→gold mechanism; not an atomically precise AuNC training target.</x:v>
      </x:c>
      <x:c r="AM8" s="20" t="str">
        <x:v>2026-09-07</x:v>
      </x:c>
      <x:c r="AN8" s="20" t="str">
        <x:v>UPLOADED_PRIMARY_OR_REVIEW</x:v>
      </x:c>
    </x:row>
    <x:row r="9" ht="18" customHeight="1">
      <x:c r="A9" s="20" t="str">
        <x:v>R006</x:v>
      </x:c>
      <x:c r="B9" s="20" t="str">
        <x:v>S01</x:v>
      </x:c>
      <x:c r="C9" s="20" t="str">
        <x:v>B1 PEPTIDE_AUNP_MECHANISM</x:v>
      </x:c>
      <x:c r="D9" s="20" t="str">
        <x:v>DIRECT</x:v>
      </x:c>
      <x:c r="E9" s="20" t="str">
        <x:v>gold_nanoparticle</x:v>
      </x:c>
      <x:c r="F9" s="20" t="str">
        <x:v>AAAACA</x:v>
      </x:c>
      <x:c r="G9" s="20" t="str">
        <x:v>AAAACA</x:v>
      </x:c>
      <x:c r="H9" s="20" t="str">
        <x:v>L</x:v>
      </x:c>
      <x:c r="I9" s="20" t="str">
        <x:v>PEG10 required</x:v>
      </x:c>
      <x:c r="J9" s="20"/>
      <x:c r="K9" s="20"/>
      <x:c r="L9" s="20"/>
      <x:c r="M9" s="20"/>
      <x:c r="N9" s="20" t="str">
        <x:v>GNP formation</x:v>
      </x:c>
      <x:c r="O9" s="20" t="str">
        <x:v>HAuCl4</x:v>
      </x:c>
      <x:c r="P9" s="20" t="str">
        <x:v>PEG10 present</x:v>
      </x:c>
      <x:c r="Q9" s="20" t="str">
        <x:v>Peptide + PEG-assisted</x:v>
      </x:c>
      <x:c r="R9" s="20" t="n">
        <x:v>8</x:v>
      </x:c>
      <x:c r="S9" s="20" t="n">
        <x:v>25</x:v>
      </x:c>
      <x:c r="T9" s="20"/>
      <x:c r="U9" s="20" t="str">
        <x:v>Room temperature</x:v>
      </x:c>
      <x:c r="V9" s="20"/>
      <x:c r="W9" s="20"/>
      <x:c r="X9" s="20"/>
      <x:c r="Y9" s="20"/>
      <x:c r="Z9" s="20"/>
      <x:c r="AA9" s="20"/>
      <x:c r="AB9" s="20"/>
      <x:c r="AC9" s="20"/>
      <x:c r="AD9" s="20"/>
      <x:c r="AE9" s="20" t="str">
        <x:v>Mechanistic</x:v>
      </x:c>
      <x:c r="AF9" s="20" t="str">
        <x:v>Neutral peptide required PEG10; GNP synthesis at pH 8 and 11</x:v>
      </x:c>
      <x:c r="AG9" s="20" t="str">
        <x:v>Main text p.8 + SI</x:v>
      </x:c>
      <x:c r="AH9" s="20" t="str">
        <x:v>https://doi.org/10.1021/acsomega.6b00140</x:v>
      </x:c>
      <x:c r="AI9" s="24" t="n">
        <x:f>ROUND(100*COUNTA(G9,J9,L9,R9,S9,T9,V9,X9,AA9,AC9)/10,0)</x:f>
        <x:v>30</x:v>
      </x:c>
      <x:c r="AJ9" s="20" t="str">
        <x:v>MECHANISTIC_ONLY</x:v>
      </x:c>
      <x:c r="AK9" s="20" t="str">
        <x:v>EXACT_FROM_UPLOADED_PRIMARY</x:v>
      </x:c>
      <x:c r="AL9" s="20" t="str">
        <x:v>Cross-regime peptide→gold mechanism; not an atomically precise AuNC training target.</x:v>
      </x:c>
      <x:c r="AM9" s="20" t="str">
        <x:v>2026-09-07</x:v>
      </x:c>
      <x:c r="AN9" s="20" t="str">
        <x:v>UPLOADED_PRIMARY_OR_REVIEW</x:v>
      </x:c>
    </x:row>
    <x:row r="10" ht="18" customHeight="1">
      <x:c r="A10" s="20" t="str">
        <x:v>R007</x:v>
      </x:c>
      <x:c r="B10" s="20" t="str">
        <x:v>S01</x:v>
      </x:c>
      <x:c r="C10" s="20" t="str">
        <x:v>B1 PEPTIDE_AUNP_MECHANISM</x:v>
      </x:c>
      <x:c r="D10" s="20" t="str">
        <x:v>DIRECT</x:v>
      </x:c>
      <x:c r="E10" s="20" t="str">
        <x:v>gold_nanoparticle</x:v>
      </x:c>
      <x:c r="F10" s="20" t="str">
        <x:v>AAAECE</x:v>
      </x:c>
      <x:c r="G10" s="20" t="str">
        <x:v>AAAECE</x:v>
      </x:c>
      <x:c r="H10" s="20" t="str">
        <x:v>L</x:v>
      </x:c>
      <x:c r="I10" s="20" t="str">
        <x:v>PEG10 required</x:v>
      </x:c>
      <x:c r="J10" s="20"/>
      <x:c r="K10" s="20"/>
      <x:c r="L10" s="20"/>
      <x:c r="M10" s="20"/>
      <x:c r="N10" s="20" t="str">
        <x:v>GNP formation</x:v>
      </x:c>
      <x:c r="O10" s="20" t="str">
        <x:v>HAuCl4</x:v>
      </x:c>
      <x:c r="P10" s="20" t="str">
        <x:v>PEG10 present</x:v>
      </x:c>
      <x:c r="Q10" s="20" t="str">
        <x:v>Peptide + PEG-assisted</x:v>
      </x:c>
      <x:c r="R10" s="20" t="n">
        <x:v>7</x:v>
      </x:c>
      <x:c r="S10" s="20" t="n">
        <x:v>80</x:v>
      </x:c>
      <x:c r="T10" s="20"/>
      <x:c r="U10" s="20" t="str">
        <x:v>Heating required</x:v>
      </x:c>
      <x:c r="V10" s="20"/>
      <x:c r="W10" s="20"/>
      <x:c r="X10" s="20"/>
      <x:c r="Y10" s="20"/>
      <x:c r="Z10" s="20"/>
      <x:c r="AA10" s="20"/>
      <x:c r="AB10" s="20"/>
      <x:c r="AC10" s="20"/>
      <x:c r="AD10" s="20"/>
      <x:c r="AE10" s="20" t="str">
        <x:v>Mechanistic</x:v>
      </x:c>
      <x:c r="AF10" s="20" t="str">
        <x:v>Acidic peptide required PEG10 and 80°C; synthesis observed at pH 7 and 11</x:v>
      </x:c>
      <x:c r="AG10" s="20" t="str">
        <x:v>Main text p.8 + SI</x:v>
      </x:c>
      <x:c r="AH10" s="20" t="str">
        <x:v>https://doi.org/10.1021/acsomega.6b00140</x:v>
      </x:c>
      <x:c r="AI10" s="24" t="n">
        <x:f>ROUND(100*COUNTA(G10,J10,L10,R10,S10,T10,V10,X10,AA10,AC10)/10,0)</x:f>
        <x:v>30</x:v>
      </x:c>
      <x:c r="AJ10" s="20" t="str">
        <x:v>MECHANISTIC_ONLY</x:v>
      </x:c>
      <x:c r="AK10" s="20" t="str">
        <x:v>EXACT_FROM_UPLOADED_PRIMARY</x:v>
      </x:c>
      <x:c r="AL10" s="20" t="str">
        <x:v>Cross-regime peptide→gold mechanism; not an atomically precise AuNC training target.</x:v>
      </x:c>
      <x:c r="AM10" s="20" t="str">
        <x:v>2026-09-07</x:v>
      </x:c>
      <x:c r="AN10" s="20" t="str">
        <x:v>UPLOADED_PRIMARY_OR_REVIEW</x:v>
      </x:c>
    </x:row>
    <x:row r="11" ht="18" customHeight="1">
      <x:c r="A11" s="20" t="str">
        <x:v>R008</x:v>
      </x:c>
      <x:c r="B11" s="20" t="str">
        <x:v>S01</x:v>
      </x:c>
      <x:c r="C11" s="20" t="str">
        <x:v>B1 PEPTIDE_AUNP_MECHANISM</x:v>
      </x:c>
      <x:c r="D11" s="20" t="str">
        <x:v>DIRECT</x:v>
      </x:c>
      <x:c r="E11" s="20" t="str">
        <x:v>gold_nanoparticle</x:v>
      </x:c>
      <x:c r="F11" s="20" t="str">
        <x:v>Glutathione (GSH)</x:v>
      </x:c>
      <x:c r="G11" s="20" t="str">
        <x:v>γ-ECG</x:v>
      </x:c>
      <x:c r="H11" s="20" t="str">
        <x:v>L</x:v>
      </x:c>
      <x:c r="I11" s="20" t="str">
        <x:v>PEG10 required</x:v>
      </x:c>
      <x:c r="J11" s="20"/>
      <x:c r="K11" s="20"/>
      <x:c r="L11" s="20"/>
      <x:c r="M11" s="20"/>
      <x:c r="N11" s="20" t="str">
        <x:v>GNP formation</x:v>
      </x:c>
      <x:c r="O11" s="20" t="str">
        <x:v>HAuCl4</x:v>
      </x:c>
      <x:c r="P11" s="20" t="str">
        <x:v>PEG10 present</x:v>
      </x:c>
      <x:c r="Q11" s="20" t="str">
        <x:v>Peptide + PEG-assisted</x:v>
      </x:c>
      <x:c r="R11" s="20" t="n">
        <x:v>11</x:v>
      </x:c>
      <x:c r="S11" s="20" t="n">
        <x:v>80</x:v>
      </x:c>
      <x:c r="T11" s="20"/>
      <x:c r="U11" s="20" t="str">
        <x:v>Heating required</x:v>
      </x:c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 t="str">
        <x:v>Mechanistic</x:v>
      </x:c>
      <x:c r="AF11" s="20" t="str">
        <x:v>GSH required PEG10 + 80°C and produced GNPs only at pH 11 in this study</x:v>
      </x:c>
      <x:c r="AG11" s="20" t="str">
        <x:v>Main text p.8 + SI</x:v>
      </x:c>
      <x:c r="AH11" s="20" t="str">
        <x:v>https://doi.org/10.1021/acsomega.6b00140</x:v>
      </x:c>
      <x:c r="AI11" s="24" t="n">
        <x:f>ROUND(100*COUNTA(G11,J11,L11,R11,S11,T11,V11,X11,AA11,AC11)/10,0)</x:f>
        <x:v>30</x:v>
      </x:c>
      <x:c r="AJ11" s="20" t="str">
        <x:v>MECHANISTIC_ONLY</x:v>
      </x:c>
      <x:c r="AK11" s="20" t="str">
        <x:v>EXACT_FROM_UPLOADED_PRIMARY</x:v>
      </x:c>
      <x:c r="AL11" s="20" t="str">
        <x:v>Cross-regime peptide→gold mechanism; not an atomically precise AuNC training target.</x:v>
      </x:c>
      <x:c r="AM11" s="20" t="str">
        <x:v>2026-09-07</x:v>
      </x:c>
      <x:c r="AN11" s="20" t="str">
        <x:v>UPLOADED_PRIMARY_OR_REVIEW</x:v>
      </x:c>
    </x:row>
    <x:row r="12" ht="18" customHeight="1">
      <x:c r="A12" s="20" t="str">
        <x:v>R009</x:v>
      </x:c>
      <x:c r="B12" s="20" t="str">
        <x:v>S02</x:v>
      </x:c>
      <x:c r="C12" s="20" t="str">
        <x:v>B1 PEPTIDE_AUNP_MECHANISM</x:v>
      </x:c>
      <x:c r="D12" s="20" t="str">
        <x:v>DIRECT</x:v>
      </x:c>
      <x:c r="E12" s="20" t="str">
        <x:v>gold_bipyramid</x:v>
      </x:c>
      <x:c r="F12" s="20" t="str">
        <x:v>D-Cys-Phe</x:v>
      </x:c>
      <x:c r="G12" s="20" t="str">
        <x:v>CF</x:v>
      </x:c>
      <x:c r="H12" s="20" t="str">
        <x:v>D</x:v>
      </x:c>
      <x:c r="I12" s="20" t="str">
        <x:v>Chiral D peptide; SH-PEG surface stabilization</x:v>
      </x:c>
      <x:c r="J12" s="20"/>
      <x:c r="K12" s="20"/>
      <x:c r="L12" s="20"/>
      <x:c r="M12" s="20"/>
      <x:c r="N12" s="20" t="str">
        <x:v>Sea-cucumber-like spiked GBP; ~200×50 nm</x:v>
      </x:c>
      <x:c r="O12" s="20" t="str">
        <x:v>HAuCl4</x:v>
      </x:c>
      <x:c r="P12" s="20" t="str">
        <x:v>Seed-mediated growth with Cys-Phe</x:v>
      </x:c>
      <x:c r="Q12" s="20" t="str">
        <x:v>Ascorbic acid</x:v>
      </x:c>
      <x:c r="R12" s="20"/>
      <x:c r="S12" s="20"/>
      <x:c r="T12" s="20"/>
      <x:c r="U12" s="20" t="str">
        <x:v>~100 nm Au NBP seeds; aqueous growth</x:v>
      </x:c>
      <x:c r="V12" s="20"/>
      <x:c r="W12" s="20"/>
      <x:c r="X12" s="20"/>
      <x:c r="Y12" s="20" t="n">
        <x:v>536</x:v>
      </x:c>
      <x:c r="Z12" s="20"/>
      <x:c r="AA12" s="20" t="n">
        <x:v>808</x:v>
      </x:c>
      <x:c r="AB12" s="20" t="n">
        <x:v>0.8</x:v>
      </x:c>
      <x:c r="AC12" s="20" t="str">
        <x:v>&gt;45</x:v>
      </x:c>
      <x:c r="AD12" s="20" t="n">
        <x:v>5</x:v>
      </x:c>
      <x:c r="AE12" s="20" t="str">
        <x:v>Antibacterial PTT</x:v>
      </x:c>
      <x:c r="AF12" s="20" t="str">
        <x:v>D-form gave stronger bacterial binding and higher PTT response than L-form</x:v>
      </x:c>
      <x:c r="AG12" s="20" t="str">
        <x:v>Main text pp.2–4</x:v>
      </x:c>
      <x:c r="AH12" s="20" t="str">
        <x:v>https://doi.org/10.1039/d2sc03443c</x:v>
      </x:c>
      <x:c r="AI12" s="24" t="n">
        <x:f>ROUND(100*COUNTA(G12,J12,L12,R12,S12,T12,V12,X12,AA12,AC12)/10,0)</x:f>
        <x:v>30</x:v>
      </x:c>
      <x:c r="AJ12" s="20" t="str">
        <x:v>MECHANISTIC_ONLY</x:v>
      </x:c>
      <x:c r="AK12" s="20" t="str">
        <x:v>EXACT_FROM_UPLOADED_PRIMARY</x:v>
      </x:c>
      <x:c r="AL12" s="20" t="str">
        <x:v>Cross-regime peptide→gold mechanism; not an atomically precise AuNC training target.</x:v>
      </x:c>
      <x:c r="AM12" s="20" t="str">
        <x:v>2026-09-07</x:v>
      </x:c>
      <x:c r="AN12" s="20" t="str">
        <x:v>UPLOADED_PRIMARY_OR_REVIEW</x:v>
      </x:c>
    </x:row>
    <x:row r="13" ht="18" customHeight="1">
      <x:c r="A13" s="20" t="str">
        <x:v>R010</x:v>
      </x:c>
      <x:c r="B13" s="20" t="str">
        <x:v>S02</x:v>
      </x:c>
      <x:c r="C13" s="20" t="str">
        <x:v>B1 PEPTIDE_AUNP_MECHANISM</x:v>
      </x:c>
      <x:c r="D13" s="20" t="str">
        <x:v>DIRECT</x:v>
      </x:c>
      <x:c r="E13" s="20" t="str">
        <x:v>gold_bipyramid</x:v>
      </x:c>
      <x:c r="F13" s="20" t="str">
        <x:v>L-Cys-Phe</x:v>
      </x:c>
      <x:c r="G13" s="20" t="str">
        <x:v>CF</x:v>
      </x:c>
      <x:c r="H13" s="20" t="str">
        <x:v>L</x:v>
      </x:c>
      <x:c r="I13" s="20" t="str">
        <x:v>Chiral L peptide; SH-PEG surface stabilization</x:v>
      </x:c>
      <x:c r="J13" s="20"/>
      <x:c r="K13" s="20"/>
      <x:c r="L13" s="20"/>
      <x:c r="M13" s="20"/>
      <x:c r="N13" s="20" t="str">
        <x:v>Sea-cucumber-like spiked GBP; ~200×50 nm</x:v>
      </x:c>
      <x:c r="O13" s="20" t="str">
        <x:v>HAuCl4</x:v>
      </x:c>
      <x:c r="P13" s="20" t="str">
        <x:v>Seed-mediated growth with Cys-Phe</x:v>
      </x:c>
      <x:c r="Q13" s="20" t="str">
        <x:v>Ascorbic acid</x:v>
      </x:c>
      <x:c r="R13" s="20"/>
      <x:c r="S13" s="20"/>
      <x:c r="T13" s="20"/>
      <x:c r="U13" s="20" t="str">
        <x:v>~100 nm Au NBP seeds; aqueous growth</x:v>
      </x:c>
      <x:c r="V13" s="20"/>
      <x:c r="W13" s="20"/>
      <x:c r="X13" s="20"/>
      <x:c r="Y13" s="20" t="n">
        <x:v>536</x:v>
      </x:c>
      <x:c r="Z13" s="20"/>
      <x:c r="AA13" s="20" t="n">
        <x:v>808</x:v>
      </x:c>
      <x:c r="AB13" s="20" t="n">
        <x:v>0.8</x:v>
      </x:c>
      <x:c r="AC13" s="20" t="str">
        <x:v>&gt;45</x:v>
      </x:c>
      <x:c r="AD13" s="20" t="n">
        <x:v>5</x:v>
      </x:c>
      <x:c r="AE13" s="20" t="str">
        <x:v>Antibacterial PTT</x:v>
      </x:c>
      <x:c r="AF13" s="20" t="str">
        <x:v>L-form forms mirror-chiral GBP and has lower bacterial affinity than D-form</x:v>
      </x:c>
      <x:c r="AG13" s="20" t="str">
        <x:v>Main text pp.2–4</x:v>
      </x:c>
      <x:c r="AH13" s="20" t="str">
        <x:v>https://doi.org/10.1039/d2sc03443c</x:v>
      </x:c>
      <x:c r="AI13" s="24" t="n">
        <x:f>ROUND(100*COUNTA(G13,J13,L13,R13,S13,T13,V13,X13,AA13,AC13)/10,0)</x:f>
        <x:v>30</x:v>
      </x:c>
      <x:c r="AJ13" s="20" t="str">
        <x:v>MECHANISTIC_ONLY</x:v>
      </x:c>
      <x:c r="AK13" s="20" t="str">
        <x:v>EXACT_FROM_UPLOADED_PRIMARY</x:v>
      </x:c>
      <x:c r="AL13" s="20" t="str">
        <x:v>Cross-regime peptide→gold mechanism; not an atomically precise AuNC training target.</x:v>
      </x:c>
      <x:c r="AM13" s="20" t="str">
        <x:v>2026-09-07</x:v>
      </x:c>
      <x:c r="AN13" s="20" t="str">
        <x:v>UPLOADED_PRIMARY_OR_REVIEW</x:v>
      </x:c>
    </x:row>
    <x:row r="14" ht="18" customHeight="1">
      <x:c r="A14" s="20" t="str">
        <x:v>R011</x:v>
      </x:c>
      <x:c r="B14" s="20" t="str">
        <x:v>S03</x:v>
      </x:c>
      <x:c r="C14" s="20" t="str">
        <x:v>B1 PEPTIDE_AUNP_MECHANISM</x:v>
      </x:c>
      <x:c r="D14" s="20" t="str">
        <x:v>DIRECT</x:v>
      </x:c>
      <x:c r="E14" s="20" t="str">
        <x:v>gold_superstructure</x:v>
      </x:c>
      <x:c r="F14" s="20" t="str">
        <x:v>C18-(PEPAuM-ox)2</x:v>
      </x:c>
      <x:c r="G14" s="20" t="str">
        <x:v>AYSSGAPPMoxPPF</x:v>
      </x:c>
      <x:c r="H14" s="20" t="str">
        <x:v>L</x:v>
      </x:c>
      <x:c r="I14" s="20" t="str">
        <x:v>C18 tail; methionine oxidized to sulfoxide</x:v>
      </x:c>
      <x:c r="J14" s="20"/>
      <x:c r="K14" s="20"/>
      <x:c r="L14" s="20"/>
      <x:c r="M14" s="20"/>
      <x:c r="N14" s="20" t="str">
        <x:v>Single-helical superstructure; rod-like AuNP 16.6×9.6 nm</x:v>
      </x:c>
      <x:c r="O14" s="20" t="str">
        <x:v>Gold salt</x:v>
      </x:c>
      <x:c r="P14" s="20" t="str">
        <x:v>Peptide conjugate + assembly buffer</x:v>
      </x:c>
      <x:c r="Q14" s="20" t="str">
        <x:v>Reducing agent used</x:v>
      </x:c>
      <x:c r="R14" s="20"/>
      <x:c r="S14" s="20"/>
      <x:c r="T14" s="20" t="n">
        <x:v>15</x:v>
      </x:c>
      <x:c r="U14" s="20" t="str">
        <x:v>In-situ growth on peptide fibers</x:v>
      </x:c>
      <x:c r="V14" s="20"/>
      <x:c r="W14" s="20"/>
      <x:c r="X14" s="20"/>
      <x:c r="Y14" s="20"/>
      <x:c r="Z14" s="20"/>
      <x:c r="AA14" s="20"/>
      <x:c r="AB14" s="20"/>
      <x:c r="AC14" s="20"/>
      <x:c r="AD14" s="20"/>
      <x:c r="AE14" s="20" t="str">
        <x:v>Chiral assembly</x:v>
      </x:c>
      <x:c r="AF14" s="20" t="str">
        <x:v>Methionine oxidation alone switches product toward single helices under otherwise nearly identical synthesis conditions</x:v>
      </x:c>
      <x:c r="AG14" s="20" t="str">
        <x:v>Main text p.2; Fig.1–2</x:v>
      </x:c>
      <x:c r="AH14" s="20" t="str">
        <x:v>https://doi.org/10.1021/jacs.6b07322</x:v>
      </x:c>
      <x:c r="AI14" s="24" t="n">
        <x:f>ROUND(100*COUNTA(G14,J14,L14,R14,S14,T14,V14,X14,AA14,AC14)/10,0)</x:f>
        <x:v>20</x:v>
      </x:c>
      <x:c r="AJ14" s="20" t="str">
        <x:v>MECHANISTIC_ONLY</x:v>
      </x:c>
      <x:c r="AK14" s="20" t="str">
        <x:v>EXACT_FROM_UPLOADED_PRIMARY</x:v>
      </x:c>
      <x:c r="AL14" s="20" t="str">
        <x:v>Cross-regime peptide→gold mechanism; not an atomically precise AuNC training target.</x:v>
      </x:c>
      <x:c r="AM14" s="20" t="str">
        <x:v>2026-09-07</x:v>
      </x:c>
      <x:c r="AN14" s="20" t="str">
        <x:v>UPLOADED_PRIMARY_OR_REVIEW</x:v>
      </x:c>
    </x:row>
    <x:row r="15" ht="18" customHeight="1">
      <x:c r="A15" s="20" t="str">
        <x:v>R012</x:v>
      </x:c>
      <x:c r="B15" s="20" t="str">
        <x:v>S03</x:v>
      </x:c>
      <x:c r="C15" s="20" t="str">
        <x:v>B1 PEPTIDE_AUNP_MECHANISM</x:v>
      </x:c>
      <x:c r="D15" s="20" t="str">
        <x:v>DIRECT</x:v>
      </x:c>
      <x:c r="E15" s="20" t="str">
        <x:v>gold_superstructure</x:v>
      </x:c>
      <x:c r="F15" s="20" t="str">
        <x:v>C18-(PEPAu)2</x:v>
      </x:c>
      <x:c r="G15" s="20" t="str">
        <x:v>AYSSGAPPMPPF</x:v>
      </x:c>
      <x:c r="H15" s="20" t="str">
        <x:v>L</x:v>
      </x:c>
      <x:c r="I15" s="20" t="str">
        <x:v>C18 tail; unoxidized methionine</x:v>
      </x:c>
      <x:c r="J15" s="20"/>
      <x:c r="K15" s="20"/>
      <x:c r="L15" s="20"/>
      <x:c r="M15" s="20"/>
      <x:c r="N15" s="20" t="str">
        <x:v>Double-helical superstructure</x:v>
      </x:c>
      <x:c r="O15" s="20" t="str">
        <x:v>Gold salt</x:v>
      </x:c>
      <x:c r="P15" s="20" t="str">
        <x:v>Peptide conjugate + assembly buffer</x:v>
      </x:c>
      <x:c r="Q15" s="20" t="str">
        <x:v>Reducing agent used</x:v>
      </x:c>
      <x:c r="R15" s="20"/>
      <x:c r="S15" s="20"/>
      <x:c r="T15" s="20"/>
      <x:c r="U15" s="20" t="str">
        <x:v>In-situ growth on peptide fibers</x:v>
      </x:c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 t="str">
        <x:v>Chiral assembly</x:v>
      </x:c>
      <x:c r="AF15" s="20" t="str">
        <x:v>Unoxidized conjugate directs double-helical assembly; serves as paired comparator to oxidized peptide</x:v>
      </x:c>
      <x:c r="AG15" s="20" t="str">
        <x:v>Main text pp.1–2</x:v>
      </x:c>
      <x:c r="AH15" s="20" t="str">
        <x:v>https://doi.org/10.1021/jacs.6b07322</x:v>
      </x:c>
      <x:c r="AI15" s="24" t="n">
        <x:f>ROUND(100*COUNTA(G15,J15,L15,R15,S15,T15,V15,X15,AA15,AC15)/10,0)</x:f>
        <x:v>10</x:v>
      </x:c>
      <x:c r="AJ15" s="20" t="str">
        <x:v>MECHANISTIC_ONLY</x:v>
      </x:c>
      <x:c r="AK15" s="20" t="str">
        <x:v>EXACT_FROM_UPLOADED_PRIMARY</x:v>
      </x:c>
      <x:c r="AL15" s="20" t="str">
        <x:v>Cross-regime peptide→gold mechanism; not an atomically precise AuNC training target.</x:v>
      </x:c>
      <x:c r="AM15" s="20" t="str">
        <x:v>2026-09-07</x:v>
      </x:c>
      <x:c r="AN15" s="20" t="str">
        <x:v>UPLOADED_PRIMARY_OR_REVIEW</x:v>
      </x:c>
    </x:row>
    <x:row r="16" ht="18" customHeight="1">
      <x:c r="A16" s="20" t="str">
        <x:v>R013</x:v>
      </x:c>
      <x:c r="B16" s="20" t="str">
        <x:v>S04</x:v>
      </x:c>
      <x:c r="C16" s="20" t="str">
        <x:v>B1 PEPTIDE_AUNP_MECHANISM</x:v>
      </x:c>
      <x:c r="D16" s="20" t="str">
        <x:v>DIRECT</x:v>
      </x:c>
      <x:c r="E16" s="20" t="str">
        <x:v>gold_superstructure</x:v>
      </x:c>
      <x:c r="F16" s="20" t="str">
        <x:v>C12-L-PEPAu</x:v>
      </x:c>
      <x:c r="G16" s="20" t="str">
        <x:v>AYSSGAPPMPPF</x:v>
      </x:c>
      <x:c r="H16" s="20" t="str">
        <x:v>L</x:v>
      </x:c>
      <x:c r="I16" s="20" t="str">
        <x:v>C12 acyl tail</x:v>
      </x:c>
      <x:c r="J16" s="20"/>
      <x:c r="K16" s="20"/>
      <x:c r="L16" s="20" t="n">
        <x:v>5.74</x:v>
      </x:c>
      <x:c r="M16" s="20"/>
      <x:c r="N16" s="20" t="str">
        <x:v>Left-handed double helix</x:v>
      </x:c>
      <x:c r="O16" s="20" t="str">
        <x:v>Gold precursor</x:v>
      </x:c>
      <x:c r="P16" s="20" t="str">
        <x:v>Mixed with HEPES buffer</x:v>
      </x:c>
      <x:c r="Q16" s="20"/>
      <x:c r="R16" s="20"/>
      <x:c r="S16" s="20"/>
      <x:c r="T16" s="20"/>
      <x:c r="U16" s="20" t="str">
        <x:v>Peptide self-assembly + Au growth</x:v>
      </x:c>
      <x:c r="V16" s="20"/>
      <x:c r="W16" s="20"/>
      <x:c r="X16" s="20"/>
      <x:c r="Y16" s="20"/>
      <x:c r="Z16" s="20"/>
      <x:c r="AA16" s="20"/>
      <x:c r="AB16" s="20"/>
      <x:c r="AC16" s="20"/>
      <x:c r="AD16" s="20"/>
      <x:c r="AE16" s="20" t="str">
        <x:v>Chiral plasmonics</x:v>
      </x:c>
      <x:c r="AF16" s="20" t="str">
        <x:v>L-peptide gives left-handed helices; initial particles 5.74±0.75 nm</x:v>
      </x:c>
      <x:c r="AG16" s="20" t="str">
        <x:v>Main text pp.1–2</x:v>
      </x:c>
      <x:c r="AH16" s="20" t="str">
        <x:v>https://doi.org/10.1021/nl4013776</x:v>
      </x:c>
      <x:c r="AI16" s="24" t="n">
        <x:f>ROUND(100*COUNTA(G16,J16,L16,R16,S16,T16,V16,X16,AA16,AC16)/10,0)</x:f>
        <x:v>20</x:v>
      </x:c>
      <x:c r="AJ16" s="20" t="str">
        <x:v>MECHANISTIC_ONLY</x:v>
      </x:c>
      <x:c r="AK16" s="20" t="str">
        <x:v>EXACT_FROM_UPLOADED_PRIMARY</x:v>
      </x:c>
      <x:c r="AL16" s="20" t="str">
        <x:v>Cross-regime peptide→gold mechanism; not an atomically precise AuNC training target.</x:v>
      </x:c>
      <x:c r="AM16" s="20" t="str">
        <x:v>2026-09-07</x:v>
      </x:c>
      <x:c r="AN16" s="20" t="str">
        <x:v>UPLOADED_PRIMARY_OR_REVIEW</x:v>
      </x:c>
    </x:row>
    <x:row r="17" ht="18" customHeight="1">
      <x:c r="A17" s="20" t="str">
        <x:v>R014</x:v>
      </x:c>
      <x:c r="B17" s="20" t="str">
        <x:v>S04</x:v>
      </x:c>
      <x:c r="C17" s="20" t="str">
        <x:v>B1 PEPTIDE_AUNP_MECHANISM</x:v>
      </x:c>
      <x:c r="D17" s="20" t="str">
        <x:v>DIRECT</x:v>
      </x:c>
      <x:c r="E17" s="20" t="str">
        <x:v>gold_superstructure</x:v>
      </x:c>
      <x:c r="F17" s="20" t="str">
        <x:v>C12-D-PEPAu</x:v>
      </x:c>
      <x:c r="G17" s="20" t="str">
        <x:v>AYSSGAPPMPPF</x:v>
      </x:c>
      <x:c r="H17" s="20" t="str">
        <x:v>D</x:v>
      </x:c>
      <x:c r="I17" s="20" t="str">
        <x:v>C12 acyl tail</x:v>
      </x:c>
      <x:c r="J17" s="20"/>
      <x:c r="K17" s="20"/>
      <x:c r="L17" s="20" t="n">
        <x:v>5.25</x:v>
      </x:c>
      <x:c r="M17" s="20"/>
      <x:c r="N17" s="20" t="str">
        <x:v>Right-handed double helix</x:v>
      </x:c>
      <x:c r="O17" s="20" t="str">
        <x:v>Gold precursor</x:v>
      </x:c>
      <x:c r="P17" s="20" t="str">
        <x:v>Mixed with HEPES buffer</x:v>
      </x:c>
      <x:c r="Q17" s="20"/>
      <x:c r="R17" s="20"/>
      <x:c r="S17" s="20"/>
      <x:c r="T17" s="20"/>
      <x:c r="U17" s="20" t="str">
        <x:v>Peptide self-assembly + Au growth</x:v>
      </x:c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 t="str">
        <x:v>Chiral plasmonics</x:v>
      </x:c>
      <x:c r="AF17" s="20" t="str">
        <x:v>D-peptide gives right-handed helices; initial particles 5.25±0.79 nm</x:v>
      </x:c>
      <x:c r="AG17" s="20" t="str">
        <x:v>Main text pp.1–2</x:v>
      </x:c>
      <x:c r="AH17" s="20" t="str">
        <x:v>https://doi.org/10.1021/nl4013776</x:v>
      </x:c>
      <x:c r="AI17" s="24" t="n">
        <x:f>ROUND(100*COUNTA(G17,J17,L17,R17,S17,T17,V17,X17,AA17,AC17)/10,0)</x:f>
        <x:v>20</x:v>
      </x:c>
      <x:c r="AJ17" s="20" t="str">
        <x:v>MECHANISTIC_ONLY</x:v>
      </x:c>
      <x:c r="AK17" s="20" t="str">
        <x:v>EXACT_FROM_UPLOADED_PRIMARY</x:v>
      </x:c>
      <x:c r="AL17" s="20" t="str">
        <x:v>Cross-regime peptide→gold mechanism; not an atomically precise AuNC training target.</x:v>
      </x:c>
      <x:c r="AM17" s="20" t="str">
        <x:v>2026-09-07</x:v>
      </x:c>
      <x:c r="AN17" s="20" t="str">
        <x:v>UPLOADED_PRIMARY_OR_REVIEW</x:v>
      </x:c>
    </x:row>
    <x:row r="18" ht="18" customHeight="1">
      <x:c r="A18" s="20" t="str">
        <x:v>R015</x:v>
      </x:c>
      <x:c r="B18" s="20" t="str">
        <x:v>S14</x:v>
      </x:c>
      <x:c r="C18" s="20" t="str">
        <x:v>A1 DIRECT_PEPTIDE_ATOMIC_AUNC</x:v>
      </x:c>
      <x:c r="D18" s="20" t="str">
        <x:v>DIRECT</x:v>
      </x:c>
      <x:c r="E18" s="20" t="str">
        <x:v>atomically_precise_AuNC</x:v>
      </x:c>
      <x:c r="F18" s="20" t="str">
        <x:v>Glutathione (SG)</x:v>
      </x:c>
      <x:c r="G18" s="20" t="str">
        <x:v>γ-ECG</x:v>
      </x:c>
      <x:c r="H18" s="20" t="str">
        <x:v>L</x:v>
      </x:c>
      <x:c r="I18" s="20" t="str">
        <x:v>Thiolate ligand</x:v>
      </x:c>
      <x:c r="J18" s="20" t="n">
        <x:v>22</x:v>
      </x:c>
      <x:c r="K18" s="20" t="n">
        <x:v>18</x:v>
      </x:c>
      <x:c r="L18" s="20" t="n">
        <x:v>1.5</x:v>
      </x:c>
      <x:c r="M18" s="20" t="n">
        <x:v>2.01</x:v>
      </x:c>
      <x:c r="N18" s="20" t="str">
        <x:v>Atomically precise Au22(SG)18</x:v>
      </x:c>
      <x:c r="O18" s="20" t="str">
        <x:v>HAuCl4</x:v>
      </x:c>
      <x:c r="P18" s="20" t="str">
        <x:v>20 mM HAuCl4 12.5 mL + 50 mM GSH 7.5 mL in 180 mL water</x:v>
      </x:c>
      <x:c r="Q18" s="20" t="str">
        <x:v>NaBH4</x:v>
      </x:c>
      <x:c r="R18" s="20" t="n">
        <x:v>12</x:v>
      </x:c>
      <x:c r="S18" s="20" t="n">
        <x:v>25</x:v>
      </x:c>
      <x:c r="T18" s="20" t="n">
        <x:v>0.5</x:v>
      </x:c>
      <x:c r="U18" s="20" t="str">
        <x:v>500 rpm after NaBH4; then acidification</x:v>
      </x:c>
      <x:c r="V18" s="20" t="n">
        <x:v>925</x:v>
      </x:c>
      <x:c r="W18" s="20" t="str">
        <x:v>925–1300 tail</x:v>
      </x:c>
      <x:c r="X18" s="20" t="n">
        <x:v>0.16</x:v>
      </x:c>
      <x:c r="Y18" s="20" t="n">
        <x:v>515</x:v>
      </x:c>
      <x:c r="Z18" s="20"/>
      <x:c r="AA18" s="20" t="n">
        <x:v>808</x:v>
      </x:c>
      <x:c r="AB18" s="20"/>
      <x:c r="AC18" s="20"/>
      <x:c r="AD18" s="20"/>
      <x:c r="AE18" s="20" t="str">
        <x:v>NIR-II imaging / bioactivity</x:v>
      </x:c>
      <x:c r="AF18" s="20" t="str">
        <x:v>Atomic-precision Au22; pH later shifted to 2.5 and sealed/stirred 8 h for size focusing/purification</x:v>
      </x:c>
      <x:c r="AG18" s="20" t="str">
        <x:v>Results p.2 + Methods p.13</x:v>
      </x:c>
      <x:c r="AH18" s="20" t="str">
        <x:v>https://doi.org/10.1126/sciadv.adh7828</x:v>
      </x:c>
      <x:c r="AI18" s="24" t="n">
        <x:f>ROUND(100*COUNTA(G18,J18,L18,R18,S18,T18,V18,X18,AA18,AC18)/10,0)</x:f>
        <x:v>90</x:v>
      </x:c>
      <x:c r="AJ18" s="20" t="str">
        <x:v>TRAIN_CORE</x:v>
      </x:c>
      <x:c r="AK18" s="20" t="str">
        <x:v>EXACT_FROM_UPLOADED_PRIMARY</x:v>
      </x:c>
      <x:c r="AL18" s="20" t="str">
        <x:v>Atomic record; keep same-paper records grouped in validation.</x:v>
      </x:c>
      <x:c r="AM18" s="20" t="str">
        <x:v>2026-09-07</x:v>
      </x:c>
      <x:c r="AN18" s="20" t="str">
        <x:v>UPLOADED_PRIMARY_OR_REVIEW</x:v>
      </x:c>
    </x:row>
    <x:row r="19" ht="18" customHeight="1">
      <x:c r="A19" s="20" t="str">
        <x:v>R016</x:v>
      </x:c>
      <x:c r="B19" s="20" t="str">
        <x:v>S14</x:v>
      </x:c>
      <x:c r="C19" s="20" t="str">
        <x:v>A1 DIRECT_PEPTIDE_ATOMIC_AUNC</x:v>
      </x:c>
      <x:c r="D19" s="20" t="str">
        <x:v>DIRECT</x:v>
      </x:c>
      <x:c r="E19" s="20" t="str">
        <x:v>atomically_precise_AuNC</x:v>
      </x:c>
      <x:c r="F19" s="20" t="str">
        <x:v>Glutathione (SG)</x:v>
      </x:c>
      <x:c r="G19" s="20" t="str">
        <x:v>γ-ECG</x:v>
      </x:c>
      <x:c r="H19" s="20" t="str">
        <x:v>L</x:v>
      </x:c>
      <x:c r="I19" s="20" t="str">
        <x:v>Single Cu atom doping</x:v>
      </x:c>
      <x:c r="J19" s="20" t="n">
        <x:v>21</x:v>
      </x:c>
      <x:c r="K19" s="20" t="n">
        <x:v>18</x:v>
      </x:c>
      <x:c r="L19" s="20" t="n">
        <x:v>1.5</x:v>
      </x:c>
      <x:c r="M19" s="20"/>
      <x:c r="N19" s="20" t="str">
        <x:v>Au21Cu1(SG)18</x:v>
      </x:c>
      <x:c r="O19" s="20" t="str">
        <x:v>HAuCl4 + Cu2+</x:v>
      </x:c>
      <x:c r="P19" s="20" t="str">
        <x:v>Same Au22 method; Cu2+ added</x:v>
      </x:c>
      <x:c r="Q19" s="20" t="str">
        <x:v>NaBH4</x:v>
      </x:c>
      <x:c r="R19" s="20" t="n">
        <x:v>12</x:v>
      </x:c>
      <x:c r="S19" s="20" t="n">
        <x:v>25</x:v>
      </x:c>
      <x:c r="T19" s="20" t="n">
        <x:v>8.5</x:v>
      </x:c>
      <x:c r="U19" s="20" t="str">
        <x:v>500 rpm 30 min; pH 2.5; sealed 200 rpm 8 h</x:v>
      </x:c>
      <x:c r="V19" s="20"/>
      <x:c r="W19" s="20"/>
      <x:c r="X19" s="20"/>
      <x:c r="Y19" s="20"/>
      <x:c r="Z19" s="20"/>
      <x:c r="AA19" s="20" t="n">
        <x:v>808</x:v>
      </x:c>
      <x:c r="AB19" s="20"/>
      <x:c r="AC19" s="20"/>
      <x:c r="AD19" s="20"/>
      <x:c r="AE19" s="20" t="str">
        <x:v>NIR-II imaging / nanozyme</x:v>
      </x:c>
      <x:c r="AF19" s="20" t="str">
        <x:v>Cu single-atom substitution lowers bandgap 1.33→1.28 eV and strongly increases enzyme-mimetic activity</x:v>
      </x:c>
      <x:c r="AG19" s="20" t="str">
        <x:v>Results pp.1–2 + Methods p.13</x:v>
      </x:c>
      <x:c r="AH19" s="20" t="str">
        <x:v>https://doi.org/10.1126/sciadv.adh7828</x:v>
      </x:c>
      <x:c r="AI19" s="24" t="n">
        <x:f>ROUND(100*COUNTA(G19,J19,L19,R19,S19,T19,V19,X19,AA19,AC19)/10,0)</x:f>
        <x:v>70</x:v>
      </x:c>
      <x:c r="AJ19" s="20" t="str">
        <x:v>TRAIN_CORE</x:v>
      </x:c>
      <x:c r="AK19" s="20" t="str">
        <x:v>EXACT_FROM_UPLOADED_PRIMARY</x:v>
      </x:c>
      <x:c r="AL19" s="20" t="str">
        <x:v>Atomic record; keep same-paper records grouped in validation.</x:v>
      </x:c>
      <x:c r="AM19" s="20" t="str">
        <x:v>2026-09-07</x:v>
      </x:c>
      <x:c r="AN19" s="20" t="str">
        <x:v>UPLOADED_PRIMARY_OR_REVIEW</x:v>
      </x:c>
    </x:row>
    <x:row r="20" ht="18" customHeight="1">
      <x:c r="A20" s="20" t="str">
        <x:v>R017</x:v>
      </x:c>
      <x:c r="B20" s="20" t="str">
        <x:v>S10</x:v>
      </x:c>
      <x:c r="C20" s="20" t="str">
        <x:v>A1 DIRECT_PEPTIDE_ATOMIC_AUNC</x:v>
      </x:c>
      <x:c r="D20" s="20" t="str">
        <x:v>DIRECT</x:v>
      </x:c>
      <x:c r="E20" s="20" t="str">
        <x:v>atomically_precise_AuNC</x:v>
      </x:c>
      <x:c r="F20" s="20" t="str">
        <x:v>Glutathione (SG)</x:v>
      </x:c>
      <x:c r="G20" s="20" t="str">
        <x:v>γ-ECG</x:v>
      </x:c>
      <x:c r="H20" s="20" t="str">
        <x:v>L</x:v>
      </x:c>
      <x:c r="I20" s="20" t="str">
        <x:v>Thiolate ligand</x:v>
      </x:c>
      <x:c r="J20" s="20" t="n">
        <x:v>25</x:v>
      </x:c>
      <x:c r="K20" s="20" t="n">
        <x:v>18</x:v>
      </x:c>
      <x:c r="L20" s="20" t="str">
        <x:v>&lt;2</x:v>
      </x:c>
      <x:c r="M20" s="20" t="n">
        <x:v>3.2</x:v>
      </x:c>
      <x:c r="N20" s="20" t="str">
        <x:v>Au25(SG)18; 13-Au core + six Au2(SG)3 shell motifs</x:v>
      </x:c>
      <x:c r="O20" s="20" t="str">
        <x:v>Not fully specified in main paper</x:v>
      </x:c>
      <x:c r="P20" s="20" t="str">
        <x:v>Main paper refers to prior method / SI</x:v>
      </x:c>
      <x:c r="Q20" s="20" t="str">
        <x:v>Not fully specified</x:v>
      </x:c>
      <x:c r="R20" s="20"/>
      <x:c r="S20" s="20"/>
      <x:c r="T20" s="20"/>
      <x:c r="U20" s="20" t="str">
        <x:v>See Supporting Information</x:v>
      </x:c>
      <x:c r="V20" s="20"/>
      <x:c r="W20" s="20" t="str">
        <x:v>1100–1350</x:v>
      </x:c>
      <x:c r="X20" s="20"/>
      <x:c r="Y20" s="20"/>
      <x:c r="Z20" s="20"/>
      <x:c r="AA20" s="20"/>
      <x:c r="AB20" s="20"/>
      <x:c r="AC20" s="20"/>
      <x:c r="AD20" s="20"/>
      <x:c r="AE20" s="20" t="str">
        <x:v>NIR-II imaging</x:v>
      </x:c>
      <x:c r="AF20" s="20" t="str">
        <x:v>Atomic-precision Au25 with strong NIR-II emission; exact synthesis must be taken from SI/primary synthesis method</x:v>
      </x:c>
      <x:c r="AG20" s="20" t="str">
        <x:v>Main text pp.1–2; Experimental points to SI</x:v>
      </x:c>
      <x:c r="AH20" s="20" t="str">
        <x:v>https://doi.org/10.1002/adma.201901015</x:v>
      </x:c>
      <x:c r="AI20" s="24" t="n">
        <x:f>ROUND(100*COUNTA(G20,J20,L20,R20,S20,T20,V20,X20,AA20,AC20)/10,0)</x:f>
        <x:v>30</x:v>
      </x:c>
      <x:c r="AJ20" s="20" t="str">
        <x:v>QC_HOLD</x:v>
      </x:c>
      <x:c r="AK20" s="20" t="str">
        <x:v>EXACT_LIGAND_ID</x:v>
      </x:c>
      <x:c r="AL20" s="20" t="str">
        <x:v>Atomic Au25(SG)18, but exact synthesis details require Supporting Information / prior method.</x:v>
      </x:c>
      <x:c r="AM20" s="20" t="str">
        <x:v>2026-09-07</x:v>
      </x:c>
      <x:c r="AN20" s="20" t="str">
        <x:v>UPLOADED_PRIMARY_OR_REVIEW</x:v>
      </x:c>
    </x:row>
    <x:row r="21" ht="18" customHeight="1">
      <x:c r="A21" s="20" t="str">
        <x:v>R018</x:v>
      </x:c>
      <x:c r="B21" s="20" t="str">
        <x:v>S11</x:v>
      </x:c>
      <x:c r="C21" s="20" t="str">
        <x:v>C1 AUNC_PTT_BENCHMARK</x:v>
      </x:c>
      <x:c r="D21" s="20" t="str">
        <x:v>DIRECT</x:v>
      </x:c>
      <x:c r="E21" s="20" t="str">
        <x:v>atomically_precise_AuNC</x:v>
      </x:c>
      <x:c r="F21" s="20" t="str">
        <x:v>Phosphorylcholine-functionalized Au25</x:v>
      </x:c>
      <x:c r="G21" s="20" t="str">
        <x:v>N/A</x:v>
      </x:c>
      <x:c r="H21" s="20" t="str">
        <x:v>N/A</x:v>
      </x:c>
      <x:c r="I21" s="20" t="str">
        <x:v>PC surface coating</x:v>
      </x:c>
      <x:c r="J21" s="20" t="n">
        <x:v>25</x:v>
      </x:c>
      <x:c r="K21" s="20"/>
      <x:c r="L21" s="20" t="str">
        <x:v>~2</x:v>
      </x:c>
      <x:c r="M21" s="20"/>
      <x:c r="N21" s="20" t="str">
        <x:v>Molecular Au25 cluster</x:v>
      </x:c>
      <x:c r="O21" s="20" t="str">
        <x:v>Au25 precursor/system</x:v>
      </x:c>
      <x:c r="P21" s="20" t="str">
        <x:v>25 mg/mL AuPC aqueous solution</x:v>
      </x:c>
      <x:c r="Q21" s="20" t="str">
        <x:v>N/A</x:v>
      </x:c>
      <x:c r="R21" s="20"/>
      <x:c r="S21" s="20"/>
      <x:c r="T21" s="20"/>
      <x:c r="U21" s="20" t="str">
        <x:v>Benchmark material</x:v>
      </x:c>
      <x:c r="V21" s="20" t="n">
        <x:v>1090</x:v>
      </x:c>
      <x:c r="W21" s="20" t="str">
        <x:v>900–1500</x:v>
      </x:c>
      <x:c r="X21" s="20" t="n">
        <x:v>0.38</x:v>
      </x:c>
      <x:c r="Y21" s="20"/>
      <x:c r="Z21" s="20"/>
      <x:c r="AA21" s="20" t="n">
        <x:v>808</x:v>
      </x:c>
      <x:c r="AB21" s="20" t="n">
        <x:v>0.3</x:v>
      </x:c>
      <x:c r="AC21" s="20" t="n">
        <x:v>70</x:v>
      </x:c>
      <x:c r="AD21" s="20" t="n">
        <x:v>10</x:v>
      </x:c>
      <x:c r="AE21" s="20" t="str">
        <x:v>Cancer PTT benchmark</x:v>
      </x:c>
      <x:c r="AF21" s="20" t="str">
        <x:v>In vitro: ~70°C from room temperature within 10 min under 808 nm, 0.3 W/cm²</x:v>
      </x:c>
      <x:c r="AG21" s="20" t="str">
        <x:v>Main text p.4; Fig.4</x:v>
      </x:c>
      <x:c r="AH21" s="20" t="str">
        <x:v>https://doi.org/10.1073/pnas.2318265121</x:v>
      </x:c>
      <x:c r="AI21" s="24" t="n">
        <x:f>ROUND(100*COUNTA(G21,J21,L21,R21,S21,T21,V21,X21,AA21,AC21)/10,0)</x:f>
        <x:v>70</x:v>
      </x:c>
      <x:c r="AJ21" s="20" t="str">
        <x:v>BENCHMARK_ONLY</x:v>
      </x:c>
      <x:c r="AK21" s="20" t="str">
        <x:v>NOT_APPLICABLE</x:v>
      </x:c>
      <x:c r="AL21" s="20" t="str">
        <x:v>Non-peptide AuNC biomedical/PTT benchmark; do not train peptide-sequence model.</x:v>
      </x:c>
      <x:c r="AM21" s="20" t="str">
        <x:v>2026-09-07</x:v>
      </x:c>
      <x:c r="AN21" s="20" t="str">
        <x:v>UPLOADED_PRIMARY_OR_REVIEW</x:v>
      </x:c>
    </x:row>
    <x:row r="22" ht="18" customHeight="1">
      <x:c r="A22" s="20" t="str">
        <x:v>R019</x:v>
      </x:c>
      <x:c r="B22" s="20" t="str">
        <x:v>S11</x:v>
      </x:c>
      <x:c r="C22" s="20" t="str">
        <x:v>C1 AUNC_PTT_BENCHMARK</x:v>
      </x:c>
      <x:c r="D22" s="20" t="str">
        <x:v>DIRECT</x:v>
      </x:c>
      <x:c r="E22" s="20" t="str">
        <x:v>atomically_precise_AuNC</x:v>
      </x:c>
      <x:c r="F22" s="20" t="str">
        <x:v>Phosphorylcholine-functionalized Au25</x:v>
      </x:c>
      <x:c r="G22" s="20" t="str">
        <x:v>N/A</x:v>
      </x:c>
      <x:c r="H22" s="20" t="str">
        <x:v>N/A</x:v>
      </x:c>
      <x:c r="I22" s="20" t="str">
        <x:v>PC surface coating</x:v>
      </x:c>
      <x:c r="J22" s="20" t="n">
        <x:v>25</x:v>
      </x:c>
      <x:c r="K22" s="20"/>
      <x:c r="L22" s="20" t="str">
        <x:v>~2</x:v>
      </x:c>
      <x:c r="M22" s="20"/>
      <x:c r="N22" s="20" t="str">
        <x:v>Molecular Au25 cluster</x:v>
      </x:c>
      <x:c r="O22" s="20" t="str">
        <x:v>Au25 precursor/system</x:v>
      </x:c>
      <x:c r="P22" s="20" t="str">
        <x:v>20–40 µL of 25 mg/mL intratumorally</x:v>
      </x:c>
      <x:c r="Q22" s="20" t="str">
        <x:v>N/A</x:v>
      </x:c>
      <x:c r="R22" s="20"/>
      <x:c r="S22" s="20"/>
      <x:c r="T22" s="20"/>
      <x:c r="U22" s="20" t="str">
        <x:v>4T1 tumor, intratumoral injection</x:v>
      </x:c>
      <x:c r="V22" s="20" t="n">
        <x:v>1090</x:v>
      </x:c>
      <x:c r="W22" s="20" t="str">
        <x:v>900–1500</x:v>
      </x:c>
      <x:c r="X22" s="20" t="n">
        <x:v>0.38</x:v>
      </x:c>
      <x:c r="Y22" s="20"/>
      <x:c r="Z22" s="20"/>
      <x:c r="AA22" s="20" t="n">
        <x:v>808</x:v>
      </x:c>
      <x:c r="AB22" s="20" t="n">
        <x:v>0.3</x:v>
      </x:c>
      <x:c r="AC22" s="20" t="n">
        <x:v>60</x:v>
      </x:c>
      <x:c r="AD22" s="20" t="n">
        <x:v>30</x:v>
      </x:c>
      <x:c r="AE22" s="20" t="str">
        <x:v>Cancer PTT benchmark</x:v>
      </x:c>
      <x:c r="AF22" s="20" t="str">
        <x:v>In vivo: ~53°C at 3 min, rising to ~60°C; 94.4% 60-day relative survival reported</x:v>
      </x:c>
      <x:c r="AG22" s="20" t="str">
        <x:v>Main text pp.4–6; Fig.5</x:v>
      </x:c>
      <x:c r="AH22" s="20" t="str">
        <x:v>https://doi.org/10.1073/pnas.2318265121</x:v>
      </x:c>
      <x:c r="AI22" s="24" t="n">
        <x:f>ROUND(100*COUNTA(G22,J22,L22,R22,S22,T22,V22,X22,AA22,AC22)/10,0)</x:f>
        <x:v>70</x:v>
      </x:c>
      <x:c r="AJ22" s="20" t="str">
        <x:v>BENCHMARK_ONLY</x:v>
      </x:c>
      <x:c r="AK22" s="20" t="str">
        <x:v>NOT_APPLICABLE</x:v>
      </x:c>
      <x:c r="AL22" s="20" t="str">
        <x:v>Non-peptide AuNC biomedical/PTT benchmark; do not train peptide-sequence model.</x:v>
      </x:c>
      <x:c r="AM22" s="20" t="str">
        <x:v>2026-09-07</x:v>
      </x:c>
      <x:c r="AN22" s="20" t="str">
        <x:v>UPLOADED_PRIMARY_OR_REVIEW</x:v>
      </x:c>
    </x:row>
    <x:row r="23" ht="18" customHeight="1">
      <x:c r="A23" s="20" t="str">
        <x:v>R020</x:v>
      </x:c>
      <x:c r="B23" s="20" t="str">
        <x:v>S13</x:v>
      </x:c>
      <x:c r="C23" s="20" t="str">
        <x:v>C2 AUNC_BIOMEDICAL_BENCHMARK</x:v>
      </x:c>
      <x:c r="D23" s="20" t="str">
        <x:v>DIRECT</x:v>
      </x:c>
      <x:c r="E23" s="20" t="str">
        <x:v>atomically_precise_AuNC</x:v>
      </x:c>
      <x:c r="F23" s="20" t="str">
        <x:v>Phosphorylcholine-functionalized Au25</x:v>
      </x:c>
      <x:c r="G23" s="20" t="str">
        <x:v>N/A</x:v>
      </x:c>
      <x:c r="H23" s="20" t="str">
        <x:v>N/A</x:v>
      </x:c>
      <x:c r="I23" s="20" t="str">
        <x:v>PC surface coating</x:v>
      </x:c>
      <x:c r="J23" s="20" t="n">
        <x:v>25</x:v>
      </x:c>
      <x:c r="K23" s="20"/>
      <x:c r="L23" s="20"/>
      <x:c r="M23" s="20"/>
      <x:c r="N23" s="20" t="str">
        <x:v>Au25-PC molecular cluster</x:v>
      </x:c>
      <x:c r="O23" s="20" t="str">
        <x:v>Au25 precursor/system</x:v>
      </x:c>
      <x:c r="P23" s="20" t="str">
        <x:v>Surface-functionalized with PC</x:v>
      </x:c>
      <x:c r="Q23" s="20" t="str">
        <x:v>N/A</x:v>
      </x:c>
      <x:c r="R23" s="20"/>
      <x:c r="S23" s="20"/>
      <x:c r="T23" s="20"/>
      <x:c r="U23" s="20" t="str">
        <x:v>Subcutaneous injection</x:v>
      </x:c>
      <x:c r="V23" s="20"/>
      <x:c r="W23" s="20" t="str">
        <x:v>1000–3000 imaging window</x:v>
      </x:c>
      <x:c r="X23" s="20"/>
      <x:c r="Y23" s="20"/>
      <x:c r="Z23" s="20"/>
      <x:c r="AA23" s="20"/>
      <x:c r="AB23" s="20"/>
      <x:c r="AC23" s="20"/>
      <x:c r="AD23" s="20"/>
      <x:c r="AE23" s="20" t="str">
        <x:v>Lymph-node NIR-II imaging</x:v>
      </x:c>
      <x:c r="AF23" s="20" t="str">
        <x:v>Super-stealth behavior; optimal LN imaging ~0.5–1 h with rapid renal clearance</x:v>
      </x:c>
      <x:c r="AG23" s="20" t="str">
        <x:v>Abstract / main text p.1</x:v>
      </x:c>
      <x:c r="AH23" s="20" t="str">
        <x:v>https://doi.org/10.1038/s41467-022-33341-6</x:v>
      </x:c>
      <x:c r="AI23" s="24" t="n">
        <x:f>ROUND(100*COUNTA(G23,J23,L23,R23,S23,T23,V23,X23,AA23,AC23)/10,0)</x:f>
        <x:v>20</x:v>
      </x:c>
      <x:c r="AJ23" s="20" t="str">
        <x:v>BENCHMARK_ONLY</x:v>
      </x:c>
      <x:c r="AK23" s="20" t="str">
        <x:v>NOT_APPLICABLE</x:v>
      </x:c>
      <x:c r="AL23" s="20" t="str">
        <x:v>Non-peptide AuNC biomedical/PTT benchmark; do not train peptide-sequence model.</x:v>
      </x:c>
      <x:c r="AM23" s="20" t="str">
        <x:v>2026-09-07</x:v>
      </x:c>
      <x:c r="AN23" s="20" t="str">
        <x:v>UPLOADED_PRIMARY_OR_REVIEW</x:v>
      </x:c>
    </x:row>
    <x:row r="24" ht="18" customHeight="1">
      <x:c r="A24" s="20" t="str">
        <x:v>R021</x:v>
      </x:c>
      <x:c r="B24" s="20" t="str">
        <x:v>S12</x:v>
      </x:c>
      <x:c r="C24" s="20" t="str">
        <x:v>D1 METHOD_REFERENCE</x:v>
      </x:c>
      <x:c r="D24" s="20" t="str">
        <x:v>REVIEW-DERIVED</x:v>
      </x:c>
      <x:c r="E24" s="20" t="str">
        <x:v>atomically_precise_AuNC</x:v>
      </x:c>
      <x:c r="F24" s="20" t="str">
        <x:v>Glutathione (GSH)</x:v>
      </x:c>
      <x:c r="G24" s="20" t="str">
        <x:v>γ-ECG</x:v>
      </x:c>
      <x:c r="H24" s="20" t="str">
        <x:v>L</x:v>
      </x:c>
      <x:c r="I24" s="20" t="str">
        <x:v>Review table entry</x:v>
      </x:c>
      <x:c r="J24" s="20" t="n">
        <x:v>25</x:v>
      </x:c>
      <x:c r="K24" s="20" t="n">
        <x:v>18</x:v>
      </x:c>
      <x:c r="L24" s="20"/>
      <x:c r="M24" s="20"/>
      <x:c r="N24" s="20" t="str">
        <x:v>Au25(GSH)18</x:v>
      </x:c>
      <x:c r="O24" s="20" t="str">
        <x:v>N/A</x:v>
      </x:c>
      <x:c r="P24" s="20" t="str">
        <x:v>Review-derived optical entry</x:v>
      </x:c>
      <x:c r="Q24" s="20" t="str">
        <x:v>N/A</x:v>
      </x:c>
      <x:c r="R24" s="20"/>
      <x:c r="S24" s="20"/>
      <x:c r="T24" s="20"/>
      <x:c r="U24" s="20" t="str">
        <x:v>Primary paper required</x:v>
      </x:c>
      <x:c r="V24" s="20" t="n">
        <x:v>1120</x:v>
      </x:c>
      <x:c r="W24" s="20" t="str">
        <x:v>900–1500</x:v>
      </x:c>
      <x:c r="X24" s="20" t="n">
        <x:v>0.13</x:v>
      </x:c>
      <x:c r="Y24" s="20"/>
      <x:c r="Z24" s="20"/>
      <x:c r="AA24" s="20" t="n">
        <x:v>808</x:v>
      </x:c>
      <x:c r="AB24" s="20"/>
      <x:c r="AC24" s="20"/>
      <x:c r="AD24" s="20"/>
      <x:c r="AE24" s="20" t="str">
        <x:v>Imaging benchmark</x:v>
      </x:c>
      <x:c r="AF24" s="20" t="str">
        <x:v>Review table lists Au25(GSH)18 with NIR-II emission and low PLQY; primary paper must be extracted before training</x:v>
      </x:c>
      <x:c r="AG24" s="20" t="str">
        <x:v>Chem. Rev. Table 1</x:v>
      </x:c>
      <x:c r="AH24" s="20" t="str">
        <x:v>https://doi.org/10.1021/acs.chemrev.4c00835</x:v>
      </x:c>
      <x:c r="AI24" s="24" t="n">
        <x:f>ROUND(100*COUNTA(G24,J24,L24,R24,S24,T24,V24,X24,AA24,AC24)/10,0)</x:f>
        <x:v>50</x:v>
      </x:c>
      <x:c r="AJ24" s="20" t="str">
        <x:v>REVIEW_LEAD</x:v>
      </x:c>
      <x:c r="AK24" s="20" t="str">
        <x:v>REVIEW_DERIVED</x:v>
      </x:c>
      <x:c r="AL24" s="20" t="str">
        <x:v>Primary paper must be extracted before model training.</x:v>
      </x:c>
      <x:c r="AM24" s="20" t="str">
        <x:v>2026-09-07</x:v>
      </x:c>
      <x:c r="AN24" s="20" t="str">
        <x:v>UPLOADED_PRIMARY_OR_REVIEW</x:v>
      </x:c>
    </x:row>
    <x:row r="25" ht="18" customHeight="1">
      <x:c r="A25" s="20" t="str">
        <x:v>R022</x:v>
      </x:c>
      <x:c r="B25" s="20" t="str">
        <x:v>S12</x:v>
      </x:c>
      <x:c r="C25" s="20" t="str">
        <x:v>D1 METHOD_REFERENCE</x:v>
      </x:c>
      <x:c r="D25" s="20" t="str">
        <x:v>REVIEW-DERIVED</x:v>
      </x:c>
      <x:c r="E25" s="20" t="str">
        <x:v>atomically_precise_AuNC</x:v>
      </x:c>
      <x:c r="F25" s="20" t="str">
        <x:v>4-mercaptobenzoic acid (MBA)</x:v>
      </x:c>
      <x:c r="G25" s="20" t="str">
        <x:v>N/A</x:v>
      </x:c>
      <x:c r="H25" s="20" t="str">
        <x:v>N/A</x:v>
      </x:c>
      <x:c r="I25" s="20" t="str">
        <x:v>Review table entry</x:v>
      </x:c>
      <x:c r="J25" s="20" t="n">
        <x:v>44</x:v>
      </x:c>
      <x:c r="K25" s="20" t="n">
        <x:v>26</x:v>
      </x:c>
      <x:c r="L25" s="20"/>
      <x:c r="M25" s="20"/>
      <x:c r="N25" s="20" t="str">
        <x:v>Au44(MBA)26</x:v>
      </x:c>
      <x:c r="O25" s="20" t="str">
        <x:v>N/A</x:v>
      </x:c>
      <x:c r="P25" s="20" t="str">
        <x:v>Review-derived optical/PTT entry</x:v>
      </x:c>
      <x:c r="Q25" s="20" t="str">
        <x:v>N/A</x:v>
      </x:c>
      <x:c r="R25" s="20"/>
      <x:c r="S25" s="20"/>
      <x:c r="T25" s="20"/>
      <x:c r="U25" s="20" t="str">
        <x:v>Primary paper required</x:v>
      </x:c>
      <x:c r="V25" s="20" t="n">
        <x:v>1080</x:v>
      </x:c>
      <x:c r="W25" s="20" t="str">
        <x:v>~1080 and 1280</x:v>
      </x:c>
      <x:c r="X25" s="20" t="n">
        <x:v>4.5</x:v>
      </x:c>
      <x:c r="Y25" s="20"/>
      <x:c r="Z25" s="20"/>
      <x:c r="AA25" s="20" t="n">
        <x:v>808</x:v>
      </x:c>
      <x:c r="AB25" s="20"/>
      <x:c r="AC25" s="20"/>
      <x:c r="AD25" s="20"/>
      <x:c r="AE25" s="20" t="str">
        <x:v>PTT / theranostics</x:v>
      </x:c>
      <x:c r="AF25" s="20" t="str">
        <x:v>Review identifies Au44(MBA)26 as high-PCE PTT-capable cluster; not peptide-templated and must remain a benchmark</x:v>
      </x:c>
      <x:c r="AG25" s="20" t="str">
        <x:v>Chem. Rev. Table 1 + PTT section</x:v>
      </x:c>
      <x:c r="AH25" s="20" t="str">
        <x:v>https://doi.org/10.1021/acs.chemrev.4c00835</x:v>
      </x:c>
      <x:c r="AI25" s="24" t="n">
        <x:f>ROUND(100*COUNTA(G25,J25,L25,R25,S25,T25,V25,X25,AA25,AC25)/10,0)</x:f>
        <x:v>50</x:v>
      </x:c>
      <x:c r="AJ25" s="20" t="str">
        <x:v>REVIEW_LEAD</x:v>
      </x:c>
      <x:c r="AK25" s="20" t="str">
        <x:v>REVIEW_DERIVED</x:v>
      </x:c>
      <x:c r="AL25" s="20" t="str">
        <x:v>Primary paper must be extracted before model training.</x:v>
      </x:c>
      <x:c r="AM25" s="20" t="str">
        <x:v>2026-09-07</x:v>
      </x:c>
      <x:c r="AN25" s="20" t="str">
        <x:v>UPLOADED_PRIMARY_OR_REVIEW</x:v>
      </x:c>
    </x:row>
    <x:row r="26" ht="18" customHeight="1">
      <x:c r="A26" s="20" t="str">
        <x:v>R023</x:v>
      </x:c>
      <x:c r="B26" s="20" t="str">
        <x:v>W01</x:v>
      </x:c>
      <x:c r="C26" s="20" t="str">
        <x:v>A2 DIRECT_PEPTIDE_NONPRECISE_AUNC</x:v>
      </x:c>
      <x:c r="D26" s="20" t="str">
        <x:v>DIRECT</x:v>
      </x:c>
      <x:c r="E26" s="20" t="str">
        <x:v>ultrasmall_AuNC_unknown_nuclearity</x:v>
      </x:c>
      <x:c r="F26" s="20" t="str">
        <x:v>SV polypeptide — blue AuNC</x:v>
      </x:c>
      <x:c r="G26" s="20" t="str">
        <x:v>CCYGGPKKKRKVG</x:v>
      </x:c>
      <x:c r="H26" s="20" t="str">
        <x:v>L</x:v>
      </x:c>
      <x:c r="I26" s="20" t="str">
        <x:v>NH2- / -COOH</x:v>
      </x:c>
      <x:c r="J26" s="20"/>
      <x:c r="K26" s="20"/>
      <x:c r="L26" s="20" t="str">
        <x:v>&lt;2</x:v>
      </x:c>
      <x:c r="M26" s="20"/>
      <x:c r="N26" s="20" t="str">
        <x:v>Blue-emitting peptide-templated AuNC</x:v>
      </x:c>
      <x:c r="O26" s="20" t="str">
        <x:v>HAuCl4</x:v>
      </x:c>
      <x:c r="P26" s="20" t="str">
        <x:v>Same SV peptide; synthesis conditions optimized separately from red product</x:v>
      </x:c>
      <x:c r="Q26" s="20" t="str">
        <x:v>Peptide-templated / conditions dependent</x:v>
      </x:c>
      <x:c r="R26" s="20"/>
      <x:c r="S26" s="20"/>
      <x:c r="T26" s="20"/>
      <x:c r="U26" s="20" t="str">
        <x:v>Light, pH, Au:peptide ratio, time and temperature were optimization variables</x:v>
      </x:c>
      <x:c r="V26" s="20" t="n">
        <x:v>405</x:v>
      </x:c>
      <x:c r="W26" s="20" t="str">
        <x:v>λex 320 / λem 405</x:v>
      </x:c>
      <x:c r="X26" s="20"/>
      <x:c r="Y26" s="20"/>
      <x:c r="Z26" s="20"/>
      <x:c r="AA26" s="20"/>
      <x:c r="AB26" s="20"/>
      <x:c r="AC26" s="20"/>
      <x:c r="AD26" s="20"/>
      <x:c r="AE26" s="20" t="str">
        <x:v>Cell-nucleus multimodal imaging</x:v>
      </x:c>
      <x:c r="AF26" s="20" t="str">
        <x:v>The same exact peptide produced a blue AuNC under one synthesis condition set and a red AuNC under another, proving synthesis context is indispensable.</x:v>
      </x:c>
      <x:c r="AG26" s="20" t="str">
        <x:v>ACS Applied Bio Materials abstract + SI listing</x:v>
      </x:c>
      <x:c r="AH26" s="20" t="str">
        <x:v>https://doi.org/10.1021/acsabm.9b01078</x:v>
      </x:c>
      <x:c r="AI26" s="24" t="n">
        <x:f>ROUND(100*COUNTA(G26,J26,L26,R26,S26,T26,V26,X26,AA26,AC26)/10,0)</x:f>
        <x:v>30</x:v>
      </x:c>
      <x:c r="AJ26" s="20" t="str">
        <x:v>QC_HOLD</x:v>
      </x:c>
      <x:c r="AK26" s="20" t="str">
        <x:v>EXACT_FROM_PRIMARY</x:v>
      </x:c>
      <x:c r="AL26" s="20" t="str">
        <x:v>Exact numerical synthesis condition set still needs full main-text/SI extraction.</x:v>
      </x:c>
      <x:c r="AM26" s="20" t="str">
        <x:v>2026-09-07</x:v>
      </x:c>
      <x:c r="AN26" s="20" t="str">
        <x:v>WEB_PRIMARY</x:v>
      </x:c>
    </x:row>
    <x:row r="27" ht="18" customHeight="1">
      <x:c r="A27" s="20" t="str">
        <x:v>R024</x:v>
      </x:c>
      <x:c r="B27" s="20" t="str">
        <x:v>W01</x:v>
      </x:c>
      <x:c r="C27" s="20" t="str">
        <x:v>A2 DIRECT_PEPTIDE_NONPRECISE_AUNC</x:v>
      </x:c>
      <x:c r="D27" s="20" t="str">
        <x:v>DIRECT</x:v>
      </x:c>
      <x:c r="E27" s="20" t="str">
        <x:v>ultrasmall_AuNC_unknown_nuclearity</x:v>
      </x:c>
      <x:c r="F27" s="20" t="str">
        <x:v>SV polypeptide — red AuNC</x:v>
      </x:c>
      <x:c r="G27" s="20" t="str">
        <x:v>CCYGGPKKKRKVG</x:v>
      </x:c>
      <x:c r="H27" s="20" t="str">
        <x:v>L</x:v>
      </x:c>
      <x:c r="I27" s="20" t="str">
        <x:v>NH2- / -COOH</x:v>
      </x:c>
      <x:c r="J27" s="20"/>
      <x:c r="K27" s="20"/>
      <x:c r="L27" s="20" t="str">
        <x:v>&lt;2</x:v>
      </x:c>
      <x:c r="M27" s="20"/>
      <x:c r="N27" s="20" t="str">
        <x:v>Red-emitting peptide-templated AuNC</x:v>
      </x:c>
      <x:c r="O27" s="20" t="str">
        <x:v>HAuCl4</x:v>
      </x:c>
      <x:c r="P27" s="20" t="str">
        <x:v>Same SV peptide; synthesis conditions optimized separately from blue product</x:v>
      </x:c>
      <x:c r="Q27" s="20" t="str">
        <x:v>Peptide-templated / conditions dependent</x:v>
      </x:c>
      <x:c r="R27" s="20"/>
      <x:c r="S27" s="20"/>
      <x:c r="T27" s="20"/>
      <x:c r="U27" s="20" t="str">
        <x:v>Light, pH, Au:peptide ratio, time and temperature were optimization variables</x:v>
      </x:c>
      <x:c r="V27" s="20" t="n">
        <x:v>657</x:v>
      </x:c>
      <x:c r="W27" s="20" t="str">
        <x:v>λex 560 / λem 657</x:v>
      </x:c>
      <x:c r="X27" s="20"/>
      <x:c r="Y27" s="20"/>
      <x:c r="Z27" s="20"/>
      <x:c r="AA27" s="20"/>
      <x:c r="AB27" s="20"/>
      <x:c r="AC27" s="20"/>
      <x:c r="AD27" s="20"/>
      <x:c r="AE27" s="20" t="str">
        <x:v>Cell-nucleus multimodal imaging</x:v>
      </x:c>
      <x:c r="AF27" s="20" t="str">
        <x:v>Paired with R023: identical peptide sequence can yield sharply different optical outcomes when the synthesis environment changes.</x:v>
      </x:c>
      <x:c r="AG27" s="20" t="str">
        <x:v>ACS Applied Bio Materials abstract + SI listing</x:v>
      </x:c>
      <x:c r="AH27" s="20" t="str">
        <x:v>https://doi.org/10.1021/acsabm.9b01078</x:v>
      </x:c>
      <x:c r="AI27" s="24" t="n">
        <x:f>ROUND(100*COUNTA(G27,J27,L27,R27,S27,T27,V27,X27,AA27,AC27)/10,0)</x:f>
        <x:v>30</x:v>
      </x:c>
      <x:c r="AJ27" s="20" t="str">
        <x:v>QC_HOLD</x:v>
      </x:c>
      <x:c r="AK27" s="20" t="str">
        <x:v>EXACT_FROM_PRIMARY</x:v>
      </x:c>
      <x:c r="AL27" s="20" t="str">
        <x:v>Exact numerical synthesis condition set still needs full main-text/SI extraction.</x:v>
      </x:c>
      <x:c r="AM27" s="20" t="str">
        <x:v>2026-09-07</x:v>
      </x:c>
      <x:c r="AN27" s="20" t="str">
        <x:v>WEB_PRIMARY</x:v>
      </x:c>
    </x:row>
    <x:row r="28" ht="18" customHeight="1">
      <x:c r="A28" s="20" t="str">
        <x:v>R025</x:v>
      </x:c>
      <x:c r="B28" s="20" t="str">
        <x:v>W02</x:v>
      </x:c>
      <x:c r="C28" s="20" t="str">
        <x:v>A2 DIRECT_PEPTIDE_NONPRECISE_AUNC</x:v>
      </x:c>
      <x:c r="D28" s="20" t="str">
        <x:v>DIRECT</x:v>
      </x:c>
      <x:c r="E28" s="20" t="str">
        <x:v>ultrasmall_AuNC_unknown_nuclearity</x:v>
      </x:c>
      <x:c r="F28" s="20" t="str">
        <x:v>Cyclodecapeptide-templated AuNC</x:v>
      </x:c>
      <x:c r="G28" s="20" t="str">
        <x:v>Cyclodecapeptide: 1 Tyr + 2 Cys; exact sequence pending</x:v>
      </x:c>
      <x:c r="H28" s="20" t="str">
        <x:v>L</x:v>
      </x:c>
      <x:c r="I28" s="20" t="str">
        <x:v>Cyclic peptide</x:v>
      </x:c>
      <x:c r="J28" s="20"/>
      <x:c r="K28" s="20"/>
      <x:c r="L28" s="20"/>
      <x:c r="M28" s="20"/>
      <x:c r="N28" s="20" t="str">
        <x:v>Red-fluorescent CP-AuNC</x:v>
      </x:c>
      <x:c r="O28" s="20" t="str">
        <x:v>HAuCl4</x:v>
      </x:c>
      <x:c r="P28" s="20" t="str">
        <x:v>100 µL 25 mM HAuCl4 + 1 mL 2 mM cyclodecapeptide</x:v>
      </x:c>
      <x:c r="Q28" s="20" t="str">
        <x:v>Peptide biomineralization / alkaline condition</x:v>
      </x:c>
      <x:c r="R28" s="20"/>
      <x:c r="S28" s="20" t="n">
        <x:v>37</x:v>
      </x:c>
      <x:c r="T28" s="20" t="n">
        <x:v>15</x:v>
      </x:c>
      <x:c r="U28" s="20" t="str">
        <x:v>Vigorous stirring; NaOH 75 µL 0.5 M added after 2 min; sealed 37°C</x:v>
      </x:c>
      <x:c r="V28" s="20"/>
      <x:c r="W28" s="20" t="str">
        <x:v>Red fluorescence; exact peak to extract</x:v>
      </x:c>
      <x:c r="X28" s="20"/>
      <x:c r="Y28" s="20"/>
      <x:c r="Z28" s="20"/>
      <x:c r="AA28" s="20"/>
      <x:c r="AB28" s="20"/>
      <x:c r="AC28" s="20"/>
      <x:c r="AD28" s="20"/>
      <x:c r="AE28" s="20" t="str">
        <x:v>Dual fluorescence/MR imaging after Gd3+ functionalization</x:v>
      </x:c>
      <x:c r="AF28" s="20" t="str">
        <x:v>Direct designed cyclic peptide acts as AuNC template and later Gd3+ chelator; exact peptide sequence must be recovered from structure figure/SI.</x:v>
      </x:c>
      <x:c r="AG28" s="20" t="str">
        <x:v>RSC Supporting Information synthesis</x:v>
      </x:c>
      <x:c r="AH28" s="20" t="str">
        <x:v>https://doi.org/10.1039/C3TB20440E</x:v>
      </x:c>
      <x:c r="AI28" s="24" t="n">
        <x:f>ROUND(100*COUNTA(G28,J28,L28,R28,S28,T28,V28,X28,AA28,AC28)/10,0)</x:f>
        <x:v>30</x:v>
      </x:c>
      <x:c r="AJ28" s="20" t="str">
        <x:v>QC_HOLD</x:v>
      </x:c>
      <x:c r="AK28" s="20" t="str">
        <x:v>INCOMPLETE_SEQUENCE</x:v>
      </x:c>
      <x:c r="AL28" s="20" t="str">
        <x:v>Exact cyclodecapeptide sequence not recovered from searchable text.</x:v>
      </x:c>
      <x:c r="AM28" s="20" t="str">
        <x:v>2026-09-07</x:v>
      </x:c>
      <x:c r="AN28" s="20" t="str">
        <x:v>WEB_PRIMARY+SI</x:v>
      </x:c>
    </x:row>
    <x:row r="29" ht="18" customHeight="1">
      <x:c r="A29" s="20" t="str">
        <x:v>R026</x:v>
      </x:c>
      <x:c r="B29" s="20" t="str">
        <x:v>W03</x:v>
      </x:c>
      <x:c r="C29" s="20" t="str">
        <x:v>A1 DIRECT_PEPTIDE_ATOMIC_AUNC</x:v>
      </x:c>
      <x:c r="D29" s="20" t="str">
        <x:v>DIRECT</x:v>
      </x:c>
      <x:c r="E29" s="20" t="str">
        <x:v>atomically_precise_AuNC</x:v>
      </x:c>
      <x:c r="F29" s="20" t="str">
        <x:v>CCYJNP5 peptide</x:v>
      </x:c>
      <x:c r="G29" s="20" t="str">
        <x:v>CCYLQLQAEER</x:v>
      </x:c>
      <x:c r="H29" s="20" t="str">
        <x:v>L</x:v>
      </x:c>
      <x:c r="I29" s="20" t="str">
        <x:v>C-terminal amide (-NH2)</x:v>
      </x:c>
      <x:c r="J29" s="20" t="n">
        <x:v>21</x:v>
      </x:c>
      <x:c r="K29" s="20"/>
      <x:c r="L29" s="20" t="n">
        <x:v>2</x:v>
      </x:c>
      <x:c r="M29" s="20"/>
      <x:c r="N29" s="20" t="str">
        <x:v>Peptide-conjugated Au21 nanocluster</x:v>
      </x:c>
      <x:c r="O29" s="20" t="str">
        <x:v>HAuCl4</x:v>
      </x:c>
      <x:c r="P29" s="20" t="str">
        <x:v>1 mL 4.428 mM HAuCl4 + 1 mL CCYJNP5; optimized peptide:HAuCl4 = 1:1</x:v>
      </x:c>
      <x:c r="Q29" s="20" t="str">
        <x:v>Peptide self-reduction via Tyr under alkaline pH</x:v>
      </x:c>
      <x:c r="R29" s="20" t="n">
        <x:v>11.5</x:v>
      </x:c>
      <x:c r="S29" s="20" t="n">
        <x:v>25</x:v>
      </x:c>
      <x:c r="T29" s="20" t="n">
        <x:v>18</x:v>
      </x:c>
      <x:c r="U29" s="20" t="str">
        <x:v>Magnetic stirring; 130 µL 1 M NaOH; dialysis MWCO 8000 for 12 h</x:v>
      </x:c>
      <x:c r="V29" s="20" t="n">
        <x:v>640</x:v>
      </x:c>
      <x:c r="W29" s="20" t="str">
        <x:v>λex 380 / λem 640</x:v>
      </x:c>
      <x:c r="X29" s="20" t="n">
        <x:v>2.86</x:v>
      </x:c>
      <x:c r="Y29" s="20"/>
      <x:c r="Z29" s="20"/>
      <x:c r="AA29" s="20"/>
      <x:c r="AB29" s="20"/>
      <x:c r="AC29" s="20"/>
      <x:c r="AD29" s="20"/>
      <x:c r="AE29" s="20" t="str">
        <x:v>FGFR2-targeted tumor-cell imaging</x:v>
      </x:c>
      <x:c r="AF29" s="20" t="str">
        <x:v>MALDI-TOF indicated 21 Au atoms; CCY motif is required for strong fluorescence; ~33% Au(I) at surface.</x:v>
      </x:c>
      <x:c r="AG29" s="20" t="str">
        <x:v>RSC Adv. main text, Methods + Results</x:v>
      </x:c>
      <x:c r="AH29" s="20" t="str">
        <x:v>https://doi.org/10.1039/C5RA20113F</x:v>
      </x:c>
      <x:c r="AI29" s="24" t="n">
        <x:f>ROUND(100*COUNTA(G29,J29,L29,R29,S29,T29,V29,X29,AA29,AC29)/10,0)</x:f>
        <x:v>80</x:v>
      </x:c>
      <x:c r="AJ29" s="20" t="str">
        <x:v>TRAIN_CORE</x:v>
      </x:c>
      <x:c r="AK29" s="20" t="str">
        <x:v>EXACT_FROM_PRIMARY</x:v>
      </x:c>
      <x:c r="AL29" s="20" t="str">
        <x:v>High-value atomic sequence+synthesis+optical record. Group with all same-paper variants in validation.</x:v>
      </x:c>
      <x:c r="AM29" s="20" t="str">
        <x:v>2026-09-07</x:v>
      </x:c>
      <x:c r="AN29" s="20" t="str">
        <x:v>WEB_PRIMARY</x:v>
      </x:c>
    </x:row>
    <x:row r="30" ht="18" customHeight="1">
      <x:c r="A30" s="20" t="str">
        <x:v>R027</x:v>
      </x:c>
      <x:c r="B30" s="20" t="str">
        <x:v>W04</x:v>
      </x:c>
      <x:c r="C30" s="20" t="str">
        <x:v>A1 DIRECT_PEPTIDE_ATOMIC_AUNC</x:v>
      </x:c>
      <x:c r="D30" s="20" t="str">
        <x:v>DIRECT</x:v>
      </x:c>
      <x:c r="E30" s="20" t="str">
        <x:v>atomically_precise_AuNC</x:v>
      </x:c>
      <x:c r="F30" s="20" t="str">
        <x:v>Integrin-targeting peptide Au cluster</x:v>
      </x:c>
      <x:c r="G30" s="20" t="str">
        <x:v>CONFLICT: CGPDGRDGRDGPDGR (Materials) | CCGPDGRDGRDGRDGR (Results)</x:v>
      </x:c>
      <x:c r="H30" s="20" t="str">
        <x:v>L</x:v>
      </x:c>
      <x:c r="I30" s="20" t="str">
        <x:v>N- and C-termini reported NH2-/ -COOH</x:v>
      </x:c>
      <x:c r="J30" s="20" t="n">
        <x:v>7</x:v>
      </x:c>
      <x:c r="K30" s="20" t="n">
        <x:v>5</x:v>
      </x:c>
      <x:c r="L30" s="20" t="n">
        <x:v>2.85</x:v>
      </x:c>
      <x:c r="M30" s="20"/>
      <x:c r="N30" s="20" t="str">
        <x:v>Au7Peptide5 inferred from MALDI-TOF</x:v>
      </x:c>
      <x:c r="O30" s="20" t="str">
        <x:v>HAuCl4</x:v>
      </x:c>
      <x:c r="P30" s="20" t="str">
        <x:v>6 mg peptide in 1 mL water + 40 µL 25 mM HAuCl4</x:v>
      </x:c>
      <x:c r="Q30" s="20" t="str">
        <x:v>Peptide biomimetic mineralization; NaOH-assisted</x:v>
      </x:c>
      <x:c r="R30" s="20"/>
      <x:c r="S30" s="20" t="n">
        <x:v>55</x:v>
      </x:c>
      <x:c r="T30" s="20" t="n">
        <x:v>12</x:v>
      </x:c>
      <x:c r="U30" s="20" t="str">
        <x:v>5 min after Au addition: 200 µL 0.5 M NaOH; MWCO 3 kDa purification</x:v>
      </x:c>
      <x:c r="V30" s="20" t="n">
        <x:v>420</x:v>
      </x:c>
      <x:c r="W30" s="20" t="str">
        <x:v>λex 330 / λem 420</x:v>
      </x:c>
      <x:c r="X30" s="20"/>
      <x:c r="Y30" s="20"/>
      <x:c r="Z30" s="20"/>
      <x:c r="AA30" s="20"/>
      <x:c r="AB30" s="20"/>
      <x:c r="AC30" s="20"/>
      <x:c r="AD30" s="20"/>
      <x:c r="AE30" s="20" t="str">
        <x:v>Tumor-selective enzyme-like catalysis / apoptosis</x:v>
      </x:c>
      <x:c r="AF30" s="20" t="str">
        <x:v>MALDI peaks assigned Au7SxNay; Au7Peptide5 inferred. HRTEM-derived ~2.85±0.55 nm may be beam-affected.</x:v>
      </x:c>
      <x:c r="AG30" s="20" t="str">
        <x:v>Nanomaterials Methods 2.1–2.3 and Results 3.1</x:v>
      </x:c>
      <x:c r="AH30" s="20" t="str">
        <x:v>https://doi.org/10.3390/nano8121040</x:v>
      </x:c>
      <x:c r="AI30" s="24" t="n">
        <x:f>ROUND(100*COUNTA(G30,J30,L30,R30,S30,T30,V30,X30,AA30,AC30)/10,0)</x:f>
        <x:v>60</x:v>
      </x:c>
      <x:c r="AJ30" s="20" t="str">
        <x:v>QC_HOLD</x:v>
      </x:c>
      <x:c r="AK30" s="20" t="str">
        <x:v>SOURCE_CONFLICT</x:v>
      </x:c>
      <x:c r="AL30" s="20" t="str">
        <x:v>Critical sequence inconsistency inside the primary article; verify typeset PDF/author correction before encoding sequence.</x:v>
      </x:c>
      <x:c r="AM30" s="20" t="str">
        <x:v>2026-09-07</x:v>
      </x:c>
      <x:c r="AN30" s="20" t="str">
        <x:v>WEB_PRIMARY</x:v>
      </x:c>
    </x:row>
    <x:row r="31" ht="18" customHeight="1">
      <x:c r="A31" s="20" t="str">
        <x:v>R028</x:v>
      </x:c>
      <x:c r="B31" s="20" t="str">
        <x:v>W05</x:v>
      </x:c>
      <x:c r="C31" s="20" t="str">
        <x:v>A1 DIRECT_PEPTIDE_ATOMIC_AUNC</x:v>
      </x:c>
      <x:c r="D31" s="20" t="str">
        <x:v>DIRECT</x:v>
      </x:c>
      <x:c r="E31" s="20" t="str">
        <x:v>atomically_precise_AuNC</x:v>
      </x:c>
      <x:c r="F31" s="20" t="str">
        <x:v>Sv peptide</x:v>
      </x:c>
      <x:c r="G31" s="20" t="str">
        <x:v>CCYGGPKKKRKPG</x:v>
      </x:c>
      <x:c r="H31" s="20" t="str">
        <x:v>L</x:v>
      </x:c>
      <x:c r="I31" s="20" t="str">
        <x:v>NH2- / -COOH</x:v>
      </x:c>
      <x:c r="J31" s="20" t="n">
        <x:v>25</x:v>
      </x:c>
      <x:c r="K31" s="20" t="n">
        <x:v>9</x:v>
      </x:c>
      <x:c r="L31" s="20"/>
      <x:c r="M31" s="20"/>
      <x:c r="N31" s="20" t="str">
        <x:v>Au25Sv9</x:v>
      </x:c>
      <x:c r="O31" s="20" t="str">
        <x:v>HAuCl4</x:v>
      </x:c>
      <x:c r="P31" s="20" t="str">
        <x:v>Original study reports designed tridecapeptide Sv; exact protocol requires final primary extraction</x:v>
      </x:c>
      <x:c r="Q31" s="20" t="str">
        <x:v>Peptide-templated</x:v>
      </x:c>
      <x:c r="R31" s="20" t="n">
        <x:v>10</x:v>
      </x:c>
      <x:c r="S31" s="20"/>
      <x:c r="T31" s="20" t="n">
        <x:v>15</x:v>
      </x:c>
      <x:c r="U31" s="20" t="str">
        <x:v>Sealed/dark protocol reported in source family; verify exact reagent quantities before training synthesis model</x:v>
      </x:c>
      <x:c r="V31" s="20" t="n">
        <x:v>645</x:v>
      </x:c>
      <x:c r="W31" s="20" t="str">
        <x:v>Red fluorescence; emission peak ~645</x:v>
      </x:c>
      <x:c r="X31" s="20"/>
      <x:c r="Y31" s="20"/>
      <x:c r="Z31" s="20"/>
      <x:c r="AA31" s="20"/>
      <x:c r="AB31" s="20"/>
      <x:c r="AC31" s="20"/>
      <x:c r="AD31" s="20"/>
      <x:c r="AE31" s="20" t="str">
        <x:v>Chronic lymphocytic leukemia therapy</x:v>
      </x:c>
      <x:c r="AF31" s="20" t="str">
        <x:v>Atomic Au25Sv9 binds/inhibits thioredoxin reductase 1 and increases oxidative stress in CLL cells.</x:v>
      </x:c>
      <x:c r="AG31" s="20" t="str">
        <x:v>Science Bulletin primary article / PubMed</x:v>
      </x:c>
      <x:c r="AH31" s="20" t="str">
        <x:v>https://doi.org/10.1016/j.scib.2017.03.024</x:v>
      </x:c>
      <x:c r="AI31" s="24" t="n">
        <x:f>ROUND(100*COUNTA(G31,J31,L31,R31,S31,T31,V31,X31,AA31,AC31)/10,0)</x:f>
        <x:v>50</x:v>
      </x:c>
      <x:c r="AJ31" s="20" t="str">
        <x:v>TRAIN_STRUCTURE_ONLY</x:v>
      </x:c>
      <x:c r="AK31" s="20" t="str">
        <x:v>EXACT_FROM_2017_PRIMARY</x:v>
      </x:c>
      <x:c r="AL31" s="20" t="str">
        <x:v>Do not merge with 2020 SV variant CCYGGPKKKRKVG; sequence-cluster leakage risk is high.</x:v>
      </x:c>
      <x:c r="AM31" s="20" t="str">
        <x:v>2026-09-07</x:v>
      </x:c>
      <x:c r="AN31" s="20" t="str">
        <x:v>WEB_PRIMARY</x:v>
      </x:c>
    </x:row>
    <x:row r="32" ht="18" customHeight="1">
      <x:c r="A32" s="20" t="str">
        <x:v>R029</x:v>
      </x:c>
      <x:c r="B32" s="20" t="str">
        <x:v>W06</x:v>
      </x:c>
      <x:c r="C32" s="20" t="str">
        <x:v>A2 DIRECT_PEPTIDE_NONPRECISE_AUNC</x:v>
      </x:c>
      <x:c r="D32" s="20" t="str">
        <x:v>DIRECT</x:v>
      </x:c>
      <x:c r="E32" s="20" t="str">
        <x:v>ultrasmall_AuNC_unknown_nuclearity</x:v>
      </x:c>
      <x:c r="F32" s="20" t="str">
        <x:v>DGEAGC oligopeptide</x:v>
      </x:c>
      <x:c r="G32" s="20" t="str">
        <x:v>DGEAGC</x:v>
      </x:c>
      <x:c r="H32" s="20" t="str">
        <x:v>L</x:v>
      </x:c>
      <x:c r="I32" s="20" t="str">
        <x:v>None</x:v>
      </x:c>
      <x:c r="J32" s="20"/>
      <x:c r="K32" s="20"/>
      <x:c r="L32" s="20" t="n">
        <x:v>1.3</x:v>
      </x:c>
      <x:c r="M32" s="20"/>
      <x:c r="N32" s="20" t="str">
        <x:v>Monodispersed ultrasmall peptide-protected AuNC</x:v>
      </x:c>
      <x:c r="O32" s="20" t="str">
        <x:v>HAuCl4</x:v>
      </x:c>
      <x:c r="P32" s="20" t="str">
        <x:v>68 µL HAuCl4 0.2 g/mL + 1.0 mL peptide 50 mg/mL + 17.6 mL water</x:v>
      </x:c>
      <x:c r="Q32" s="20" t="str">
        <x:v>Thermal reduction</x:v>
      </x:c>
      <x:c r="R32" s="20"/>
      <x:c r="S32" s="20" t="n">
        <x:v>70</x:v>
      </x:c>
      <x:c r="T32" s="20" t="n">
        <x:v>2</x:v>
      </x:c>
      <x:c r="U32" s="20" t="str">
        <x:v>Vigorous stirring RT 5 min, then 70°C for 2 h; PAGE purification used for characterization</x:v>
      </x:c>
      <x:c r="V32" s="20" t="n">
        <x:v>600</x:v>
      </x:c>
      <x:c r="W32" s="20" t="str">
        <x:v>λex 400 / λem 600</x:v>
      </x:c>
      <x:c r="X32" s="20"/>
      <x:c r="Y32" s="20" t="n">
        <x:v>400</x:v>
      </x:c>
      <x:c r="Z32" s="20"/>
      <x:c r="AA32" s="20"/>
      <x:c r="AB32" s="20"/>
      <x:c r="AC32" s="20"/>
      <x:c r="AD32" s="20"/>
      <x:c r="AE32" s="20" t="str">
        <x:v>Peroxidase mimic / cell imaging</x:v>
      </x:c>
      <x:c r="AF32" s="20" t="str">
        <x:v>Straightforward one-pot sequence+synthesis+size+optical record; article introduction contains a DGECGC typo but Methods specify DGEAGC.</x:v>
      </x:c>
      <x:c r="AG32" s="20" t="str">
        <x:v>Molecules 2023 Methods 3.1/3.3 + Results 2.1</x:v>
      </x:c>
      <x:c r="AH32" s="20" t="str">
        <x:v>https://doi.org/10.3390/molecules28010070</x:v>
      </x:c>
      <x:c r="AI32" s="24" t="n">
        <x:f>ROUND(100*COUNTA(G32,J32,L32,R32,S32,T32,V32,X32,AA32,AC32)/10,0)</x:f>
        <x:v>50</x:v>
      </x:c>
      <x:c r="AJ32" s="20" t="str">
        <x:v>TRAIN_OPTICAL_SIZE</x:v>
      </x:c>
      <x:c r="AK32" s="20" t="str">
        <x:v>EXACT_FROM_METHODS</x:v>
      </x:c>
      <x:c r="AL32" s="20" t="str">
        <x:v>Use DGEAGC from Materials/Methods; record introduction typo DGECGC in QC log.</x:v>
      </x:c>
      <x:c r="AM32" s="20" t="str">
        <x:v>2026-09-07</x:v>
      </x:c>
      <x:c r="AN32" s="20" t="str">
        <x:v>WEB_PRIMARY</x:v>
      </x:c>
    </x:row>
    <x:row r="33" ht="18" customHeight="1">
      <x:c r="A33" s="20" t="str">
        <x:v>R030</x:v>
      </x:c>
      <x:c r="B33" s="20" t="str">
        <x:v>W07</x:v>
      </x:c>
      <x:c r="C33" s="20" t="str">
        <x:v>A2 DIRECT_PEPTIDE_NONPRECISE_AUNC</x:v>
      </x:c>
      <x:c r="D33" s="20" t="str">
        <x:v>DIRECT</x:v>
      </x:c>
      <x:c r="E33" s="20" t="str">
        <x:v>ultrasmall_AuNC_unknown_nuclearity</x:v>
      </x:c>
      <x:c r="F33" s="20" t="str">
        <x:v>Cyclic RGD peptide</x:v>
      </x:c>
      <x:c r="G33" s="20" t="str">
        <x:v>c(RGD) / c(RGDyE) family; exact sequence requires SI verification</x:v>
      </x:c>
      <x:c r="H33" s="20" t="str">
        <x:v>L</x:v>
      </x:c>
      <x:c r="I33" s="20" t="str">
        <x:v>Cyclic peptide</x:v>
      </x:c>
      <x:c r="J33" s="20"/>
      <x:c r="K33" s="20"/>
      <x:c r="L33" s="20"/>
      <x:c r="M33" s="20"/>
      <x:c r="N33" s="20" t="str">
        <x:v>RGD-conjugated AuNC</x:v>
      </x:c>
      <x:c r="O33" s="20" t="str">
        <x:v>Chloraurate</x:v>
      </x:c>
      <x:c r="P33" s="20" t="str">
        <x:v>Cyclic RGD used as both reducing and protecting agent</x:v>
      </x:c>
      <x:c r="Q33" s="20" t="str">
        <x:v>Peptide self-reduction under alkaline condition</x:v>
      </x:c>
      <x:c r="R33" s="20"/>
      <x:c r="S33" s="20" t="n">
        <x:v>25</x:v>
      </x:c>
      <x:c r="T33" s="20" t="n">
        <x:v>0.25</x:v>
      </x:c>
      <x:c r="U33" s="20" t="str">
        <x:v>Direct alkaline synthesis; complete in 15 min at room temperature</x:v>
      </x:c>
      <x:c r="V33" s="20"/>
      <x:c r="W33" s="20" t="str">
        <x:v>Fluorescent; exact λ from full paper/SI to extract</x:v>
      </x:c>
      <x:c r="X33" s="20"/>
      <x:c r="Y33" s="20"/>
      <x:c r="Z33" s="20"/>
      <x:c r="AA33" s="20"/>
      <x:c r="AB33" s="20"/>
      <x:c r="AC33" s="20"/>
      <x:c r="AD33" s="20"/>
      <x:c r="AE33" s="20" t="str">
        <x:v>αvβ3-positive melanoma A375 imaging</x:v>
      </x:c>
      <x:c r="AF33" s="20" t="str">
        <x:v>Very fast direct peptide-AuNC synthesis; exact cyclic peptide identity/condition optimization resides in SI.</x:v>
      </x:c>
      <x:c r="AG33" s="20" t="str">
        <x:v>Bioconjugate Chemistry abstract + SI description</x:v>
      </x:c>
      <x:c r="AH33" s="20" t="str">
        <x:v>https://doi.org/10.1021/bc500505c</x:v>
      </x:c>
      <x:c r="AI33" s="24" t="n">
        <x:f>ROUND(100*COUNTA(G33,J33,L33,R33,S33,T33,V33,X33,AA33,AC33)/10,0)</x:f>
        <x:v>30</x:v>
      </x:c>
      <x:c r="AJ33" s="20" t="str">
        <x:v>QC_HOLD</x:v>
      </x:c>
      <x:c r="AK33" s="20" t="str">
        <x:v>PARTIAL_SEQUENCE</x:v>
      </x:c>
      <x:c r="AL33" s="20" t="str">
        <x:v>Acquire SI/full text before model training.</x:v>
      </x:c>
      <x:c r="AM33" s="20" t="str">
        <x:v>2026-09-07</x:v>
      </x:c>
      <x:c r="AN33" s="20" t="str">
        <x:v>WEB_PRIMARY</x:v>
      </x:c>
    </x:row>
    <x:row r="34" ht="18" customHeight="1">
      <x:c r="A34" s="20" t="str">
        <x:v>R031</x:v>
      </x:c>
      <x:c r="B34" s="20" t="str">
        <x:v>W08</x:v>
      </x:c>
      <x:c r="C34" s="20" t="str">
        <x:v>C1 AUNC_PTT_BENCHMARK</x:v>
      </x:c>
      <x:c r="D34" s="20" t="str">
        <x:v>DIRECT</x:v>
      </x:c>
      <x:c r="E34" s="20" t="str">
        <x:v>ultrasmall_AuNC_unknown_nuclearity</x:v>
      </x:c>
      <x:c r="F34" s="20" t="str">
        <x:v>LHRH analogue-functionalized AuNC</x:v>
      </x:c>
      <x:c r="G34" s="20" t="str">
        <x:v>LHRHa; exact sequence pending primary full text</x:v>
      </x:c>
      <x:c r="H34" s="20" t="str">
        <x:v>L</x:v>
      </x:c>
      <x:c r="I34" s="20" t="str">
        <x:v>Post-synthesis peptide functionalization</x:v>
      </x:c>
      <x:c r="J34" s="20"/>
      <x:c r="K34" s="20"/>
      <x:c r="L34" s="20"/>
      <x:c r="M34" s="20"/>
      <x:c r="N34" s="20" t="str">
        <x:v>PEI-modified AuNC + LHRHa nanosystem</x:v>
      </x:c>
      <x:c r="O34" s="20"/>
      <x:c r="P34" s="20" t="str">
        <x:v>PEI-AuNC combined with LHRH analogue</x:v>
      </x:c>
      <x:c r="Q34" s="20"/>
      <x:c r="R34" s="20"/>
      <x:c r="S34" s="20"/>
      <x:c r="T34" s="20"/>
      <x:c r="U34" s="20" t="str">
        <x:v>Post-functionalized targeting nanosystem</x:v>
      </x:c>
      <x:c r="V34" s="20"/>
      <x:c r="W34" s="20"/>
      <x:c r="X34" s="20"/>
      <x:c r="Y34" s="20"/>
      <x:c r="Z34" s="20"/>
      <x:c r="AA34" s="20"/>
      <x:c r="AB34" s="20"/>
      <x:c r="AC34" s="20"/>
      <x:c r="AD34" s="20"/>
      <x:c r="AE34" s="20" t="str">
        <x:v>Targeted prostate-cancer FL/CT + PTT</x:v>
      </x:c>
      <x:c r="AF34" s="20" t="str">
        <x:v>Useful peptide-functionalized AuNC PTT benchmark, but not a peptide-templated atomic-nuclearity training record.</x:v>
      </x:c>
      <x:c r="AG34" s="20" t="str">
        <x:v>J. Mater. Chem. B abstract</x:v>
      </x:c>
      <x:c r="AH34" s="20" t="str">
        <x:v>https://doi.org/10.1039/D2TB00531J</x:v>
      </x:c>
      <x:c r="AI34" s="24" t="n">
        <x:f>ROUND(100*COUNTA(G34,J34,L34,R34,S34,T34,V34,X34,AA34,AC34)/10,0)</x:f>
        <x:v>10</x:v>
      </x:c>
      <x:c r="AJ34" s="20" t="str">
        <x:v>BENCHMARK_ONLY</x:v>
      </x:c>
      <x:c r="AK34" s="20" t="str">
        <x:v>INCOMPLETE_SEQUENCE</x:v>
      </x:c>
      <x:c r="AL34" s="20" t="str">
        <x:v>Need exact LHRHa identity and laser/PCE/heating data from full primary paper.</x:v>
      </x:c>
      <x:c r="AM34" s="20" t="str">
        <x:v>2026-09-07</x:v>
      </x:c>
      <x:c r="AN34" s="20" t="str">
        <x:v>WEB_PRIMARY</x:v>
      </x:c>
    </x:row>
    <x:row r="35" ht="18" customHeight="1">
      <x:c r="A35" s="20" t="str">
        <x:v>R032</x:v>
      </x:c>
      <x:c r="B35" s="20" t="str">
        <x:v>W09</x:v>
      </x:c>
      <x:c r="C35" s="20" t="str">
        <x:v>A2 DIRECT_PEPTIDE_NONPRECISE_AUNC</x:v>
      </x:c>
      <x:c r="D35" s="20" t="str">
        <x:v>DIRECT</x:v>
      </x:c>
      <x:c r="E35" s="20" t="str">
        <x:v>ultrasmall_AuNC_unknown_nuclearity</x:v>
      </x:c>
      <x:c r="F35" s="20" t="str">
        <x:v>CMMMMM peptide</x:v>
      </x:c>
      <x:c r="G35" s="20" t="str">
        <x:v>CMMMMM</x:v>
      </x:c>
      <x:c r="H35" s="20" t="str">
        <x:v>L</x:v>
      </x:c>
      <x:c r="I35" s="20" t="str">
        <x:v>None</x:v>
      </x:c>
      <x:c r="J35" s="20"/>
      <x:c r="K35" s="20"/>
      <x:c r="L35" s="20"/>
      <x:c r="M35" s="20"/>
      <x:c r="N35" s="20" t="str">
        <x:v>Peptide-coated fluorescent AuNC</x:v>
      </x:c>
      <x:c r="O35" s="20" t="str">
        <x:v>Gold precursor; exact SI protocol pending</x:v>
      </x:c>
      <x:c r="P35" s="20" t="str">
        <x:v>Screened peptide synthesis</x:v>
      </x:c>
      <x:c r="Q35" s="20"/>
      <x:c r="R35" s="20"/>
      <x:c r="S35" s="20"/>
      <x:c r="T35" s="20"/>
      <x:c r="U35" s="20" t="str">
        <x:v>Exact synthesis conditions in Supporting Information</x:v>
      </x:c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 t="str">
        <x:v>Protein/serum discrimination</x:v>
      </x:c>
      <x:c r="AF35" s="20" t="str">
        <x:v>CMMMMM-AuNC fluorescence intensity was 230% higher than CYYYYY comparator; &gt;90% fluorescence remained after 60 min UV vs &lt;30% for CYYYYY.</x:v>
      </x:c>
      <x:c r="AG35" s="20" t="str">
        <x:v>Analytical Chemistry abstract</x:v>
      </x:c>
      <x:c r="AH35" s="20" t="str">
        <x:v>https://doi.org/10.1021/acs.analchem.9b03463</x:v>
      </x:c>
      <x:c r="AI35" s="24" t="n">
        <x:f>ROUND(100*COUNTA(G35,J35,L35,R35,S35,T35,V35,X35,AA35,AC35)/10,0)</x:f>
        <x:v>10</x:v>
      </x:c>
      <x:c r="AJ35" s="20" t="str">
        <x:v>QC_HOLD</x:v>
      </x:c>
      <x:c r="AK35" s="20" t="str">
        <x:v>EXACT_FROM_PRIMARY</x:v>
      </x:c>
      <x:c r="AL35" s="20" t="str">
        <x:v>Strong sequence-effect pair, but exact synthesis variables must be extracted before training.</x:v>
      </x:c>
      <x:c r="AM35" s="20" t="str">
        <x:v>2026-09-07</x:v>
      </x:c>
      <x:c r="AN35" s="20" t="str">
        <x:v>WEB_PRIMARY</x:v>
      </x:c>
    </x:row>
    <x:row r="36" ht="18" customHeight="1">
      <x:c r="A36" s="20" t="str">
        <x:v>R033</x:v>
      </x:c>
      <x:c r="B36" s="20" t="str">
        <x:v>W09</x:v>
      </x:c>
      <x:c r="C36" s="20" t="str">
        <x:v>A2 DIRECT_PEPTIDE_NONPRECISE_AUNC</x:v>
      </x:c>
      <x:c r="D36" s="20" t="str">
        <x:v>DIRECT</x:v>
      </x:c>
      <x:c r="E36" s="20" t="str">
        <x:v>ultrasmall_AuNC_unknown_nuclearity</x:v>
      </x:c>
      <x:c r="F36" s="20" t="str">
        <x:v>CYYYYY comparator</x:v>
      </x:c>
      <x:c r="G36" s="20" t="str">
        <x:v>CYYYYY</x:v>
      </x:c>
      <x:c r="H36" s="20" t="str">
        <x:v>L</x:v>
      </x:c>
      <x:c r="I36" s="20" t="str">
        <x:v>None</x:v>
      </x:c>
      <x:c r="J36" s="20"/>
      <x:c r="K36" s="20"/>
      <x:c r="L36" s="20"/>
      <x:c r="M36" s="20"/>
      <x:c r="N36" s="20" t="str">
        <x:v>Comparator peptide-coated AuNC</x:v>
      </x:c>
      <x:c r="O36" s="20" t="str">
        <x:v>Gold precursor; exact SI protocol pending</x:v>
      </x:c>
      <x:c r="P36" s="20" t="str">
        <x:v>Comparator peptide synthesis</x:v>
      </x:c>
      <x:c r="Q36" s="20"/>
      <x:c r="R36" s="20"/>
      <x:c r="S36" s="20"/>
      <x:c r="T36" s="20"/>
      <x:c r="U36" s="20" t="str">
        <x:v>Exact synthesis conditions in Supporting Information</x:v>
      </x:c>
      <x:c r="V36" s="20"/>
      <x:c r="W36" s="20"/>
      <x:c r="X36" s="20"/>
      <x:c r="Y36" s="20"/>
      <x:c r="Z36" s="20"/>
      <x:c r="AA36" s="20"/>
      <x:c r="AB36" s="20"/>
      <x:c r="AC36" s="20"/>
      <x:c r="AD36" s="20"/>
      <x:c r="AE36" s="20" t="str">
        <x:v>Comparator for fluorescence/stability</x:v>
      </x:c>
      <x:c r="AF36" s="20" t="str">
        <x:v>Matched comparator to CMMMMM; lower fluorescence and markedly poorer UV photostability.</x:v>
      </x:c>
      <x:c r="AG36" s="20" t="str">
        <x:v>Analytical Chemistry abstract</x:v>
      </x:c>
      <x:c r="AH36" s="20" t="str">
        <x:v>https://doi.org/10.1021/acs.analchem.9b03463</x:v>
      </x:c>
      <x:c r="AI36" s="24" t="n">
        <x:f>ROUND(100*COUNTA(G36,J36,L36,R36,S36,T36,V36,X36,AA36,AC36)/10,0)</x:f>
        <x:v>10</x:v>
      </x:c>
      <x:c r="AJ36" s="20" t="str">
        <x:v>QC_HOLD</x:v>
      </x:c>
      <x:c r="AK36" s="20" t="str">
        <x:v>EXACT_FROM_PRIMARY</x:v>
      </x:c>
      <x:c r="AL36" s="20" t="str">
        <x:v>Paired comparator is highly informative once SI synthesis variables are obtained.</x:v>
      </x:c>
      <x:c r="AM36" s="20" t="str">
        <x:v>2026-09-07</x:v>
      </x:c>
      <x:c r="AN36" s="20" t="str">
        <x:v>WEB_PRIMARY</x:v>
      </x:c>
    </x:row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conditionalFormatting sqref="AI4:AI3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AJ4:AJ36">
    <x:cfRule type="expression" dxfId="1" priority="2">
      <x:formula>LEFT(AJ4,5)="TRAIN"</x:formula>
    </x:cfRule>
    <x:cfRule type="expression" dxfId="2" priority="3">
      <x:formula>AJ4="QC_HOLD"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620ccf1512474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70" hidden="0" customWidth="1"/>
    <x:col min="4" max="4" width="32" hidden="0" customWidth="1"/>
    <x:col min="5" max="5" width="44" hidden="0" customWidth="1"/>
    <x:col min="6" max="6" width="34" hidden="0" customWidth="1"/>
    <x:col min="7" max="7" width="42" hidden="0" customWidth="1"/>
    <x:col min="8" max="8" width="20" hidden="0" customWidth="1"/>
    <x:col min="9" max="9" width="40" hidden="0" customWidth="1"/>
    <x:col min="10" max="10" width="36" hidden="0" customWidth="1"/>
    <x:col min="11" max="11" width="10" hidden="0" customWidth="1"/>
    <x:col min="12" max="12" width="30" hidden="0" customWidth="1"/>
  </x:cols>
  <x:sheetData>
    <x:row r="1" ht="28" customHeight="1">
      <x:c r="A1" s="30" t="str">
        <x:v>PepAuDB v0.2 — Web-Researched Primary Literature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</x:row>
    <x:row r="2" ht="18" customHeight="1"/>
    <x:row r="3" ht="32" customHeight="1">
      <x:c r="A3" s="35" t="str">
        <x:v>Source_Key</x:v>
      </x:c>
      <x:c r="B3" s="35" t="str">
        <x:v>Year</x:v>
      </x:c>
      <x:c r="C3" s="35" t="str">
        <x:v>Paper</x:v>
      </x:c>
      <x:c r="D3" s="35" t="str">
        <x:v>Journal</x:v>
      </x:c>
      <x:c r="E3" s="35" t="str">
        <x:v>DOI_URL</x:v>
      </x:c>
      <x:c r="F3" s="35" t="str">
        <x:v>Evidence_Role</x:v>
      </x:c>
      <x:c r="G3" s="35" t="str">
        <x:v>Exact_Peptide_Data</x:v>
      </x:c>
      <x:c r="H3" s="35" t="str">
        <x:v>Atomic_Nuclearity</x:v>
      </x:c>
      <x:c r="I3" s="35" t="str">
        <x:v>Synthesis_Data_Status</x:v>
      </x:c>
      <x:c r="J3" s="35" t="str">
        <x:v>Current_Use</x:v>
      </x:c>
      <x:c r="K3" s="35" t="str">
        <x:v>Priority</x:v>
      </x:c>
      <x:c r="L3" s="35" t="str">
        <x:v>Acquisition_Status</x:v>
      </x:c>
    </x:row>
    <x:row r="4" ht="18" customHeight="1">
      <x:c r="A4" s="20" t="str">
        <x:v>W01</x:v>
      </x:c>
      <x:c r="B4" s="20" t="n">
        <x:v>2020</x:v>
      </x:c>
      <x:c r="C4" s="20" t="str">
        <x:v>Polypeptide-Templated Au Nanoclusters with Red and Blue Fluorescence Emissions for Multimodal Imaging of Cell Nuclei</x:v>
      </x:c>
      <x:c r="D4" s="20" t="str">
        <x:v>ACS Applied Bio Materials</x:v>
      </x:c>
      <x:c r="E4" s="20" t="str">
        <x:v>https://doi.org/10.1021/acsabm.9b01078</x:v>
      </x:c>
      <x:c r="F4" s="20" t="str">
        <x:v>Direct peptide-templated AuNC</x:v>
      </x:c>
      <x:c r="G4" s="20" t="str">
        <x:v>CCYGGPKKKRKVG</x:v>
      </x:c>
      <x:c r="H4" s="20" t="str">
        <x:v>Not in abstract</x:v>
      </x:c>
      <x:c r="I4" s="20" t="str">
        <x:v>Optimization variables known; exact values still needed</x:v>
      </x:c>
      <x:c r="J4" s="20" t="str">
        <x:v>Paired same-sequence optical outcome records</x:v>
      </x:c>
      <x:c r="K4" s="20" t="str">
        <x:v>P0</x:v>
      </x:c>
      <x:c r="L4" s="20" t="str">
        <x:v>PARTIAL — acquire full main text/SI</x:v>
      </x:c>
    </x:row>
    <x:row r="5" ht="18" customHeight="1">
      <x:c r="A5" s="20" t="str">
        <x:v>W02</x:v>
      </x:c>
      <x:c r="B5" s="20" t="n">
        <x:v>2013</x:v>
      </x:c>
      <x:c r="C5" s="20" t="str">
        <x:v>One-pot synthesis of Gd3+-functionalized gold nanoclusters for dual-mode fluorescence/MR imaging</x:v>
      </x:c>
      <x:c r="D5" s="20" t="str">
        <x:v>Journal of Materials Chemistry B</x:v>
      </x:c>
      <x:c r="E5" s="20" t="str">
        <x:v>https://doi.org/10.1039/C3TB20440E</x:v>
      </x:c>
      <x:c r="F5" s="20" t="str">
        <x:v>Direct cyclic-peptide AuNC</x:v>
      </x:c>
      <x:c r="G5" s="20" t="str">
        <x:v>Cyclodecapeptide; exact sequence pending</x:v>
      </x:c>
      <x:c r="H5" s="20" t="str">
        <x:v>Not recovered</x:v>
      </x:c>
      <x:c r="I5" s="20" t="str">
        <x:v>SI synthesis extracted</x:v>
      </x:c>
      <x:c r="J5" s="20" t="str">
        <x:v>Synthesis-context record; sequence on QC hold</x:v>
      </x:c>
      <x:c r="K5" s="20" t="str">
        <x:v>P0</x:v>
      </x:c>
      <x:c r="L5" s="20" t="str">
        <x:v>PARTIAL — sequence structure needs recovery</x:v>
      </x:c>
    </x:row>
    <x:row r="6" ht="18" customHeight="1">
      <x:c r="A6" s="20" t="str">
        <x:v>W03</x:v>
      </x:c>
      <x:c r="B6" s="20" t="n">
        <x:v>2016</x:v>
      </x:c>
      <x:c r="C6" s="20" t="str">
        <x:v>One-step synthesis of peptide conjugated gold nanoclusters for high-expression FGFR2 targeting and imaging</x:v>
      </x:c>
      <x:c r="D6" s="20" t="str">
        <x:v>RSC Advances</x:v>
      </x:c>
      <x:c r="E6" s="20" t="str">
        <x:v>https://doi.org/10.1039/C5RA20113F</x:v>
      </x:c>
      <x:c r="F6" s="20" t="str">
        <x:v>Direct atomic peptide-AuNC</x:v>
      </x:c>
      <x:c r="G6" s="20" t="str">
        <x:v>CCYLQLQAEER-NH2</x:v>
      </x:c>
      <x:c r="H6" s="20" t="str">
        <x:v>Au21</x:v>
      </x:c>
      <x:c r="I6" s="20" t="str">
        <x:v>Main-text synthesis and optimization extracted</x:v>
      </x:c>
      <x:c r="J6" s="20" t="str">
        <x:v>TRAIN_CORE atomic record</x:v>
      </x:c>
      <x:c r="K6" s="20" t="str">
        <x:v>P0</x:v>
      </x:c>
      <x:c r="L6" s="20" t="str">
        <x:v>ACQUIRED FROM FULL HTML</x:v>
      </x:c>
    </x:row>
    <x:row r="7" ht="18" customHeight="1">
      <x:c r="A7" s="20" t="str">
        <x:v>W04</x:v>
      </x:c>
      <x:c r="B7" s="20" t="n">
        <x:v>2018</x:v>
      </x:c>
      <x:c r="C7" s="20" t="str">
        <x:v>Peptide-Templated Gold Clusters as Enzyme-Like Catalyst Boost Intracellular Oxidative Pressure and Induce Tumor-Specific Cell Apoptosis</x:v>
      </x:c>
      <x:c r="D7" s="20" t="str">
        <x:v>Nanomaterials</x:v>
      </x:c>
      <x:c r="E7" s="20" t="str">
        <x:v>https://doi.org/10.3390/nano8121040</x:v>
      </x:c>
      <x:c r="F7" s="20" t="str">
        <x:v>Direct atomic peptide-AuNC</x:v>
      </x:c>
      <x:c r="G7" s="20" t="str">
        <x:v>Primary text contains conflicting sequences</x:v>
      </x:c>
      <x:c r="H7" s="20" t="str">
        <x:v>Au7Peptide5 inferred</x:v>
      </x:c>
      <x:c r="I7" s="20" t="str">
        <x:v>Full synthesis extracted</x:v>
      </x:c>
      <x:c r="J7" s="20" t="str">
        <x:v>Atomic record held for sequence QC</x:v>
      </x:c>
      <x:c r="K7" s="20" t="str">
        <x:v>P0</x:v>
      </x:c>
      <x:c r="L7" s="20" t="str">
        <x:v>ACQUIRED — sequence conflict unresolved</x:v>
      </x:c>
    </x:row>
    <x:row r="8" ht="18" customHeight="1">
      <x:c r="A8" s="20" t="str">
        <x:v>W05</x:v>
      </x:c>
      <x:c r="B8" s="20" t="n">
        <x:v>2017</x:v>
      </x:c>
      <x:c r="C8" s="20" t="str">
        <x:v>Au nanoclusters suppress chronic lymphocytic leukaemia cells by inhibiting thioredoxin reductase 1</x:v>
      </x:c>
      <x:c r="D8" s="20" t="str">
        <x:v>Science Bulletin</x:v>
      </x:c>
      <x:c r="E8" s="20" t="str">
        <x:v>https://doi.org/10.1016/j.scib.2017.03.024</x:v>
      </x:c>
      <x:c r="F8" s="20" t="str">
        <x:v>Direct atomic peptide-AuNC cancer therapy</x:v>
      </x:c>
      <x:c r="G8" s="20" t="str">
        <x:v>CCYGGPKKKRKPG</x:v>
      </x:c>
      <x:c r="H8" s="20" t="str">
        <x:v>Au25Sv9</x:v>
      </x:c>
      <x:c r="I8" s="20" t="str">
        <x:v>Protocol only partially recovered</x:v>
      </x:c>
      <x:c r="J8" s="20" t="str">
        <x:v>TRAIN_STRUCTURE_ONLY</x:v>
      </x:c>
      <x:c r="K8" s="20" t="str">
        <x:v>P0</x:v>
      </x:c>
      <x:c r="L8" s="20" t="str">
        <x:v>PARTIAL — obtain full primary PDF</x:v>
      </x:c>
    </x:row>
    <x:row r="9" ht="18" customHeight="1">
      <x:c r="A9" s="20" t="str">
        <x:v>W06</x:v>
      </x:c>
      <x:c r="B9" s="20" t="n">
        <x:v>2023</x:v>
      </x:c>
      <x:c r="C9" s="20" t="str">
        <x:v>An Oligopeptide-Protected Ultrasmall Gold Nanocluster with Peroxidase-Mimicking and Cellular-Imaging Capacities</x:v>
      </x:c>
      <x:c r="D9" s="20" t="str">
        <x:v>Molecules</x:v>
      </x:c>
      <x:c r="E9" s="20" t="str">
        <x:v>https://doi.org/10.3390/molecules28010070</x:v>
      </x:c>
      <x:c r="F9" s="20" t="str">
        <x:v>Direct peptide-AuNC</x:v>
      </x:c>
      <x:c r="G9" s="20" t="str">
        <x:v>DGEAGC</x:v>
      </x:c>
      <x:c r="H9" s="20" t="str">
        <x:v>Unknown</x:v>
      </x:c>
      <x:c r="I9" s="20" t="str">
        <x:v>Full synthesis extracted</x:v>
      </x:c>
      <x:c r="J9" s="20" t="str">
        <x:v>TRAIN_OPTICAL_SIZE</x:v>
      </x:c>
      <x:c r="K9" s="20" t="str">
        <x:v>P1</x:v>
      </x:c>
      <x:c r="L9" s="20" t="str">
        <x:v>ACQUIRED OPEN ACCESS</x:v>
      </x:c>
    </x:row>
    <x:row r="10" ht="18" customHeight="1">
      <x:c r="A10" s="20" t="str">
        <x:v>W07</x:v>
      </x:c>
      <x:c r="B10" s="20" t="n">
        <x:v>2015</x:v>
      </x:c>
      <x:c r="C10" s="20" t="str">
        <x:v>Rapid Synthesis of Cyclic RGD Conjugated Gold Nanoclusters for Targeting and Fluorescence Imaging of Melanoma A375 Cells</x:v>
      </x:c>
      <x:c r="D10" s="20" t="str">
        <x:v>Bioconjugate Chemistry</x:v>
      </x:c>
      <x:c r="E10" s="20" t="str">
        <x:v>https://doi.org/10.1021/bc500505c</x:v>
      </x:c>
      <x:c r="F10" s="20" t="str">
        <x:v>Direct cyclic-peptide AuNC</x:v>
      </x:c>
      <x:c r="G10" s="20" t="str">
        <x:v>c(RGD) family; exact SI identity pending</x:v>
      </x:c>
      <x:c r="H10" s="20" t="str">
        <x:v>Unknown</x:v>
      </x:c>
      <x:c r="I10" s="20" t="str">
        <x:v>15 min RT alkaline synthesis known</x:v>
      </x:c>
      <x:c r="J10" s="20" t="str">
        <x:v>QC_HOLD until SI</x:v>
      </x:c>
      <x:c r="K10" s="20" t="str">
        <x:v>P1</x:v>
      </x:c>
      <x:c r="L10" s="20" t="str">
        <x:v>PARTIAL — SI/full text needed</x:v>
      </x:c>
    </x:row>
    <x:row r="11" ht="18" customHeight="1">
      <x:c r="A11" s="20" t="str">
        <x:v>W08</x:v>
      </x:c>
      <x:c r="B11" s="20" t="n">
        <x:v>2022</x:v>
      </x:c>
      <x:c r="C11" s="20" t="str">
        <x:v>AuNCs-LHRHa nano-system for FL/CT dual-mode imaging and photothermal therapy of targeted prostate cancer</x:v>
      </x:c>
      <x:c r="D11" s="20" t="str">
        <x:v>Journal of Materials Chemistry B</x:v>
      </x:c>
      <x:c r="E11" s="20" t="str">
        <x:v>https://doi.org/10.1039/D2TB00531J</x:v>
      </x:c>
      <x:c r="F11" s="20" t="str">
        <x:v>Peptide-functionalized AuNC PTT</x:v>
      </x:c>
      <x:c r="G11" s="20" t="str">
        <x:v>LHRH analogue; exact sequence pending</x:v>
      </x:c>
      <x:c r="H11" s="20" t="str">
        <x:v>Unknown</x:v>
      </x:c>
      <x:c r="I11" s="20" t="str">
        <x:v>PTT details incomplete</x:v>
      </x:c>
      <x:c r="J11" s="20" t="str">
        <x:v>PTT BENCHMARK_ONLY</x:v>
      </x:c>
      <x:c r="K11" s="20" t="str">
        <x:v>P0</x:v>
      </x:c>
      <x:c r="L11" s="20" t="str">
        <x:v>PARTIAL — full text needed</x:v>
      </x:c>
    </x:row>
    <x:row r="12" ht="18" customHeight="1">
      <x:c r="A12" s="20" t="str">
        <x:v>W09</x:v>
      </x:c>
      <x:c r="B12" s="20" t="n">
        <x:v>2019</x:v>
      </x:c>
      <x:c r="C12" s="20" t="str">
        <x:v>Ultrahighly Efficient and Stable Fluorescent Gold Nanoclusters Coated with Screened Peptides of Unique Sequences</x:v>
      </x:c>
      <x:c r="D12" s="20" t="str">
        <x:v>Analytical Chemistry</x:v>
      </x:c>
      <x:c r="E12" s="20" t="str">
        <x:v>https://doi.org/10.1021/acs.analchem.9b03463</x:v>
      </x:c>
      <x:c r="F12" s="20" t="str">
        <x:v>Direct peptide sequence comparison</x:v>
      </x:c>
      <x:c r="G12" s="20" t="str">
        <x:v>CMMMMM vs CYYYYY</x:v>
      </x:c>
      <x:c r="H12" s="20" t="str">
        <x:v>Unknown</x:v>
      </x:c>
      <x:c r="I12" s="20" t="str">
        <x:v>SI protocol still needed</x:v>
      </x:c>
      <x:c r="J12" s="20" t="str">
        <x:v>High-value paired sequence effect</x:v>
      </x:c>
      <x:c r="K12" s="20" t="str">
        <x:v>P0</x:v>
      </x:c>
      <x:c r="L12" s="20" t="str">
        <x:v>PARTIAL — SI needed</x:v>
      </x:c>
    </x:row>
    <x:row r="13" ht="18" customHeight="1">
      <x:c r="A13" s="20" t="str">
        <x:v>W10</x:v>
      </x:c>
      <x:c r="B13" s="20" t="n">
        <x:v>2022</x:v>
      </x:c>
      <x:c r="C13" s="20" t="str">
        <x:v>Real-time fluorescence dynamics in one-step synthesis of gold nanoclusters coupling with peptide motifs</x:v>
      </x:c>
      <x:c r="D13" s="20" t="str">
        <x:v>Colloids and Surfaces B: Biointerfaces</x:v>
      </x:c>
      <x:c r="E13" s="20" t="str">
        <x:v>https://doi.org/10.1016/j.colsurfb.2022.112820</x:v>
      </x:c>
      <x:c r="F13" s="20" t="str">
        <x:v>Direct multi-sequence peptide library</x:v>
      </x:c>
      <x:c r="G13" s="20" t="str">
        <x:v>7 explicit designed peptide sequences</x:v>
      </x:c>
      <x:c r="H13" s="20" t="str">
        <x:v>Unknown</x:v>
      </x:c>
      <x:c r="I13" s="20" t="str">
        <x:v>Full protocol/outcome mapping needed</x:v>
      </x:c>
      <x:c r="J13" s="20" t="str">
        <x:v>Highest-value sequence-panel acquisition</x:v>
      </x:c>
      <x:c r="K13" s="20" t="str">
        <x:v>P0</x:v>
      </x:c>
      <x:c r="L13" s="20" t="str">
        <x:v>TO ACQUIRE FULL TEXT</x:v>
      </x:c>
    </x:row>
    <x:row r="14" ht="18" customHeight="1">
      <x:c r="A14" s="20" t="str">
        <x:v>W11</x:v>
      </x:c>
      <x:c r="B14" s="20" t="n">
        <x:v>2025</x:v>
      </x:c>
      <x:c r="C14" s="20" t="str">
        <x:v>Molecular engineering of gold nanocluster properties via peptide ligand charge state and topological modulation</x:v>
      </x:c>
      <x:c r="D14" s="20" t="str">
        <x:v>Nanoscale Advances</x:v>
      </x:c>
      <x:c r="E14" s="20" t="str">
        <x:v>https://doi.org/10.1039/D5NA00324E</x:v>
      </x:c>
      <x:c r="F14" s="20" t="str">
        <x:v>Theory / TD-DFT</x:v>
      </x:c>
      <x:c r="G14" s="20" t="str">
        <x:v>CMM,CYY,CLL,CFF,CWW,CAA,CKK + topology/charge variants</x:v>
      </x:c>
      <x:c r="H14" s="20" t="str">
        <x:v>Model Au10(SR)8</x:v>
      </x:c>
      <x:c r="I14" s="20" t="str">
        <x:v>Computational study</x:v>
      </x:c>
      <x:c r="J14" s="20" t="str">
        <x:v>THEORY_ONLY / feature design</x:v>
      </x:c>
      <x:c r="K14" s="20" t="str">
        <x:v>P1</x:v>
      </x:c>
      <x:c r="L14" s="20" t="str">
        <x:v>OPEN ACCESS THEORY</x:v>
      </x:c>
    </x:row>
    <x:row r="15" ht="18" customHeight="1">
      <x:c r="A15" s="20" t="str">
        <x:v>W12</x:v>
      </x:c>
      <x:c r="B15" s="20" t="n">
        <x:v>2026</x:v>
      </x:c>
      <x:c r="C15" s="20" t="str">
        <x:v>Peptide-Coupled Gold Nanoclusters: Syntheses, Properties, and Bioapplications</x:v>
      </x:c>
      <x:c r="D15" s="20" t="str">
        <x:v>Rare Metals</x:v>
      </x:c>
      <x:c r="E15" s="20" t="str">
        <x:v>https://doi.org/10.1002/rar2.70267</x:v>
      </x:c>
      <x:c r="F15" s="20" t="str">
        <x:v>2026 review / literature map</x:v>
      </x:c>
      <x:c r="G15" s="20" t="str">
        <x:v>Multiple peptide families</x:v>
      </x:c>
      <x:c r="H15" s="20" t="str">
        <x:v>Review</x:v>
      </x:c>
      <x:c r="I15" s="20" t="str">
        <x:v>Review</x:v>
      </x:c>
      <x:c r="J15" s="20" t="str">
        <x:v>Reference mining + project rationale</x:v>
      </x:c>
      <x:c r="K15" s="20" t="str">
        <x:v>P0</x:v>
      </x:c>
      <x:c r="L15" s="20" t="str">
        <x:v>OPEN ACCESS REVIEW</x:v>
      </x:c>
    </x:row>
    <x:row r="16" ht="18" customHeight="1">
      <x:c r="A16" s="20" t="str">
        <x:v>W13</x:v>
      </x:c>
      <x:c r="B16" s="20" t="n">
        <x:v>2026</x:v>
      </x:c>
      <x:c r="C16" s="20" t="str">
        <x:v>Peptide and Drug-Protected Gold Nanoclusters as Promising Biomaterials: Synthesis, Properties, and Applications</x:v>
      </x:c>
      <x:c r="D16" s="20" t="str">
        <x:v>Aggregate</x:v>
      </x:c>
      <x:c r="E16" s="20" t="str">
        <x:v>https://doi.org/10.1002/agt2.70269</x:v>
      </x:c>
      <x:c r="F16" s="20" t="str">
        <x:v>2026 review / atomic peptide-AuNC map</x:v>
      </x:c>
      <x:c r="G16" s="20" t="str">
        <x:v>Extensive sequence table</x:v>
      </x:c>
      <x:c r="H16" s="20" t="str">
        <x:v>Review</x:v>
      </x:c>
      <x:c r="I16" s="20" t="str">
        <x:v>Review</x:v>
      </x:c>
      <x:c r="J16" s="20" t="str">
        <x:v>Sequence library + primary-paper mining</x:v>
      </x:c>
      <x:c r="K16" s="20" t="str">
        <x:v>P0</x:v>
      </x:c>
      <x:c r="L16" s="20" t="str">
        <x:v>OPEN ACCESS REVIEW</x:v>
      </x:c>
    </x:row>
    <x:row r="17" ht="18" customHeight="1">
      <x:c r="A17" s="20" t="str">
        <x:v>W14</x:v>
      </x:c>
      <x:c r="B17" s="20" t="n">
        <x:v>2005</x:v>
      </x:c>
      <x:c r="C17" s="20" t="str">
        <x:v>Large-scale synthesis of thiolated Au25 clusters via ligand exchange reactions of phosphine-stabilized Au11 clusters</x:v>
      </x:c>
      <x:c r="D17" s="20" t="str">
        <x:v>JACS</x:v>
      </x:c>
      <x:c r="E17" s="20" t="str">
        <x:v>https://doi.org/10.1021/ja053915s</x:v>
      </x:c>
      <x:c r="F17" s="20" t="str">
        <x:v>Canonical Au25(GSH) synthesis</x:v>
      </x:c>
      <x:c r="G17" s="20" t="str">
        <x:v>GSH</x:v>
      </x:c>
      <x:c r="H17" s="20" t="str">
        <x:v>Au25(SG)18</x:v>
      </x:c>
      <x:c r="I17" s="20" t="str">
        <x:v>Abstract/review route known; SI needed</x:v>
      </x:c>
      <x:c r="J17" s="20" t="str">
        <x:v>Synthesis-mechanism reference</x:v>
      </x:c>
      <x:c r="K17" s="20" t="str">
        <x:v>P1</x:v>
      </x:c>
      <x:c r="L17" s="20" t="str">
        <x:v>TO ACQUIRE SI</x:v>
      </x:c>
    </x:row>
    <x:row r="18" ht="18" customHeight="1">
      <x:c r="A18" s="20" t="str">
        <x:v>W15</x:v>
      </x:c>
      <x:c r="B18" s="20" t="n">
        <x:v>2015</x:v>
      </x:c>
      <x:c r="C18" s="20" t="str">
        <x:v>Green synthesis of peptide-templated gold nanoclusters as fluorescence probes for protein kinase activity</x:v>
      </x:c>
      <x:c r="D18" s="20" t="str">
        <x:v>Chemical Communications</x:v>
      </x:c>
      <x:c r="E18" s="20" t="str">
        <x:v>https://doi.org/10.1039/C5CC02280K</x:v>
      </x:c>
      <x:c r="F18" s="20" t="str">
        <x:v>Direct peptide-templated AuNC</x:v>
      </x:c>
      <x:c r="G18" s="20" t="str">
        <x:v>Sequence in SI</x:v>
      </x:c>
      <x:c r="H18" s="20" t="str">
        <x:v>Unknown</x:v>
      </x:c>
      <x:c r="I18" s="20" t="str">
        <x:v>SI available but not yet extracted</x:v>
      </x:c>
      <x:c r="J18" s="20" t="str">
        <x:v>Potential direct training data</x:v>
      </x:c>
      <x:c r="K18" s="20" t="str">
        <x:v>P1</x:v>
      </x:c>
      <x:c r="L18" s="20" t="str">
        <x:v>TO EXTRACT SI</x:v>
      </x:c>
    </x:row>
    <x:row r="19" ht="18" customHeight="1">
      <x:c r="A19" s="20" t="str">
        <x:v>W16</x:v>
      </x:c>
      <x:c r="B19" s="20" t="n">
        <x:v>2023</x:v>
      </x:c>
      <x:c r="C19" s="20" t="str">
        <x:v>Engineering of Tripeptide-Stabilized Gold Nanoclusters with Inherent Photosensitizing Property for Bioimaging and Photodynamic Therapy</x:v>
      </x:c>
      <x:c r="D19" s="20" t="str">
        <x:v>ACS Sustainable Chemistry &amp; Engineering</x:v>
      </x:c>
      <x:c r="E19" s="20" t="str">
        <x:v>https://doi.org/10.1021/acssuschemeng.2c04857</x:v>
      </x:c>
      <x:c r="F19" s="20" t="str">
        <x:v>Direct short-peptide therapeutic AuNC</x:v>
      </x:c>
      <x:c r="G19" s="20" t="str">
        <x:v>Tripeptide variants; primary extraction needed</x:v>
      </x:c>
      <x:c r="H19" s="20" t="str">
        <x:v>Unknown</x:v>
      </x:c>
      <x:c r="I19" s="20" t="str">
        <x:v>Not yet extracted</x:v>
      </x:c>
      <x:c r="J19" s="20" t="str">
        <x:v>Therapy-property expansion</x:v>
      </x:c>
      <x:c r="K19" s="20" t="str">
        <x:v>P1</x:v>
      </x:c>
      <x:c r="L19" s="20" t="str">
        <x:v>TO ACQUIRE/EXTRACT</x:v>
      </x:c>
    </x:row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L1"/>
  </x:mergeCells>
  <x:conditionalFormatting sqref="K4:K19">
    <x:cfRule type="expression" dxfId="3" priority="1">
      <x:formula>K4="P0"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3311b5a6ec49d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4" hidden="0" customWidth="1"/>
    <x:col min="4" max="4" width="28" hidden="0" customWidth="1"/>
    <x:col min="5" max="5" width="46" hidden="0" customWidth="1"/>
    <x:col min="6" max="6" width="10" hidden="0" customWidth="1"/>
    <x:col min="7" max="7" width="10" hidden="0" customWidth="1"/>
    <x:col min="8" max="8" width="12" hidden="0" customWidth="1"/>
    <x:col min="9" max="9" width="26" hidden="0" customWidth="1"/>
    <x:col min="10" max="10" width="62" hidden="0" customWidth="1"/>
  </x:cols>
  <x:sheetData>
    <x:row r="1" ht="28" customHeight="1">
      <x:c r="A1" s="30" t="str">
        <x:v>Peptide Sequence Library — Exact, Partial, Review-Derived and Theory Candidates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18" customHeight="1"/>
    <x:row r="3" ht="32" customHeight="1">
      <x:c r="A3" s="35" t="str">
        <x:v>Seq_ID</x:v>
      </x:c>
      <x:c r="B3" s="35" t="str">
        <x:v>Sequence</x:v>
      </x:c>
      <x:c r="C3" s="35" t="str">
        <x:v>Source_Key</x:v>
      </x:c>
      <x:c r="D3" s="35" t="str">
        <x:v>Source_Evidence</x:v>
      </x:c>
      <x:c r="E3" s="35" t="str">
        <x:v>Role_or_Motif</x:v>
      </x:c>
      <x:c r="F3" s="35" t="str">
        <x:v>Ex_nm</x:v>
      </x:c>
      <x:c r="G3" s="35" t="str">
        <x:v>Em_nm</x:v>
      </x:c>
      <x:c r="H3" s="35" t="str">
        <x:v>PLQY_pct</x:v>
      </x:c>
      <x:c r="I3" s="35" t="str">
        <x:v>Training_Status</x:v>
      </x:c>
      <x:c r="J3" s="35" t="str">
        <x:v>Notes</x:v>
      </x:c>
    </x:row>
    <x:row r="4" ht="18" customHeight="1">
      <x:c r="A4" s="20" t="str">
        <x:v>Q001</x:v>
      </x:c>
      <x:c r="B4" s="20" t="str">
        <x:v>γ-ECG</x:v>
      </x:c>
      <x:c r="C4" s="20" t="str">
        <x:v>S14/S10</x:v>
      </x:c>
      <x:c r="D4" s="20" t="str">
        <x:v>UPLOADED PRIMARY</x:v>
      </x:c>
      <x:c r="E4" s="20" t="str">
        <x:v>Glutathione; thiol-rich atomic AuNC ligand</x:v>
      </x:c>
      <x:c r="F4" s="20" t="n">
        <x:v>808</x:v>
      </x:c>
      <x:c r="G4" s="20" t="n">
        <x:v>925</x:v>
      </x:c>
      <x:c r="H4" s="20" t="n">
        <x:v>0.16</x:v>
      </x:c>
      <x:c r="I4" s="20" t="str">
        <x:v>TRAINABLE IN SOURCE CONTEXT</x:v>
      </x:c>
      <x:c r="J4" s="20" t="str">
        <x:v>Au22(SG)18 direct atomic record; other GSH clusters must remain separate by nuclearity/protocol.</x:v>
      </x:c>
    </x:row>
    <x:row r="5" ht="18" customHeight="1">
      <x:c r="A5" s="20" t="str">
        <x:v>Q002</x:v>
      </x:c>
      <x:c r="B5" s="20" t="str">
        <x:v>CCYLQLQAEER</x:v>
      </x:c>
      <x:c r="C5" s="20" t="str">
        <x:v>W03</x:v>
      </x:c>
      <x:c r="D5" s="20" t="str">
        <x:v>WEB PRIMARY</x:v>
      </x:c>
      <x:c r="E5" s="20" t="str">
        <x:v>CCY mineralization + FGFR2-targeting JNP5</x:v>
      </x:c>
      <x:c r="F5" s="20" t="n">
        <x:v>380</x:v>
      </x:c>
      <x:c r="G5" s="20" t="n">
        <x:v>640</x:v>
      </x:c>
      <x:c r="H5" s="20" t="n">
        <x:v>2.86</x:v>
      </x:c>
      <x:c r="I5" s="20" t="str">
        <x:v>TRAIN_CORE</x:v>
      </x:c>
      <x:c r="J5" s="20" t="str">
        <x:v>Au21; one of the strongest current sequence+synthesis+atomic-property records.</x:v>
      </x:c>
    </x:row>
    <x:row r="6" ht="18" customHeight="1">
      <x:c r="A6" s="20" t="str">
        <x:v>Q003</x:v>
      </x:c>
      <x:c r="B6" s="20" t="str">
        <x:v>CCYGGPKKKRKVG</x:v>
      </x:c>
      <x:c r="C6" s="20" t="str">
        <x:v>W01</x:v>
      </x:c>
      <x:c r="D6" s="20" t="str">
        <x:v>WEB PRIMARY</x:v>
      </x:c>
      <x:c r="E6" s="20" t="str">
        <x:v>CCY mineralization + nuclear localization</x:v>
      </x:c>
      <x:c r="F6" s="20" t="n">
        <x:v>320</x:v>
      </x:c>
      <x:c r="G6" s="20" t="n">
        <x:v>405</x:v>
      </x:c>
      <x:c r="H6" s="20"/>
      <x:c r="I6" s="20" t="str">
        <x:v>QC_HOLD</x:v>
      </x:c>
      <x:c r="J6" s="20" t="str">
        <x:v>Same peptide also yields red λex/λem 560/657 under different conditions.</x:v>
      </x:c>
    </x:row>
    <x:row r="7" ht="18" customHeight="1">
      <x:c r="A7" s="20" t="str">
        <x:v>Q004</x:v>
      </x:c>
      <x:c r="B7" s="20" t="str">
        <x:v>CCYGGPKKKRKVG</x:v>
      </x:c>
      <x:c r="C7" s="20" t="str">
        <x:v>W01</x:v>
      </x:c>
      <x:c r="D7" s="20" t="str">
        <x:v>WEB PRIMARY</x:v>
      </x:c>
      <x:c r="E7" s="20" t="str">
        <x:v>Same sequence, alternate synthesis context</x:v>
      </x:c>
      <x:c r="F7" s="20" t="n">
        <x:v>560</x:v>
      </x:c>
      <x:c r="G7" s="20" t="n">
        <x:v>657</x:v>
      </x:c>
      <x:c r="H7" s="20"/>
      <x:c r="I7" s="20" t="str">
        <x:v>QC_HOLD</x:v>
      </x:c>
      <x:c r="J7" s="20" t="str">
        <x:v>Paired condition-dependent optical outcome; exact condition set required.</x:v>
      </x:c>
    </x:row>
    <x:row r="8" ht="18" customHeight="1">
      <x:c r="A8" s="20" t="str">
        <x:v>Q005</x:v>
      </x:c>
      <x:c r="B8" s="20" t="str">
        <x:v>CCYGGPKKKRKPG</x:v>
      </x:c>
      <x:c r="C8" s="20" t="str">
        <x:v>W05</x:v>
      </x:c>
      <x:c r="D8" s="20" t="str">
        <x:v>WEB PRIMARY</x:v>
      </x:c>
      <x:c r="E8" s="20" t="str">
        <x:v>Positively charged Sv cancer-therapeutic peptide</x:v>
      </x:c>
      <x:c r="F8" s="20"/>
      <x:c r="G8" s="20" t="n">
        <x:v>645</x:v>
      </x:c>
      <x:c r="H8" s="20"/>
      <x:c r="I8" s="20" t="str">
        <x:v>TRAIN_STRUCTURE_ONLY</x:v>
      </x:c>
      <x:c r="J8" s="20" t="str">
        <x:v>Au25Sv9. Treat as distinct from CCYGGPKKKRKVG and cluster sequences together during validation.</x:v>
      </x:c>
    </x:row>
    <x:row r="9" ht="18" customHeight="1">
      <x:c r="A9" s="20" t="str">
        <x:v>Q006</x:v>
      </x:c>
      <x:c r="B9" s="20" t="str">
        <x:v>DGEAGC</x:v>
      </x:c>
      <x:c r="C9" s="20" t="str">
        <x:v>W06</x:v>
      </x:c>
      <x:c r="D9" s="20" t="str">
        <x:v>WEB PRIMARY</x:v>
      </x:c>
      <x:c r="E9" s="20" t="str">
        <x:v>Biofunctional DGEA + terminal GC cluster-binding motif</x:v>
      </x:c>
      <x:c r="F9" s="20" t="n">
        <x:v>400</x:v>
      </x:c>
      <x:c r="G9" s="20" t="n">
        <x:v>600</x:v>
      </x:c>
      <x:c r="H9" s="20"/>
      <x:c r="I9" s="20" t="str">
        <x:v>TRAIN_OPTICAL_SIZE</x:v>
      </x:c>
      <x:c r="J9" s="20" t="str">
        <x:v>~1.3 nm; Methods specify DGEAGC despite an intro typo.</x:v>
      </x:c>
    </x:row>
    <x:row r="10" ht="18" customHeight="1">
      <x:c r="A10" s="20" t="str">
        <x:v>Q007</x:v>
      </x:c>
      <x:c r="B10" s="20" t="str">
        <x:v>CMMMMM</x:v>
      </x:c>
      <x:c r="C10" s="20" t="str">
        <x:v>W09</x:v>
      </x:c>
      <x:c r="D10" s="20" t="str">
        <x:v>WEB PRIMARY</x:v>
      </x:c>
      <x:c r="E10" s="20" t="str">
        <x:v>Cys-Met-rich screened fluorescence/stability peptide</x:v>
      </x:c>
      <x:c r="F10" s="20"/>
      <x:c r="G10" s="20"/>
      <x:c r="H10" s="20"/>
      <x:c r="I10" s="20" t="str">
        <x:v>QC_HOLD</x:v>
      </x:c>
      <x:c r="J10" s="20" t="str">
        <x:v>230% fluorescence increase vs CYYYYY; SI synthesis needed.</x:v>
      </x:c>
    </x:row>
    <x:row r="11" ht="18" customHeight="1">
      <x:c r="A11" s="20" t="str">
        <x:v>Q008</x:v>
      </x:c>
      <x:c r="B11" s="20" t="str">
        <x:v>CYYYYY</x:v>
      </x:c>
      <x:c r="C11" s="20" t="str">
        <x:v>W09</x:v>
      </x:c>
      <x:c r="D11" s="20" t="str">
        <x:v>WEB PRIMARY</x:v>
      </x:c>
      <x:c r="E11" s="20" t="str">
        <x:v>Cys-Tyr comparator</x:v>
      </x:c>
      <x:c r="F11" s="20"/>
      <x:c r="G11" s="20"/>
      <x:c r="H11" s="20"/>
      <x:c r="I11" s="20" t="str">
        <x:v>QC_HOLD</x:v>
      </x:c>
      <x:c r="J11" s="20" t="str">
        <x:v>Matched comparator to CMMMMM.</x:v>
      </x:c>
    </x:row>
    <x:row r="12" ht="18" customHeight="1">
      <x:c r="A12" s="20" t="str">
        <x:v>Q009</x:v>
      </x:c>
      <x:c r="B12" s="20" t="str">
        <x:v>KFFAAKCCYKFFAAKCCYKFFAAK</x:v>
      </x:c>
      <x:c r="C12" s="20" t="str">
        <x:v>W10</x:v>
      </x:c>
      <x:c r="D12" s="20" t="str">
        <x:v>ABSTRACT/REVIEW-DERIVED PRIMARY LEAD</x:v>
      </x:c>
      <x:c r="E12" s="20" t="str">
        <x:v>Repeated self-assembly + CCY motifs</x:v>
      </x:c>
      <x:c r="F12" s="20"/>
      <x:c r="G12" s="20"/>
      <x:c r="H12" s="20"/>
      <x:c r="I12" s="20" t="str">
        <x:v>PRIMARY_OUTCOME_NEEDED</x:v>
      </x:c>
      <x:c r="J12" s="20" t="str">
        <x:v>Part of 2022 seven-sequence motif library.</x:v>
      </x:c>
    </x:row>
    <x:row r="13" ht="18" customHeight="1">
      <x:c r="A13" s="20" t="str">
        <x:v>Q010</x:v>
      </x:c>
      <x:c r="B13" s="20" t="str">
        <x:v>CCY</x:v>
      </x:c>
      <x:c r="C13" s="20" t="str">
        <x:v>W10</x:v>
      </x:c>
      <x:c r="D13" s="20" t="str">
        <x:v>ABSTRACT/REVIEW-DERIVED PRIMARY LEAD</x:v>
      </x:c>
      <x:c r="E13" s="20" t="str">
        <x:v>Minimal Au-binding/reducing motif</x:v>
      </x:c>
      <x:c r="F13" s="20"/>
      <x:c r="G13" s="20"/>
      <x:c r="H13" s="20"/>
      <x:c r="I13" s="20" t="str">
        <x:v>PRIMARY_OUTCOME_NEEDED</x:v>
      </x:c>
      <x:c r="J13" s="20" t="str">
        <x:v>Part of 2022 sequence library.</x:v>
      </x:c>
    </x:row>
    <x:row r="14" ht="18" customHeight="1">
      <x:c r="A14" s="20" t="str">
        <x:v>Q011</x:v>
      </x:c>
      <x:c r="B14" s="20" t="str">
        <x:v>KFFAAK</x:v>
      </x:c>
      <x:c r="C14" s="20" t="str">
        <x:v>W10</x:v>
      </x:c>
      <x:c r="D14" s="20" t="str">
        <x:v>ABSTRACT/REVIEW-DERIVED PRIMARY LEAD</x:v>
      </x:c>
      <x:c r="E14" s="20" t="str">
        <x:v>Self-assembly control motif</x:v>
      </x:c>
      <x:c r="F14" s="20"/>
      <x:c r="G14" s="20"/>
      <x:c r="H14" s="20"/>
      <x:c r="I14" s="20" t="str">
        <x:v>PRIMARY_OUTCOME_NEEDED</x:v>
      </x:c>
      <x:c r="J14" s="20" t="str">
        <x:v>Likely negative/control behavior is especially valuable.</x:v>
      </x:c>
    </x:row>
    <x:row r="15" ht="18" customHeight="1">
      <x:c r="A15" s="20" t="str">
        <x:v>Q012</x:v>
      </x:c>
      <x:c r="B15" s="20" t="str">
        <x:v>CCYKFFAAKKFFAAK</x:v>
      </x:c>
      <x:c r="C15" s="20" t="str">
        <x:v>W10</x:v>
      </x:c>
      <x:c r="D15" s="20" t="str">
        <x:v>ABSTRACT/REVIEW-DERIVED PRIMARY LEAD</x:v>
      </x:c>
      <x:c r="E15" s="20" t="str">
        <x:v>CCY + fibril-forming motif</x:v>
      </x:c>
      <x:c r="F15" s="20"/>
      <x:c r="G15" s="20"/>
      <x:c r="H15" s="20"/>
      <x:c r="I15" s="20" t="str">
        <x:v>PRIMARY_OUTCOME_NEEDED</x:v>
      </x:c>
      <x:c r="J15" s="20" t="str">
        <x:v>Acquire full per-sequence outcomes.</x:v>
      </x:c>
    </x:row>
    <x:row r="16" ht="18" customHeight="1">
      <x:c r="A16" s="20" t="str">
        <x:v>Q013</x:v>
      </x:c>
      <x:c r="B16" s="20" t="str">
        <x:v>KFFAAKCCYKFFAAK</x:v>
      </x:c>
      <x:c r="C16" s="20" t="str">
        <x:v>W10</x:v>
      </x:c>
      <x:c r="D16" s="20" t="str">
        <x:v>ABSTRACT/REVIEW-DERIVED PRIMARY LEAD</x:v>
      </x:c>
      <x:c r="E16" s="20" t="str">
        <x:v>Interleaved motif architecture</x:v>
      </x:c>
      <x:c r="F16" s="20"/>
      <x:c r="G16" s="20"/>
      <x:c r="H16" s="20"/>
      <x:c r="I16" s="20" t="str">
        <x:v>PRIMARY_OUTCOME_NEEDED</x:v>
      </x:c>
      <x:c r="J16" s="20" t="str">
        <x:v>Acquire full per-sequence outcomes.</x:v>
      </x:c>
    </x:row>
    <x:row r="17" ht="18" customHeight="1">
      <x:c r="A17" s="20" t="str">
        <x:v>Q014</x:v>
      </x:c>
      <x:c r="B17" s="20" t="str">
        <x:v>CCYKFFAAKYCC</x:v>
      </x:c>
      <x:c r="C17" s="20" t="str">
        <x:v>W10</x:v>
      </x:c>
      <x:c r="D17" s="20" t="str">
        <x:v>ABSTRACT/REVIEW-DERIVED PRIMARY LEAD</x:v>
      </x:c>
      <x:c r="E17" s="20" t="str">
        <x:v>Two Cys-rich termini / motif positioning</x:v>
      </x:c>
      <x:c r="F17" s="20"/>
      <x:c r="G17" s="20"/>
      <x:c r="H17" s="20"/>
      <x:c r="I17" s="20" t="str">
        <x:v>PRIMARY_OUTCOME_NEEDED</x:v>
      </x:c>
      <x:c r="J17" s="20" t="str">
        <x:v>Position-specific design value.</x:v>
      </x:c>
    </x:row>
    <x:row r="18" ht="18" customHeight="1">
      <x:c r="A18" s="20" t="str">
        <x:v>Q015</x:v>
      </x:c>
      <x:c r="B18" s="20" t="str">
        <x:v>CCYKFFAAK</x:v>
      </x:c>
      <x:c r="C18" s="20" t="str">
        <x:v>W10</x:v>
      </x:c>
      <x:c r="D18" s="20" t="str">
        <x:v>ABSTRACT/REVIEW-DERIVED PRIMARY LEAD</x:v>
      </x:c>
      <x:c r="E18" s="20" t="str">
        <x:v>CCY + KFFAAK minimal combined motif</x:v>
      </x:c>
      <x:c r="F18" s="20"/>
      <x:c r="G18" s="20"/>
      <x:c r="H18" s="20"/>
      <x:c r="I18" s="20" t="str">
        <x:v>PRIMARY_OUTCOME_NEEDED</x:v>
      </x:c>
      <x:c r="J18" s="20" t="str">
        <x:v>Acquire full per-sequence outcomes.</x:v>
      </x:c>
    </x:row>
    <x:row r="19" ht="18" customHeight="1">
      <x:c r="A19" s="20" t="str">
        <x:v>Q016</x:v>
      </x:c>
      <x:c r="B19" s="20" t="str">
        <x:v>CMM</x:v>
      </x:c>
      <x:c r="C19" s="20" t="str">
        <x:v>W11</x:v>
      </x:c>
      <x:c r="D19" s="20" t="str">
        <x:v>THEORY</x:v>
      </x:c>
      <x:c r="E19" s="20" t="str">
        <x:v>Met-rich tripeptide</x:v>
      </x:c>
      <x:c r="F19" s="20"/>
      <x:c r="G19" s="20"/>
      <x:c r="H19" s="20"/>
      <x:c r="I19" s="20" t="str">
        <x:v>THEORY_ONLY</x:v>
      </x:c>
      <x:c r="J19" s="20" t="str">
        <x:v>TD-DFT feature prior; do not mix with experimental labels.</x:v>
      </x:c>
    </x:row>
    <x:row r="20" ht="18" customHeight="1">
      <x:c r="A20" s="20" t="str">
        <x:v>Q017</x:v>
      </x:c>
      <x:c r="B20" s="20" t="str">
        <x:v>CYY</x:v>
      </x:c>
      <x:c r="C20" s="20" t="str">
        <x:v>W11</x:v>
      </x:c>
      <x:c r="D20" s="20" t="str">
        <x:v>THEORY</x:v>
      </x:c>
      <x:c r="E20" s="20" t="str">
        <x:v>Tyr-rich tripeptide</x:v>
      </x:c>
      <x:c r="F20" s="20"/>
      <x:c r="G20" s="20"/>
      <x:c r="H20" s="20"/>
      <x:c r="I20" s="20" t="str">
        <x:v>THEORY_ONLY</x:v>
      </x:c>
      <x:c r="J20" s="20" t="str">
        <x:v>Charge state/topology studied computationally.</x:v>
      </x:c>
    </x:row>
    <x:row r="21" ht="18" customHeight="1">
      <x:c r="A21" s="20" t="str">
        <x:v>Q018</x:v>
      </x:c>
      <x:c r="B21" s="20" t="str">
        <x:v>CLL</x:v>
      </x:c>
      <x:c r="C21" s="20" t="str">
        <x:v>W11</x:v>
      </x:c>
      <x:c r="D21" s="20" t="str">
        <x:v>THEORY</x:v>
      </x:c>
      <x:c r="E21" s="20" t="str">
        <x:v>Leu-rich tripeptide</x:v>
      </x:c>
      <x:c r="F21" s="20"/>
      <x:c r="G21" s="20"/>
      <x:c r="H21" s="20"/>
      <x:c r="I21" s="20" t="str">
        <x:v>THEORY_ONLY</x:v>
      </x:c>
      <x:c r="J21" s="20" t="str">
        <x:v>Theory prior.</x:v>
      </x:c>
    </x:row>
    <x:row r="22" ht="18" customHeight="1">
      <x:c r="A22" s="20" t="str">
        <x:v>Q019</x:v>
      </x:c>
      <x:c r="B22" s="20" t="str">
        <x:v>CFF</x:v>
      </x:c>
      <x:c r="C22" s="20" t="str">
        <x:v>W11</x:v>
      </x:c>
      <x:c r="D22" s="20" t="str">
        <x:v>THEORY</x:v>
      </x:c>
      <x:c r="E22" s="20" t="str">
        <x:v>Phe-rich tripeptide</x:v>
      </x:c>
      <x:c r="F22" s="20"/>
      <x:c r="G22" s="20"/>
      <x:c r="H22" s="20"/>
      <x:c r="I22" s="20" t="str">
        <x:v>THEORY_ONLY</x:v>
      </x:c>
      <x:c r="J22" s="20" t="str">
        <x:v>Theory prior.</x:v>
      </x:c>
    </x:row>
    <x:row r="23" ht="18" customHeight="1">
      <x:c r="A23" s="20" t="str">
        <x:v>Q020</x:v>
      </x:c>
      <x:c r="B23" s="20" t="str">
        <x:v>CWW</x:v>
      </x:c>
      <x:c r="C23" s="20" t="str">
        <x:v>W11</x:v>
      </x:c>
      <x:c r="D23" s="20" t="str">
        <x:v>THEORY</x:v>
      </x:c>
      <x:c r="E23" s="20" t="str">
        <x:v>Trp-rich tripeptide</x:v>
      </x:c>
      <x:c r="F23" s="20"/>
      <x:c r="G23" s="20"/>
      <x:c r="H23" s="20"/>
      <x:c r="I23" s="20" t="str">
        <x:v>THEORY_ONLY</x:v>
      </x:c>
      <x:c r="J23" s="20" t="str">
        <x:v>Theory prior.</x:v>
      </x:c>
    </x:row>
    <x:row r="24" ht="18" customHeight="1">
      <x:c r="A24" s="20" t="str">
        <x:v>Q021</x:v>
      </x:c>
      <x:c r="B24" s="20" t="str">
        <x:v>CAA</x:v>
      </x:c>
      <x:c r="C24" s="20" t="str">
        <x:v>W11</x:v>
      </x:c>
      <x:c r="D24" s="20" t="str">
        <x:v>THEORY</x:v>
      </x:c>
      <x:c r="E24" s="20" t="str">
        <x:v>Ala-rich tripeptide</x:v>
      </x:c>
      <x:c r="F24" s="20"/>
      <x:c r="G24" s="20"/>
      <x:c r="H24" s="20"/>
      <x:c r="I24" s="20" t="str">
        <x:v>THEORY_ONLY</x:v>
      </x:c>
      <x:c r="J24" s="20" t="str">
        <x:v>Theory prior.</x:v>
      </x:c>
    </x:row>
    <x:row r="25" ht="18" customHeight="1">
      <x:c r="A25" s="20" t="str">
        <x:v>Q022</x:v>
      </x:c>
      <x:c r="B25" s="20" t="str">
        <x:v>CKK</x:v>
      </x:c>
      <x:c r="C25" s="20" t="str">
        <x:v>W11</x:v>
      </x:c>
      <x:c r="D25" s="20" t="str">
        <x:v>THEORY</x:v>
      </x:c>
      <x:c r="E25" s="20" t="str">
        <x:v>Lys-rich tripeptide</x:v>
      </x:c>
      <x:c r="F25" s="20"/>
      <x:c r="G25" s="20"/>
      <x:c r="H25" s="20"/>
      <x:c r="I25" s="20" t="str">
        <x:v>THEORY_ONLY</x:v>
      </x:c>
      <x:c r="J25" s="20" t="str">
        <x:v>Theory prior.</x:v>
      </x:c>
    </x:row>
    <x:row r="26" ht="18" customHeight="1">
      <x:c r="A26" s="20" t="str">
        <x:v>Q023</x:v>
      </x:c>
      <x:c r="B26" s="20" t="str">
        <x:v>RGDC</x:v>
      </x:c>
      <x:c r="C26" s="20" t="str">
        <x:v>W13</x:v>
      </x:c>
      <x:c r="D26" s="20" t="str">
        <x:v>2026 REVIEW-DERIVED</x:v>
      </x:c>
      <x:c r="E26" s="20" t="str">
        <x:v>PDT sensitizer peptide-AuNC</x:v>
      </x:c>
      <x:c r="F26" s="20" t="n">
        <x:v>500</x:v>
      </x:c>
      <x:c r="G26" s="20" t="n">
        <x:v>770</x:v>
      </x:c>
      <x:c r="H26" s="20" t="n">
        <x:v>4</x:v>
      </x:c>
      <x:c r="I26" s="20" t="str">
        <x:v>PRIMARY_REQUIRED</x:v>
      </x:c>
      <x:c r="J26" s="20" t="str">
        <x:v>Promising therapy sequence; primary paper must be acquired.</x:v>
      </x:c>
    </x:row>
    <x:row r="27" ht="18" customHeight="1">
      <x:c r="A27" s="20" t="str">
        <x:v>Q024</x:v>
      </x:c>
      <x:c r="B27" s="20" t="str">
        <x:v>cRGDyC</x:v>
      </x:c>
      <x:c r="C27" s="20" t="str">
        <x:v>W13</x:v>
      </x:c>
      <x:c r="D27" s="20" t="str">
        <x:v>2026 REVIEW-DERIVED</x:v>
      </x:c>
      <x:c r="E27" s="20" t="str">
        <x:v>Cyclic RGD radiosensitizer</x:v>
      </x:c>
      <x:c r="F27" s="20" t="n">
        <x:v>385</x:v>
      </x:c>
      <x:c r="G27" s="20" t="n">
        <x:v>485</x:v>
      </x:c>
      <x:c r="H27" s="20" t="n">
        <x:v>3.4</x:v>
      </x:c>
      <x:c r="I27" s="20" t="str">
        <x:v>PRIMARY_REQUIRED</x:v>
      </x:c>
      <x:c r="J27" s="20" t="str">
        <x:v>Do not confuse with 2015 cRGD imaging paper until primary identity is resolved.</x:v>
      </x:c>
    </x:row>
    <x:row r="28" ht="18" customHeight="1">
      <x:c r="A28" s="20" t="str">
        <x:v>Q025</x:v>
      </x:c>
      <x:c r="B28" s="20" t="str">
        <x:v>GGCGG</x:v>
      </x:c>
      <x:c r="C28" s="20" t="str">
        <x:v>W13</x:v>
      </x:c>
      <x:c r="D28" s="20" t="str">
        <x:v>2026 REVIEW-DERIVED</x:v>
      </x:c>
      <x:c r="E28" s="20" t="str">
        <x:v>αvβ3 imaging peptide-AuNC</x:v>
      </x:c>
      <x:c r="F28" s="20" t="n">
        <x:v>400</x:v>
      </x:c>
      <x:c r="G28" s="20" t="n">
        <x:v>775</x:v>
      </x:c>
      <x:c r="H28" s="20" t="n">
        <x:v>5.6</x:v>
      </x:c>
      <x:c r="I28" s="20" t="str">
        <x:v>PRIMARY_REQUIRED</x:v>
      </x:c>
      <x:c r="J28" s="20" t="str">
        <x:v>Short sequence, high relevance to motif design.</x:v>
      </x:c>
    </x:row>
    <x:row r="29" ht="18" customHeight="1">
      <x:c r="A29" s="20" t="str">
        <x:v>Q026</x:v>
      </x:c>
      <x:c r="B29" s="20" t="str">
        <x:v>RRCRR</x:v>
      </x:c>
      <x:c r="C29" s="20" t="str">
        <x:v>W13</x:v>
      </x:c>
      <x:c r="D29" s="20" t="str">
        <x:v>2026 REVIEW-DERIVED</x:v>
      </x:c>
      <x:c r="E29" s="20" t="str">
        <x:v>Cationic Cys-containing αvβ3 imaging system</x:v>
      </x:c>
      <x:c r="F29" s="20" t="n">
        <x:v>340</x:v>
      </x:c>
      <x:c r="G29" s="20" t="n">
        <x:v>760</x:v>
      </x:c>
      <x:c r="H29" s="20" t="n">
        <x:v>1.8</x:v>
      </x:c>
      <x:c r="I29" s="20" t="str">
        <x:v>PRIMARY_REQUIRED</x:v>
      </x:c>
      <x:c r="J29" s="20" t="str">
        <x:v>Primary source needed.</x:v>
      </x:c>
    </x:row>
    <x:row r="30" ht="18" customHeight="1">
      <x:c r="A30" s="20" t="str">
        <x:v>Q027</x:v>
      </x:c>
      <x:c r="B30" s="20" t="str">
        <x:v>EEECEEE</x:v>
      </x:c>
      <x:c r="C30" s="20" t="str">
        <x:v>W13</x:v>
      </x:c>
      <x:c r="D30" s="20" t="str">
        <x:v>2026 REVIEW-DERIVED</x:v>
      </x:c>
      <x:c r="E30" s="20" t="str">
        <x:v>Anionic Cys-containing αvβ3 imaging system</x:v>
      </x:c>
      <x:c r="F30" s="20" t="n">
        <x:v>380</x:v>
      </x:c>
      <x:c r="G30" s="20" t="n">
        <x:v>740</x:v>
      </x:c>
      <x:c r="H30" s="20" t="n">
        <x:v>7.9</x:v>
      </x:c>
      <x:c r="I30" s="20" t="str">
        <x:v>PRIMARY_REQUIRED</x:v>
      </x:c>
      <x:c r="J30" s="20" t="str">
        <x:v>Strong charge-composition contrast with RRCRR.</x:v>
      </x:c>
    </x:row>
    <x:row r="31" ht="18" customHeight="1">
      <x:c r="A31" s="20" t="str">
        <x:v>Q028</x:v>
      </x:c>
      <x:c r="B31" s="20" t="str">
        <x:v>CCYRGRKKRRQRRR</x:v>
      </x:c>
      <x:c r="C31" s="20" t="str">
        <x:v>W13</x:v>
      </x:c>
      <x:c r="D31" s="20" t="str">
        <x:v>2026 REVIEW-DERIVED</x:v>
      </x:c>
      <x:c r="E31" s="20" t="str">
        <x:v>CCY + cell-penetrating/nuclear localization motif</x:v>
      </x:c>
      <x:c r="F31" s="20" t="n">
        <x:v>502</x:v>
      </x:c>
      <x:c r="G31" s="20" t="n">
        <x:v>677</x:v>
      </x:c>
      <x:c r="H31" s="20" t="n">
        <x:v>11</x:v>
      </x:c>
      <x:c r="I31" s="20" t="str">
        <x:v>PRIMARY_REQUIRED</x:v>
      </x:c>
      <x:c r="J31" s="20" t="str">
        <x:v>High QY review entry; excellent acquisition priority.</x:v>
      </x:c>
    </x:row>
    <x:row r="32" ht="18" customHeight="1">
      <x:c r="A32" s="20" t="str">
        <x:v>Q029</x:v>
      </x:c>
      <x:c r="B32" s="20" t="str">
        <x:v>HHHHHHLLLLGCCYGRKKRRQRRR</x:v>
      </x:c>
      <x:c r="C32" s="20" t="str">
        <x:v>W13</x:v>
      </x:c>
      <x:c r="D32" s="20" t="str">
        <x:v>2026 REVIEW-DERIVED</x:v>
      </x:c>
      <x:c r="E32" s="20" t="str">
        <x:v>His/Leu/CCY/CPP modular peptide</x:v>
      </x:c>
      <x:c r="F32" s="20" t="n">
        <x:v>340</x:v>
      </x:c>
      <x:c r="G32" s="20" t="n">
        <x:v>441</x:v>
      </x:c>
      <x:c r="H32" s="20" t="n">
        <x:v>6.4</x:v>
      </x:c>
      <x:c r="I32" s="20" t="str">
        <x:v>PRIMARY_REQUIRED</x:v>
      </x:c>
      <x:c r="J32" s="20" t="str">
        <x:v>Modular-domain architecture.</x:v>
      </x:c>
    </x:row>
    <x:row r="33" ht="18" customHeight="1">
      <x:c r="A33" s="20" t="str">
        <x:v>Q030</x:v>
      </x:c>
      <x:c r="B33" s="20" t="str">
        <x:v>HHHHHHLLLLLLGCCYGRKKRRQRRR</x:v>
      </x:c>
      <x:c r="C33" s="20" t="str">
        <x:v>W13</x:v>
      </x:c>
      <x:c r="D33" s="20" t="str">
        <x:v>2026 REVIEW-DERIVED</x:v>
      </x:c>
      <x:c r="E33" s="20" t="str">
        <x:v>Longer hydrophobic block variant</x:v>
      </x:c>
      <x:c r="F33" s="20" t="n">
        <x:v>326</x:v>
      </x:c>
      <x:c r="G33" s="20" t="n">
        <x:v>442</x:v>
      </x:c>
      <x:c r="H33" s="20" t="n">
        <x:v>8.4</x:v>
      </x:c>
      <x:c r="I33" s="20" t="str">
        <x:v>PRIMARY_REQUIRED</x:v>
      </x:c>
      <x:c r="J33" s="20" t="str">
        <x:v>Paired length/composition variant.</x:v>
      </x:c>
    </x:row>
    <x:row r="34" ht="18" customHeight="1">
      <x:c r="A34" s="20" t="str">
        <x:v>Q031</x:v>
      </x:c>
      <x:c r="B34" s="20" t="str">
        <x:v>YHWYGYTPQNVIKKKKYCC</x:v>
      </x:c>
      <x:c r="C34" s="20" t="str">
        <x:v>W13</x:v>
      </x:c>
      <x:c r="D34" s="20" t="str">
        <x:v>2026 REVIEW-DERIVED</x:v>
      </x:c>
      <x:c r="E34" s="20" t="str">
        <x:v>Tumor-growth inhibition peptide-AuNC</x:v>
      </x:c>
      <x:c r="F34" s="20" t="n">
        <x:v>322</x:v>
      </x:c>
      <x:c r="G34" s="20" t="n">
        <x:v>408</x:v>
      </x:c>
      <x:c r="H34" s="20"/>
      <x:c r="I34" s="20" t="str">
        <x:v>PRIMARY_REQUIRED</x:v>
      </x:c>
      <x:c r="J34" s="20" t="str">
        <x:v>Therapeutic lead.</x:v>
      </x:c>
    </x:row>
    <x:row r="35" ht="18" customHeight="1">
      <x:c r="A35" s="20" t="str">
        <x:v>Q032</x:v>
      </x:c>
      <x:c r="B35" s="20" t="str">
        <x:v>CCYKKKKQAGDV</x:v>
      </x:c>
      <x:c r="C35" s="20" t="str">
        <x:v>W13</x:v>
      </x:c>
      <x:c r="D35" s="20" t="str">
        <x:v>2026 REVIEW-DERIVED</x:v>
      </x:c>
      <x:c r="E35" s="20" t="str">
        <x:v>Integrin αIIbβ3 probe</x:v>
      </x:c>
      <x:c r="F35" s="20" t="n">
        <x:v>565</x:v>
      </x:c>
      <x:c r="G35" s="20" t="n">
        <x:v>647</x:v>
      </x:c>
      <x:c r="H35" s="20"/>
      <x:c r="I35" s="20" t="str">
        <x:v>PRIMARY_REQUIRED</x:v>
      </x:c>
      <x:c r="J35" s="20" t="str">
        <x:v>Targeting + CCY mineralization.</x:v>
      </x:c>
    </x:row>
    <x:row r="36" ht="18" customHeight="1">
      <x:c r="A36" s="20" t="str">
        <x:v>Q033</x:v>
      </x:c>
      <x:c r="B36" s="20" t="str">
        <x:v>CCYRRRRRRRRR</x:v>
      </x:c>
      <x:c r="C36" s="20" t="str">
        <x:v>W13</x:v>
      </x:c>
      <x:c r="D36" s="20" t="str">
        <x:v>2026 REVIEW-DERIVED</x:v>
      </x:c>
      <x:c r="E36" s="20" t="str">
        <x:v>Arg-rich gene delivery</x:v>
      </x:c>
      <x:c r="F36" s="20" t="n">
        <x:v>380</x:v>
      </x:c>
      <x:c r="G36" s="20" t="n">
        <x:v>650</x:v>
      </x:c>
      <x:c r="H36" s="20"/>
      <x:c r="I36" s="20" t="str">
        <x:v>PRIMARY_REQUIRED</x:v>
      </x:c>
      <x:c r="J36" s="20" t="str">
        <x:v>Charge-pattern lead.</x:v>
      </x:c>
    </x:row>
    <x:row r="37" ht="18" customHeight="1">
      <x:c r="A37" s="20" t="str">
        <x:v>Q034</x:v>
      </x:c>
      <x:c r="B37" s="20" t="str">
        <x:v>CCYRKKRRQRRR</x:v>
      </x:c>
      <x:c r="C37" s="20" t="str">
        <x:v>W13</x:v>
      </x:c>
      <x:c r="D37" s="20" t="str">
        <x:v>2026 REVIEW-DERIVED</x:v>
      </x:c>
      <x:c r="E37" s="20" t="str">
        <x:v>CPP/gene delivery</x:v>
      </x:c>
      <x:c r="F37" s="20" t="n">
        <x:v>358</x:v>
      </x:c>
      <x:c r="G37" s="20" t="n">
        <x:v>640</x:v>
      </x:c>
      <x:c r="H37" s="20"/>
      <x:c r="I37" s="20" t="str">
        <x:v>PRIMARY_REQUIRED</x:v>
      </x:c>
      <x:c r="J37" s="20" t="str">
        <x:v>Charge-pattern lead.</x:v>
      </x:c>
    </x:row>
    <x:row r="38" ht="18" customHeight="1">
      <x:c r="A38" s="20" t="str">
        <x:v>Q035</x:v>
      </x:c>
      <x:c r="B38" s="20" t="str">
        <x:v>GIGAVLKVLTTGLPALISWIKRKRQQ</x:v>
      </x:c>
      <x:c r="C38" s="20" t="str">
        <x:v>W13</x:v>
      </x:c>
      <x:c r="D38" s="20" t="str">
        <x:v>2026 REVIEW-DERIVED</x:v>
      </x:c>
      <x:c r="E38" s="20" t="str">
        <x:v>Cervical-cancer peptide-AuNC</x:v>
      </x:c>
      <x:c r="F38" s="20" t="n">
        <x:v>280</x:v>
      </x:c>
      <x:c r="G38" s="20" t="n">
        <x:v>350</x:v>
      </x:c>
      <x:c r="H38" s="20"/>
      <x:c r="I38" s="20" t="str">
        <x:v>PRIMARY_REQUIRED</x:v>
      </x:c>
      <x:c r="J38" s="20" t="str">
        <x:v>Long hydrophobic/cationic biofunctional sequence.</x:v>
      </x:c>
    </x:row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8d6a0cf4617343b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58" hidden="0" customWidth="1"/>
    <x:col min="5" max="5" width="58" hidden="0" customWidth="1"/>
    <x:col min="6" max="6" width="58" hidden="0" customWidth="1"/>
    <x:col min="7" max="7" width="24" hidden="0" customWidth="1"/>
    <x:col min="8" max="8" width="16" hidden="0" customWidth="1"/>
  </x:cols>
  <x:sheetData>
    <x:row r="1" ht="28" customHeight="1">
      <x:c r="A1" s="30" t="str">
        <x:v>PepAuDB v0.2 — Scientific QC Log</x:v>
      </x:c>
      <x:c r="B1" s="30"/>
      <x:c r="C1" s="30"/>
      <x:c r="D1" s="30"/>
      <x:c r="E1" s="30"/>
      <x:c r="F1" s="30"/>
      <x:c r="G1" s="30"/>
      <x:c r="H1" s="30"/>
    </x:row>
    <x:row r="2" ht="18" customHeight="1"/>
    <x:row r="3" ht="32" customHeight="1">
      <x:c r="A3" s="35" t="str">
        <x:v>QC_ID</x:v>
      </x:c>
      <x:c r="B3" s="35" t="str">
        <x:v>Affected_Record_or_Source</x:v>
      </x:c>
      <x:c r="C3" s="35" t="str">
        <x:v>Severity</x:v>
      </x:c>
      <x:c r="D3" s="35" t="str">
        <x:v>Issue</x:v>
      </x:c>
      <x:c r="E3" s="35" t="str">
        <x:v>Why_it_matters</x:v>
      </x:c>
      <x:c r="F3" s="35" t="str">
        <x:v>Required_Action</x:v>
      </x:c>
      <x:c r="G3" s="35" t="str">
        <x:v>Training_Status</x:v>
      </x:c>
      <x:c r="H3" s="35" t="str">
        <x:v>Resolution_Priority</x:v>
      </x:c>
    </x:row>
    <x:row r="4" ht="18" customHeight="1">
      <x:c r="A4" s="20" t="str">
        <x:v>QC001</x:v>
      </x:c>
      <x:c r="B4" s="20" t="str">
        <x:v>R027 / W04</x:v>
      </x:c>
      <x:c r="C4" s="20" t="str">
        <x:v>CRITICAL</x:v>
      </x:c>
      <x:c r="D4" s="20" t="str">
        <x:v>Primary article reports two different peptide sequences: Materials = CGPDGRDGRDGPDGR; Results = CCGPDGRDGRDGRDGR.</x:v>
      </x:c>
      <x:c r="E4" s="20" t="str">
        <x:v>Sequence features and the inferred Au7Peptide5 stoichiometry depend directly on Cys count and exact sequence.</x:v>
      </x:c>
      <x:c r="F4" s="20" t="str">
        <x:v>Verify typeset PDF, supplementary material, or author correction before sequence encoding.</x:v>
      </x:c>
      <x:c r="G4" s="20" t="str">
        <x:v>QC_HOLD</x:v>
      </x:c>
      <x:c r="H4" s="20" t="str">
        <x:v>P0</x:v>
      </x:c>
    </x:row>
    <x:row r="5" ht="18" customHeight="1">
      <x:c r="A5" s="20" t="str">
        <x:v>QC002</x:v>
      </x:c>
      <x:c r="B5" s="20" t="str">
        <x:v>R017 / S10</x:v>
      </x:c>
      <x:c r="C5" s="20" t="str">
        <x:v>HIGH</x:v>
      </x:c>
      <x:c r="D5" s="20" t="str">
        <x:v>Au25(SG)18 main article points to Supporting Information / prior method for detailed synthesis.</x:v>
      </x:c>
      <x:c r="E5" s="20" t="str">
        <x:v>Atomic label is valid, but synthesis-condition model would otherwise contain missing or guessed values.</x:v>
      </x:c>
      <x:c r="F5" s="20" t="str">
        <x:v>Acquire SI and canonical primary synthesis protocol; create separate experiment records if protocols differ.</x:v>
      </x:c>
      <x:c r="G5" s="20" t="str">
        <x:v>QC_HOLD_FOR_SYNTHESIS</x:v>
      </x:c>
      <x:c r="H5" s="20" t="str">
        <x:v>P0</x:v>
      </x:c>
    </x:row>
    <x:row r="6" ht="18" customHeight="1">
      <x:c r="A6" s="20" t="str">
        <x:v>QC003</x:v>
      </x:c>
      <x:c r="B6" s="20" t="str">
        <x:v>R023–R024 / W01</x:v>
      </x:c>
      <x:c r="C6" s="20" t="str">
        <x:v>HIGH</x:v>
      </x:c>
      <x:c r="D6" s="20" t="str">
        <x:v>Same SV sequence yields blue and red AuNCs, but exact numeric condition sets are not yet extracted.</x:v>
      </x:c>
      <x:c r="E6" s="20" t="str">
        <x:v>This paired experiment is ideal evidence that synthesis context matters, but cannot train a condition-aware model without actual values.</x:v>
      </x:c>
      <x:c r="F6" s="20" t="str">
        <x:v>Extract pH, Au:peptide ratio, light condition, temperature and time for each color outcome.</x:v>
      </x:c>
      <x:c r="G6" s="20" t="str">
        <x:v>QC_HOLD</x:v>
      </x:c>
      <x:c r="H6" s="20" t="str">
        <x:v>P0</x:v>
      </x:c>
    </x:row>
    <x:row r="7" ht="18" customHeight="1">
      <x:c r="A7" s="20" t="str">
        <x:v>QC004</x:v>
      </x:c>
      <x:c r="B7" s="20" t="str">
        <x:v>R025 / W02</x:v>
      </x:c>
      <x:c r="C7" s="20" t="str">
        <x:v>HIGH</x:v>
      </x:c>
      <x:c r="D7" s="20" t="str">
        <x:v>Cyclodecapeptide exact sequence is not present in searchable text used here.</x:v>
      </x:c>
      <x:c r="E7" s="20" t="str">
        <x:v>Composition-only descriptors cannot replace exact residue order for an inverse sequence model.</x:v>
      </x:c>
      <x:c r="F7" s="20" t="str">
        <x:v>Recover exact cyclic sequence from structure figure/SI or primary PDF.</x:v>
      </x:c>
      <x:c r="G7" s="20" t="str">
        <x:v>QC_HOLD</x:v>
      </x:c>
      <x:c r="H7" s="20" t="str">
        <x:v>P0</x:v>
      </x:c>
    </x:row>
    <x:row r="8" ht="18" customHeight="1">
      <x:c r="A8" s="20" t="str">
        <x:v>QC005</x:v>
      </x:c>
      <x:c r="B8" s="20" t="str">
        <x:v>R028 / W05</x:v>
      </x:c>
      <x:c r="C8" s="20" t="str">
        <x:v>MEDIUM</x:v>
      </x:c>
      <x:c r="D8" s="20" t="str">
        <x:v>Sv sequence in 2017 primary is CCYGGPKKKRKPG, while a related 2020 SV paper uses CCYGGPKKKRKVG.</x:v>
      </x:c>
      <x:c r="E8" s="20" t="str">
        <x:v>These near-identical sequences could leak across train/test and should not be collapsed as the same sequence.</x:v>
      </x:c>
      <x:c r="F8" s="20" t="str">
        <x:v>Keep source-specific sequences separate and cluster homologous sequences during validation.</x:v>
      </x:c>
      <x:c r="G8" s="20" t="str">
        <x:v>TRAIN_STRUCTURE_ONLY</x:v>
      </x:c>
      <x:c r="H8" s="20" t="str">
        <x:v>P0</x:v>
      </x:c>
    </x:row>
    <x:row r="9" ht="18" customHeight="1">
      <x:c r="A9" s="20" t="str">
        <x:v>QC006</x:v>
      </x:c>
      <x:c r="B9" s="20" t="str">
        <x:v>R029 / W06</x:v>
      </x:c>
      <x:c r="C9" s="20" t="str">
        <x:v>MEDIUM</x:v>
      </x:c>
      <x:c r="D9" s="20" t="str">
        <x:v>Article introduction contains DGECGC, while Materials/Methods and synthesis sections specify DGEAGC.</x:v>
      </x:c>
      <x:c r="E9" s="20" t="str">
        <x:v>A typographic inconsistency exists in the primary article.</x:v>
      </x:c>
      <x:c r="F9" s="20" t="str">
        <x:v>Use DGEAGC from Materials/Methods; retain this QC note.</x:v>
      </x:c>
      <x:c r="G9" s="20" t="str">
        <x:v>TRAIN_OPTICAL_SIZE</x:v>
      </x:c>
      <x:c r="H9" s="20" t="str">
        <x:v>P1</x:v>
      </x:c>
    </x:row>
    <x:row r="10" ht="18" customHeight="1">
      <x:c r="A10" s="20" t="str">
        <x:v>QC007</x:v>
      </x:c>
      <x:c r="B10" s="20" t="str">
        <x:v>R018–R020 / S11/S13</x:v>
      </x:c>
      <x:c r="C10" s="20" t="str">
        <x:v>HIGH</x:v>
      </x:c>
      <x:c r="D10" s="20" t="str">
        <x:v>AuPC PTT/biomedical benchmarks are not peptide-templated sequence-design records.</x:v>
      </x:c>
      <x:c r="E10" s="20" t="str">
        <x:v>Including them in the peptide model would create label/domain leakage.</x:v>
      </x:c>
      <x:c r="F10" s="20" t="str">
        <x:v>Keep in benchmark/transfer layer only.</x:v>
      </x:c>
      <x:c r="G10" s="20" t="str">
        <x:v>BENCHMARK_ONLY</x:v>
      </x:c>
      <x:c r="H10" s="20" t="str">
        <x:v>P0</x:v>
      </x:c>
    </x:row>
    <x:row r="11" ht="18" customHeight="1">
      <x:c r="A11" s="20" t="str">
        <x:v>QC008</x:v>
      </x:c>
      <x:c r="B11" s="20" t="str">
        <x:v>R001–R014</x:v>
      </x:c>
      <x:c r="C11" s="20" t="str">
        <x:v>HIGH</x:v>
      </x:c>
      <x:c r="D11" s="20" t="str">
        <x:v>Most inherited peptide experiments concern AuNPs, bipyramids or superstructures rather than sub-3 nm atomic AuNCs.</x:v>
      </x:c>
      <x:c r="E11" s="20" t="str">
        <x:v>Cross-regime data can teach mechanisms but should not be treated as equivalent target samples.</x:v>
      </x:c>
      <x:c r="F11" s="20" t="str">
        <x:v>Use for mechanistic priors/features or auxiliary tasks only.</x:v>
      </x:c>
      <x:c r="G11" s="20" t="str">
        <x:v>MECHANISTIC_ONLY</x:v>
      </x:c>
      <x:c r="H11" s="20" t="str">
        <x:v>P0</x:v>
      </x:c>
    </x:row>
    <x:row r="12" ht="18" customHeight="1">
      <x:c r="A12" s="20" t="str">
        <x:v>QC009</x:v>
      </x:c>
      <x:c r="B12" s="20" t="str">
        <x:v>W10</x:v>
      </x:c>
      <x:c r="C12" s="20" t="str">
        <x:v>HIGH</x:v>
      </x:c>
      <x:c r="D12" s="20" t="str">
        <x:v>Seven-sequence 2022 motif library has strong design value, but per-sequence synthesis/outcome mapping is not yet extracted.</x:v>
      </x:c>
      <x:c r="E12" s="20" t="str">
        <x:v>This may become the best within-paper sequence-comparison dataset and avoids inter-lab confounding.</x:v>
      </x:c>
      <x:c r="F12" s="20" t="str">
        <x:v>Acquire full paper and SI; create one row per sequence×condition outcome.</x:v>
      </x:c>
      <x:c r="G12" s="20" t="str">
        <x:v>PRIMARY_OUTCOME_NEEDED</x:v>
      </x:c>
      <x:c r="H12" s="20" t="str">
        <x:v>P0</x:v>
      </x:c>
    </x:row>
    <x:row r="13" ht="18" customHeight="1">
      <x:c r="A13" s="20" t="str">
        <x:v>QC010</x:v>
      </x:c>
      <x:c r="B13" s="20" t="str">
        <x:v>W13 review-derived sequences</x:v>
      </x:c>
      <x:c r="C13" s="20" t="str">
        <x:v>MEDIUM</x:v>
      </x:c>
      <x:c r="D13" s="20" t="str">
        <x:v>Excitation/emission/QY entries in the 2026 Aggregate review are secondary evidence.</x:v>
      </x:c>
      <x:c r="E13" s="20" t="str">
        <x:v>Secondary values can guide acquisition but should not create duplicated training labels.</x:v>
      </x:c>
      <x:c r="F13" s="20" t="str">
        <x:v>Acquire each primary reference before moving sequence records to TRAIN status.</x:v>
      </x:c>
      <x:c r="G13" s="20" t="str">
        <x:v>PRIMARY_REQUIRED</x:v>
      </x:c>
      <x:c r="H13" s="20" t="str">
        <x:v>P0</x:v>
      </x:c>
    </x:row>
    <x:row r="14" ht="18" customHeight="1">
      <x:c r="A14" s="20" t="str">
        <x:v>QC011</x:v>
      </x:c>
      <x:c r="B14" s="20" t="str">
        <x:v>All formation modeling</x:v>
      </x:c>
      <x:c r="C14" s="20" t="str">
        <x:v>CRITICAL</x:v>
      </x:c>
      <x:c r="D14" s="20" t="str">
        <x:v>Current dataset is dominated by successful syntheses; true failed/negative peptide-AuNC experiments are scarce.</x:v>
      </x:c>
      <x:c r="E14" s="20" t="str">
        <x:v>A formation classifier trained only on positives will reproduce the old majority-class problem.</x:v>
      </x:c>
      <x:c r="F14" s="20" t="str">
        <x:v>Curate explicit failed syntheses/controls and condition-dependent negatives from papers/SI.</x:v>
      </x:c>
      <x:c r="G14" s="20" t="str">
        <x:v>NOT_READY</x:v>
      </x:c>
      <x:c r="H14" s="20" t="str">
        <x:v>P0</x:v>
      </x:c>
    </x:row>
    <x:row r="15" ht="18" customHeight="1">
      <x:c r="A15" s="20" t="str">
        <x:v>QC012</x:v>
      </x:c>
      <x:c r="B15" s="20" t="str">
        <x:v>All PTT modeling</x:v>
      </x:c>
      <x:c r="C15" s="20" t="str">
        <x:v>CRITICAL</x:v>
      </x:c>
      <x:c r="D15" s="20" t="str">
        <x:v>Direct peptide-templated atomic AuNC PTT records remain sparse; most strong PTT records are non-peptide AuNC benchmarks or larger Au structures.</x:v>
      </x:c>
      <x:c r="E15" s="20" t="str">
        <x:v>A peptide→PCE/ΔT regression would currently be statistically indefensible.</x:v>
      </x:c>
      <x:c r="F15" s="20" t="str">
        <x:v>Keep PTT as benchmark/rule layer until enough direct peptide-AuNC PTT studies are obtained.</x:v>
      </x:c>
      <x:c r="G15" s="20" t="str">
        <x:v>NOT_READY</x:v>
      </x:c>
      <x:c r="H15" s="20" t="str">
        <x:v>P0</x:v>
      </x:c>
    </x:row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H1"/>
  </x:mergeCells>
  <x:conditionalFormatting sqref="C4:C15">
    <x:cfRule type="expression" dxfId="4" priority="1">
      <x:formula>C4="CRITICAL"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1ffcb3073f47c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6" hidden="0" customWidth="1"/>
    <x:col min="3" max="3" width="54" hidden="0" customWidth="1"/>
    <x:col min="4" max="4" width="20" hidden="0" customWidth="1"/>
    <x:col min="5" max="5" width="10" hidden="0" customWidth="1"/>
    <x:col min="6" max="6" width="54" hidden="0" customWidth="1"/>
    <x:col min="7" max="7" width="52" hidden="0" customWidth="1"/>
    <x:col min="8" max="8" width="54" hidden="0" customWidth="1"/>
    <x:col min="9" max="9" width="44" hidden="0" customWidth="1"/>
  </x:cols>
  <x:sheetData>
    <x:row r="1" ht="28" customHeight="1">
      <x:c r="A1" s="30" t="str">
        <x:v>Model Development Gates — Operational Criteria, Not Statistical Guarantees</x:v>
      </x:c>
      <x:c r="B1" s="30"/>
      <x:c r="C1" s="30"/>
      <x:c r="D1" s="30"/>
      <x:c r="E1" s="30"/>
      <x:c r="F1" s="30"/>
      <x:c r="G1" s="30"/>
      <x:c r="H1" s="30"/>
      <x:c r="I1" s="30"/>
    </x:row>
    <x:row r="2" ht="18" customHeight="1"/>
    <x:row r="3" ht="32" customHeight="1">
      <x:c r="A3" s="35" t="str">
        <x:v>Gate</x:v>
      </x:c>
      <x:c r="B3" s="35" t="str">
        <x:v>Target_Module</x:v>
      </x:c>
      <x:c r="C3" s="35" t="str">
        <x:v>Operational_Minimum</x:v>
      </x:c>
      <x:c r="D3" s="35" t="str">
        <x:v>Current_Status</x:v>
      </x:c>
      <x:c r="E3" s="35" t="str">
        <x:v>Pass?</x:v>
      </x:c>
      <x:c r="F3" s="35" t="str">
        <x:v>Reason</x:v>
      </x:c>
      <x:c r="G3" s="35" t="str">
        <x:v>When_Passed_Do</x:v>
      </x:c>
      <x:c r="H3" s="35" t="str">
        <x:v>Validation_Requirement</x:v>
      </x:c>
      <x:c r="I3" s="35" t="str">
        <x:v>Note</x:v>
      </x:c>
    </x:row>
    <x:row r="4" ht="18" customHeight="1">
      <x:c r="A4" s="20" t="str">
        <x:v>G1</x:v>
      </x:c>
      <x:c r="B4" s="20" t="str">
        <x:v>Data provenance</x:v>
      </x:c>
      <x:c r="C4" s="20" t="str">
        <x:v>Every train row has primary source, exact peptide identity and material regime</x:v>
      </x:c>
      <x:c r="D4" s="20" t="str">
        <x:v>PARTIAL</x:v>
      </x:c>
      <x:c r="E4" s="20" t="str">
        <x:v>NO</x:v>
      </x:c>
      <x:c r="F4" s="20" t="str">
        <x:v>Several promising rows still depend on reviews, missing SI or sequence ambiguity.</x:v>
      </x:c>
      <x:c r="G4" s="20" t="str">
        <x:v>Lock PepAuDB release and hash/freeze the dataset.</x:v>
      </x:c>
      <x:c r="H4" s="20" t="str">
        <x:v>Audit primary citation + source locator for every row.</x:v>
      </x:c>
      <x:c r="I4" s="20" t="str">
        <x:v>Required before any accuracy claim.</x:v>
      </x:c>
    </x:row>
    <x:row r="5" ht="18" customHeight="1">
      <x:c r="A5" s="20" t="str">
        <x:v>G2</x:v>
      </x:c>
      <x:c r="B5" s="20" t="str">
        <x:v>Exploratory optical/size model</x:v>
      </x:c>
      <x:c r="C5" s="20" t="str">
        <x:v>≈30–50 direct peptide-AuNC experiment rows across ≥8 independent papers and ≥20 sequence families</x:v>
      </x:c>
      <x:c r="D5" s="20" t="str">
        <x:v>BELOW GATE</x:v>
      </x:c>
      <x:c r="E5" s="20" t="str">
        <x:v>NO</x:v>
      </x:c>
      <x:c r="F5" s="20" t="str">
        <x:v>Current direct trainable peptide-AuNC diversity is still small.</x:v>
      </x:c>
      <x:c r="G5" s="20" t="str">
        <x:v>Benchmark ElasticNet/RF/CatBoost/GP + frozen ESM features.</x:v>
      </x:c>
      <x:c r="H5" s="20" t="str">
        <x:v>Paper-wise GroupKFold + sequence-cluster split + nested tuning.</x:v>
      </x:c>
      <x:c r="I5" s="20" t="str">
        <x:v>Project planning gate; not a universal sample-size law.</x:v>
      </x:c>
    </x:row>
    <x:row r="6" ht="18" customHeight="1">
      <x:c r="A6" s="20" t="str">
        <x:v>G3</x:v>
      </x:c>
      <x:c r="B6" s="20" t="str">
        <x:v>Atomic nuclearity model</x:v>
      </x:c>
      <x:c r="C6" s="20" t="str">
        <x:v>Prefer ≥30 nuclearity-labeled direct rows for exploratory work; substantially more for production claims</x:v>
      </x:c>
      <x:c r="D6" s="20" t="str">
        <x:v>BELOW GATE</x:v>
      </x:c>
      <x:c r="E6" s="20" t="str">
        <x:v>NO</x:v>
      </x:c>
      <x:c r="F6" s="20" t="str">
        <x:v>Only a handful of atomic peptide-ligand clusters are currently directly usable.</x:v>
      </x:c>
      <x:c r="G6" s="20" t="str">
        <x:v>Start exploratory nuclearity regression/classification only when diversity improves.</x:v>
      </x:c>
      <x:c r="H6" s="20" t="str">
        <x:v>Leave-one-paper-out; exact/±1 atom accuracy + MAE + uncertainty.</x:v>
      </x:c>
      <x:c r="I6" s="20" t="str">
        <x:v>Do not advertise atomic prediction accuracy yet.</x:v>
      </x:c>
    </x:row>
    <x:row r="7" ht="18" customHeight="1">
      <x:c r="A7" s="20" t="str">
        <x:v>G4</x:v>
      </x:c>
      <x:c r="B7" s="20" t="str">
        <x:v>Formation classifier</x:v>
      </x:c>
      <x:c r="C7" s="20" t="str">
        <x:v>Enough explicit positive AND failed/negative experiments; avoid severe one-class imbalance</x:v>
      </x:c>
      <x:c r="D7" s="20" t="str">
        <x:v>BELOW GATE</x:v>
      </x:c>
      <x:c r="E7" s="20" t="str">
        <x:v>NO</x:v>
      </x:c>
      <x:c r="F7" s="20" t="str">
        <x:v>Published literature is success-biased and current negatives are inadequate.</x:v>
      </x:c>
      <x:c r="G7" s="20" t="str">
        <x:v>Train calibrated classifier only after negative-condition curation.</x:v>
      </x:c>
      <x:c r="H7" s="20" t="str">
        <x:v>Balanced accuracy, MCC, AUROC/AUPRC, Brier score, calibration.</x:v>
      </x:c>
      <x:c r="I7" s="20" t="str">
        <x:v>Prevents recurrence of the old 91.7% majority-class artifact.</x:v>
      </x:c>
    </x:row>
    <x:row r="8" ht="18" customHeight="1">
      <x:c r="A8" s="20" t="str">
        <x:v>G5</x:v>
      </x:c>
      <x:c r="B8" s="20" t="str">
        <x:v>PTT model</x:v>
      </x:c>
      <x:c r="C8" s="20" t="str">
        <x:v>Direct peptide-AuNC PTT dataset across multiple peptide families, materials and laser contexts</x:v>
      </x:c>
      <x:c r="D8" s="20" t="str">
        <x:v>BELOW GATE</x:v>
      </x:c>
      <x:c r="E8" s="20" t="str">
        <x:v>NO</x:v>
      </x:c>
      <x:c r="F8" s="20" t="str">
        <x:v>Strong PTT benchmarks exist, but peptide-templated atomic AuNC PTT pairs are sparse.</x:v>
      </x:c>
      <x:c r="G8" s="20" t="str">
        <x:v>Train laser/context-aware PCE/ΔT model; keep theranostic mode Pareto-based.</x:v>
      </x:c>
      <x:c r="H8" s="20" t="str">
        <x:v>Paper-wise split; matched laser wavelength/power/concentration; uncertainty intervals.</x:v>
      </x:c>
      <x:c r="I8" s="20" t="str">
        <x:v>Until then use benchmark/reference scoring, not learned PTT claims.</x:v>
      </x:c>
    </x:row>
    <x:row r="9" ht="18" customHeight="1">
      <x:c r="A9" s="20" t="str">
        <x:v>G6</x:v>
      </x:c>
      <x:c r="B9" s="20" t="str">
        <x:v>External validation</x:v>
      </x:c>
      <x:c r="C9" s="20" t="str">
        <x:v>≥2 independent papers/labs reserved and never used in feature/model tuning</x:v>
      </x:c>
      <x:c r="D9" s="20" t="str">
        <x:v>NOT YET</x:v>
      </x:c>
      <x:c r="E9" s="20" t="str">
        <x:v>NO</x:v>
      </x:c>
      <x:c r="F9" s="20" t="str">
        <x:v>Dataset is still being assembled.</x:v>
      </x:c>
      <x:c r="G9" s="20" t="str">
        <x:v>Freeze external test set before final model selection.</x:v>
      </x:c>
      <x:c r="H9" s="20" t="str">
        <x:v>No tuning on external test; report confidence intervals.</x:v>
      </x:c>
      <x:c r="I9" s="20" t="str">
        <x:v>Must precede production Streamlit accuracy badge.</x:v>
      </x:c>
    </x:row>
    <x:row r="10" ht="18" customHeight="1">
      <x:c r="A10" s="20" t="str">
        <x:v>G7</x:v>
      </x:c>
      <x:c r="B10" s="20" t="str">
        <x:v>Production Streamlit</x:v>
      </x:c>
      <x:c r="C10" s="20" t="str">
        <x:v>Frozen model + model card + OOD detector + uncertainty + nearest-literature evidence</x:v>
      </x:c>
      <x:c r="D10" s="20" t="str">
        <x:v>NOT YET</x:v>
      </x:c>
      <x:c r="E10" s="20" t="str">
        <x:v>NO</x:v>
      </x:c>
      <x:c r="F10" s="20" t="str">
        <x:v>Core predictive gates are not passed.</x:v>
      </x:c>
      <x:c r="G10" s="20" t="str">
        <x:v>Deploy read-only frozen artifacts from GitHub release.</x:v>
      </x:c>
      <x:c r="H10" s="20" t="str">
        <x:v>Reproducible versioned inference tests.</x:v>
      </x:c>
      <x:c r="I10" s="20" t="str">
        <x:v>Prototype UI can be built earlier, but must label predictions as research-only.</x:v>
      </x:c>
    </x:row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I1"/>
  </x:mergeCells>
  <x:conditionalFormatting sqref="E4:E10">
    <x:cfRule type="expression" dxfId="5" priority="1">
      <x:formula>E4="NO"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8d4bd72d09432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2" hidden="0" customWidth="1"/>
    <x:col min="4" max="4" width="32" hidden="0" customWidth="1"/>
    <x:col min="5" max="5" width="18" hidden="0" customWidth="1"/>
    <x:col min="6" max="6" width="58" hidden="0" customWidth="1"/>
    <x:col min="7" max="7" width="58" hidden="0" customWidth="1"/>
  </x:cols>
  <x:sheetData>
    <x:row r="1" ht="28" customHeight="1">
      <x:c r="A1" s="30" t="str">
        <x:v>NanoMax PepAu-Forge — PepAuDB v0.2 Dashboard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18" customHeight="1"/>
    <x:row r="3" ht="32" customHeight="1">
      <x:c r="A3" s="35" t="str">
        <x:v>KPI</x:v>
      </x:c>
      <x:c r="B3" s="35" t="str">
        <x:v>Value</x:v>
      </x:c>
      <x:c r="D3" s="35" t="str">
        <x:v>Model decision</x:v>
      </x:c>
      <x:c r="E3" s="35" t="str">
        <x:v>Status</x:v>
      </x:c>
      <x:c r="F3" s="35" t="str">
        <x:v>Why</x:v>
      </x:c>
      <x:c r="G3" s="35" t="str">
        <x:v>Next unblocker</x:v>
      </x:c>
    </x:row>
    <x:row r="4" ht="18" customHeight="1">
      <x:c r="A4" t="str">
        <x:v>Total v0.2 records</x:v>
      </x:c>
      <x:c r="B4" t="n">
        <x:f>COUNTA(PepAuDB_v0.2!A4:A36)</x:f>
        <x:v>33</x:v>
      </x:c>
      <x:c r="D4" s="20" t="str">
        <x:v>Final peptide→nuclearity model</x:v>
      </x:c>
      <x:c r="E4" s="20" t="str">
        <x:v>STOP</x:v>
      </x:c>
      <x:c r="F4" s="20" t="str">
        <x:v>Atomic sequence diversity still too low</x:v>
      </x:c>
      <x:c r="G4" s="20" t="str">
        <x:v>Acquire P0 atomic peptide papers + exact nuclearity labels</x:v>
      </x:c>
    </x:row>
    <x:row r="5" ht="18" customHeight="1">
      <x:c r="A5" t="str">
        <x:v>New web-researched records</x:v>
      </x:c>
      <x:c r="B5" t="n">
        <x:v>11</x:v>
      </x:c>
      <x:c r="D5" s="20" t="str">
        <x:v>Optical/size exploratory model</x:v>
      </x:c>
      <x:c r="E5" s="20" t="str">
        <x:v>WAIT</x:v>
      </x:c>
      <x:c r="F5" s="20" t="str">
        <x:v>Promising direct rows are growing but below diversity gate</x:v>
      </x:c>
      <x:c r="G5" s="20" t="str">
        <x:v>Extract 2022 seven-sequence paper + unresolved SI</x:v>
      </x:c>
    </x:row>
    <x:row r="6" ht="18" customHeight="1">
      <x:c r="A6" t="str">
        <x:v>Direct A1 atomic peptide-AuNC records</x:v>
      </x:c>
      <x:c r="B6" t="n">
        <x:f>COUNTIF(PepAuDB_v0.2!C4:C36,"A1 DIRECT_PEPTIDE_ATOMIC_AUNC")</x:f>
        <x:v>6</x:v>
      </x:c>
      <x:c r="D6" s="20" t="str">
        <x:v>PTT learned regression</x:v>
      </x:c>
      <x:c r="E6" s="20" t="str">
        <x:v>STOP</x:v>
      </x:c>
      <x:c r="F6" s="20" t="str">
        <x:v>Direct peptide-templated atomic PTT data remain sparse</x:v>
      </x:c>
      <x:c r="G6" s="20" t="str">
        <x:v>Mine peptide-AuNC PTT primary literature</x:v>
      </x:c>
    </x:row>
    <x:row r="7" ht="18" customHeight="1">
      <x:c r="A7" t="str">
        <x:v>TRAIN_CORE records</x:v>
      </x:c>
      <x:c r="B7" t="n">
        <x:f>COUNTIF(PepAuDB_v0.2!AJ4:AJ36,"TRAIN_CORE")</x:f>
        <x:v>3</x:v>
      </x:c>
      <x:c r="D7" s="20" t="str">
        <x:v>Mechanistic feature engineering</x:v>
      </x:c>
      <x:c r="E7" s="20" t="str">
        <x:v>GO</x:v>
      </x:c>
      <x:c r="F7" s="20" t="str">
        <x:v>Strong evidence supports sequence position, pH, topology and synthesis-context features</x:v>
      </x:c>
      <x:c r="G7" s="20" t="str">
        <x:v>Implement sequence/synthesis schema and descriptors</x:v>
      </x:c>
    </x:row>
    <x:row r="8" ht="18" customHeight="1">
      <x:c r="A8" t="str">
        <x:v>TRAIN_STRUCTURE_ONLY records</x:v>
      </x:c>
      <x:c r="B8" t="n">
        <x:f>COUNTIF(PepAuDB_v0.2!AJ4:AJ36,"TRAIN_STRUCTURE_ONLY")</x:f>
        <x:v>1</x:v>
      </x:c>
      <x:c r="D8" s="20" t="str">
        <x:v>Professional Streamlit shell</x:v>
      </x:c>
      <x:c r="E8" s="20" t="str">
        <x:v>GO WITH LABEL</x:v>
      </x:c>
      <x:c r="F8" s="20" t="str">
        <x:v>UI can be built before final model if predictions are clearly prototype/research-only</x:v>
      </x:c>
      <x:c r="G8" s="20" t="str">
        <x:v>Load frozen evidence database and model-card pages first</x:v>
      </x:c>
    </x:row>
    <x:row r="9" ht="18" customHeight="1">
      <x:c r="A9" t="str">
        <x:v>TRAIN_OPTICAL_SIZE records</x:v>
      </x:c>
      <x:c r="B9" t="n">
        <x:f>COUNTIF(PepAuDB_v0.2!AJ4:AJ36,"TRAIN_OPTICAL_SIZE")</x:f>
        <x:v>1</x:v>
      </x:c>
      <x:c r="D9" s="20" t="str">
        <x:v>Leakage-safe benchmark code</x:v>
      </x:c>
      <x:c r="E9" s="20" t="str">
        <x:v>GO</x:v>
      </x:c>
      <x:c r="F9" s="20" t="str">
        <x:v>Validation code can be prepared independent of final sample size</x:v>
      </x:c>
      <x:c r="G9" s="20" t="str">
        <x:v>Paper-grouped + sequence-clustered CV pipeline</x:v>
      </x:c>
    </x:row>
    <x:row r="10" ht="18" customHeight="1">
      <x:c r="A10" t="str">
        <x:v>QC_HOLD records</x:v>
      </x:c>
      <x:c r="B10" t="n">
        <x:f>COUNTIF(PepAuDB_v0.2!AJ4:AJ36,"QC_HOLD")</x:f>
        <x:v>8</x:v>
      </x:c>
      <x:c r="D10" s="20" t="str">
        <x:v>Prospective wet-lab validation</x:v>
      </x:c>
      <x:c r="E10" s="20" t="str">
        <x:v>LATER</x:v>
      </x:c>
      <x:c r="F10" s="20" t="str">
        <x:v>Needed for novel-candidate truth</x:v>
      </x:c>
      <x:c r="G10" s="20" t="str">
        <x:v>After retrospective model passes gates</x:v>
      </x:c>
    </x:row>
    <x:row r="11" ht="18" customHeight="1">
      <x:c r="A11" t="str">
        <x:v>Benchmark-only records</x:v>
      </x:c>
      <x:c r="B11" t="n">
        <x:f>COUNTIF(PepAuDB_v0.2!AJ4:AJ36,"BENCHMARK_ONLY")</x:f>
        <x:v>4</x:v>
      </x:c>
    </x:row>
    <x:row r="12" ht="18" customHeight="1">
      <x:c r="A12" t="str">
        <x:v>Sequence-library entries</x:v>
      </x:c>
      <x:c r="B12" t="n">
        <x:v>35</x:v>
      </x:c>
    </x:row>
    <x:row r="13" ht="18" customHeight="1">
      <x:c r="A13" t="str">
        <x:v>P0 literature sources</x:v>
      </x:c>
      <x:c r="B13" t="n">
        <x:f>COUNTIF(Web_Primary_Papers!K4:K19,"P0")</x:f>
        <x:v>10</x:v>
      </x:c>
      <x:c r="D13" s="35" t="str">
        <x:v>Training class</x:v>
      </x:c>
      <x:c r="E13" s="35" t="str">
        <x:v>Count</x:v>
      </x:c>
    </x:row>
    <x:row r="14" ht="18" customHeight="1">
      <x:c r="D14" t="str">
        <x:v>TRAIN_CORE</x:v>
      </x:c>
      <x:c r="E14" t="n">
        <x:f>COUNTIF(PepAuDB_v0.2!AJ4:AJ36,"TRAIN_CORE")</x:f>
        <x:v>3</x:v>
      </x:c>
    </x:row>
    <x:row r="15" ht="18" customHeight="1">
      <x:c r="D15" t="str">
        <x:v>TRAIN_STRUCTURE_ONLY</x:v>
      </x:c>
      <x:c r="E15" t="n">
        <x:f>COUNTIF(PepAuDB_v0.2!AJ4:AJ36,"TRAIN_STRUCTURE_ONLY")</x:f>
        <x:v>1</x:v>
      </x:c>
    </x:row>
    <x:row r="16" ht="18" customHeight="1">
      <x:c r="A16" s="35" t="str">
        <x:v>Highest-value immediate acquisitions</x:v>
      </x:c>
      <x:c r="B16" s="35" t="str">
        <x:v>Reason</x:v>
      </x:c>
      <x:c r="D16" t="str">
        <x:v>TRAIN_OPTICAL_SIZE</x:v>
      </x:c>
      <x:c r="E16" t="n">
        <x:f>COUNTIF(PepAuDB_v0.2!AJ4:AJ36,"TRAIN_OPTICAL_SIZE")</x:f>
        <x:v>1</x:v>
      </x:c>
    </x:row>
    <x:row r="17" ht="18" customHeight="1">
      <x:c r="A17" s="20" t="str">
        <x:v>W10 — 2022 seven-sequence motif library</x:v>
      </x:c>
      <x:c r="B17" s="20" t="str">
        <x:v>Within-paper sequence panel; likely highest information gain for sequence design.</x:v>
      </x:c>
      <x:c r="D17" t="str">
        <x:v>QC_HOLD</x:v>
      </x:c>
      <x:c r="E17" t="n">
        <x:f>COUNTIF(PepAuDB_v0.2!AJ4:AJ36,"QC_HOLD")</x:f>
        <x:v>8</x:v>
      </x:c>
    </x:row>
    <x:row r="18" ht="18" customHeight="1">
      <x:c r="A18" s="20" t="str">
        <x:v>W01 — Liu 2020 full text/SI</x:v>
      </x:c>
      <x:c r="B18" s="20" t="str">
        <x:v>Same exact peptide gives blue vs red AuNCs; ideal condition-aware paired data.</x:v>
      </x:c>
      <x:c r="D18" t="str">
        <x:v>BENCHMARK_ONLY</x:v>
      </x:c>
      <x:c r="E18" t="n">
        <x:f>COUNTIF(PepAuDB_v0.2!AJ4:AJ36,"BENCHMARK_ONLY")</x:f>
        <x:v>4</x:v>
      </x:c>
    </x:row>
    <x:row r="19" ht="18" customHeight="1">
      <x:c r="A19" s="20" t="str">
        <x:v>W05 — Au25Sv9 full primary PDF</x:v>
      </x:c>
      <x:c r="B19" s="20" t="str">
        <x:v>Atomic Au25 + designed peptide + cancer bioactivity.</x:v>
      </x:c>
    </x:row>
    <x:row r="20" ht="18" customHeight="1">
      <x:c r="A20" s="20" t="str">
        <x:v>W09 — CMMMMM/CYYYYY SI</x:v>
      </x:c>
      <x:c r="B20" s="20" t="str">
        <x:v>Matched sequence comparator for fluorescence and photostability.</x:v>
      </x:c>
    </x:row>
    <x:row r="21" ht="18" customHeight="1">
      <x:c r="A21" s="20" t="str">
        <x:v>W08 — AuNCs-LHRHa full text</x:v>
      </x:c>
      <x:c r="B21" s="20" t="str">
        <x:v>Direct peptide-functionalized AuNC PTT benchmark.</x:v>
      </x:c>
    </x:row>
    <x:row r="22" ht="18" customHeight="1">
      <x:c r="A22" s="20" t="str">
        <x:v>W16 — tripeptide therapeutic AuNC paper</x:v>
      </x:c>
      <x:c r="B22" s="20" t="str">
        <x:v>Short sequences + therapeutic optical function; useful for cancer-directed objective expansion.</x:v>
      </x:c>
    </x:row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J1"/>
  </x:mergeCells>
  <x:pageMargins left="0.7" right="0.7" top="0.75" bottom="0.75" header="0.3" footer="0.3"/>
  <x:drawing xmlns:r="http://schemas.openxmlformats.org/officeDocument/2006/relationships" r:id="R268820c5314a4cc8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1" hidden="0" customWidth="1"/>
    <x:col min="4" max="4" width="16" hidden="0" customWidth="1"/>
    <x:col min="5" max="5" width="27" hidden="0" customWidth="1"/>
    <x:col min="6" max="6" width="31" hidden="0" customWidth="1"/>
    <x:col min="7" max="7" width="40" hidden="0" customWidth="1"/>
    <x:col min="8" max="8" width="14" hidden="0" customWidth="1"/>
    <x:col min="9" max="9" width="34" hidden="0" customWidth="1"/>
    <x:col min="10" max="10" width="13" hidden="0" customWidth="1"/>
    <x:col min="11" max="11" width="12" hidden="0" customWidth="1"/>
    <x:col min="12" max="12" width="13" hidden="0" customWidth="1"/>
    <x:col min="13" max="13" width="16" hidden="0" customWidth="1"/>
    <x:col min="14" max="14" width="36" hidden="0" customWidth="1"/>
    <x:col min="15" max="15" width="22" hidden="0" customWidth="1"/>
    <x:col min="16" max="16" width="48" hidden="0" customWidth="1"/>
    <x:col min="17" max="17" width="29" hidden="0" customWidth="1"/>
    <x:col min="18" max="18" width="10" hidden="0" customWidth="1"/>
    <x:col min="19" max="19" width="13" hidden="0" customWidth="1"/>
    <x:col min="20" max="20" width="10" hidden="0" customWidth="1"/>
    <x:col min="21" max="21" width="44" hidden="0" customWidth="1"/>
    <x:col min="22" max="22" width="16" hidden="0" customWidth="1"/>
    <x:col min="23" max="23" width="26" hidden="0" customWidth="1"/>
    <x:col min="24" max="24" width="12" hidden="0" customWidth="1"/>
    <x:col min="25" max="25" width="20" hidden="0" customWidth="1"/>
    <x:col min="26" max="26" width="12" hidden="0" customWidth="1"/>
    <x:col min="27" max="27" width="10" hidden="0" customWidth="1"/>
    <x:col min="28" max="28" width="16" hidden="0" customWidth="1"/>
    <x:col min="29" max="29" width="18" hidden="0" customWidth="1"/>
    <x:col min="30" max="30" width="14" hidden="0" customWidth="1"/>
    <x:col min="31" max="31" width="28" hidden="0" customWidth="1"/>
    <x:col min="32" max="32" width="74" hidden="0" customWidth="1"/>
    <x:col min="33" max="33" width="36" hidden="0" customWidth="1"/>
    <x:col min="34" max="34" width="44" hidden="0" customWidth="1"/>
    <x:col min="35" max="35" width="16" hidden="0" customWidth="1"/>
    <x:col min="36" max="36" width="23" hidden="0" customWidth="1"/>
    <x:col min="37" max="37" width="26" hidden="0" customWidth="1"/>
    <x:col min="38" max="38" width="66" hidden="0" customWidth="1"/>
    <x:col min="39" max="39" width="14" hidden="0" customWidth="1"/>
    <x:col min="40" max="40" width="24" hidden="0" customWidth="1"/>
  </x:cols>
  <x:sheetData>
    <x:row r="1">
      <x:c r="A1" s="39" t="str">
        <x:v>PepAuDB v0.3 — Expanded Primary Literature + Leakage-Safe Training Gate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  <x:c r="AE1" s="39"/>
      <x:c r="AF1" s="39"/>
      <x:c r="AG1" s="39"/>
      <x:c r="AH1" s="39"/>
      <x:c r="AI1" s="39"/>
      <x:c r="AJ1" s="39"/>
      <x:c r="AK1" s="39"/>
      <x:c r="AL1" s="39"/>
      <x:c r="AM1" s="39"/>
      <x:c r="AN1" s="39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</x:row>
    <x:row r="3">
      <x:c r="A3" s="44" t="str">
        <x:v>Record_ID</x:v>
      </x:c>
      <x:c r="B3" s="44" t="str">
        <x:v>Source_ID</x:v>
      </x:c>
      <x:c r="C3" s="44" t="str">
        <x:v>Evidence_Class</x:v>
      </x:c>
      <x:c r="D3" s="44" t="str">
        <x:v>Data_Status</x:v>
      </x:c>
      <x:c r="E3" s="44" t="str">
        <x:v>Material_Regime</x:v>
      </x:c>
      <x:c r="F3" s="44" t="str">
        <x:v>Peptide_or_Ligand</x:v>
      </x:c>
      <x:c r="G3" s="44" t="str">
        <x:v>Sequence</x:v>
      </x:c>
      <x:c r="H3" s="44" t="str">
        <x:v>Stereochemistry</x:v>
      </x:c>
      <x:c r="I3" s="44" t="str">
        <x:v>Terminal_or_Chemical_Modification</x:v>
      </x:c>
      <x:c r="J3" s="44" t="str">
        <x:v>Au_Nuclearity</x:v>
      </x:c>
      <x:c r="K3" s="44" t="str">
        <x:v>Ligand_Count</x:v>
      </x:c>
      <x:c r="L3" s="44" t="str">
        <x:v>Core_Size_nm</x:v>
      </x:c>
      <x:c r="M3" s="44" t="str">
        <x:v>Hydrodynamic_Size_nm</x:v>
      </x:c>
      <x:c r="N3" s="44" t="str">
        <x:v>Morphology</x:v>
      </x:c>
      <x:c r="O3" s="44" t="str">
        <x:v>Au_Precursor</x:v>
      </x:c>
      <x:c r="P3" s="44" t="str">
        <x:v>Peptide_or_Ligand_Condition</x:v>
      </x:c>
      <x:c r="Q3" s="44" t="str">
        <x:v>Reducing_Agent</x:v>
      </x:c>
      <x:c r="R3" s="44" t="str">
        <x:v>pH</x:v>
      </x:c>
      <x:c r="S3" s="44" t="str">
        <x:v>Temperature_C</x:v>
      </x:c>
      <x:c r="T3" s="44" t="str">
        <x:v>Time_h</x:v>
      </x:c>
      <x:c r="U3" s="44" t="str">
        <x:v>Mixing_or_Process</x:v>
      </x:c>
      <x:c r="V3" s="44" t="str">
        <x:v>Emission_Peak_nm</x:v>
      </x:c>
      <x:c r="W3" s="44" t="str">
        <x:v>Emission_Range_nm</x:v>
      </x:c>
      <x:c r="X3" s="44" t="str">
        <x:v>PLQY_pct</x:v>
      </x:c>
      <x:c r="Y3" s="44" t="str">
        <x:v>Absorption_or_LSPR_nm</x:v>
      </x:c>
      <x:c r="Z3" s="44" t="str">
        <x:v>Zeta_mV</x:v>
      </x:c>
      <x:c r="AA3" s="44" t="str">
        <x:v>Laser_nm</x:v>
      </x:c>
      <x:c r="AB3" s="44" t="str">
        <x:v>Laser_Power_W_cm2</x:v>
      </x:c>
      <x:c r="AC3" s="44" t="str">
        <x:v>PTT_Temperature_C</x:v>
      </x:c>
      <x:c r="AD3" s="44" t="str">
        <x:v>PTT_Time_min</x:v>
      </x:c>
      <x:c r="AE3" s="44" t="str">
        <x:v>Application</x:v>
      </x:c>
      <x:c r="AF3" s="44" t="str">
        <x:v>Key_Observation</x:v>
      </x:c>
      <x:c r="AG3" s="44" t="str">
        <x:v>Source_Locator</x:v>
      </x:c>
      <x:c r="AH3" s="44" t="str">
        <x:v>DOI_URL</x:v>
      </x:c>
      <x:c r="AI3" s="44" t="str">
        <x:v>Key_Field_Completeness_pct</x:v>
      </x:c>
      <x:c r="AJ3" s="44" t="str">
        <x:v>Training_Eligibility</x:v>
      </x:c>
      <x:c r="AK3" s="44" t="str">
        <x:v>Sequence_Status</x:v>
      </x:c>
      <x:c r="AL3" s="44" t="str">
        <x:v>QC_Flag</x:v>
      </x:c>
      <x:c r="AM3" s="44" t="str">
        <x:v>Research_Date</x:v>
      </x:c>
      <x:c r="AN3" s="44" t="str">
        <x:v>Source_Type</x:v>
      </x:c>
    </x:row>
    <x:row r="4">
      <x:c r="A4" s="20" t="str">
        <x:v>R001</x:v>
      </x:c>
      <x:c r="B4" s="20" t="str">
        <x:v>S01</x:v>
      </x:c>
      <x:c r="C4" s="20" t="str">
        <x:v>B1 PEPTIDE_AUNP_MECHANISM</x:v>
      </x:c>
      <x:c r="D4" s="20" t="str">
        <x:v>DIRECT</x:v>
      </x:c>
      <x:c r="E4" s="20" t="str">
        <x:v>gold_nanoparticle</x:v>
      </x:c>
      <x:c r="F4" s="20" t="str">
        <x:v>AAAKCK</x:v>
      </x:c>
      <x:c r="G4" s="20" t="str">
        <x:v>AAAKCK</x:v>
      </x:c>
      <x:c r="H4" s="20" t="str">
        <x:v>L</x:v>
      </x:c>
      <x:c r="I4" s="20" t="str">
        <x:v>None</x:v>
      </x:c>
      <x:c r="J4" s="20"/>
      <x:c r="K4" s="20"/>
      <x:c r="L4" s="20"/>
      <x:c r="M4" s="20"/>
      <x:c r="N4" s="20" t="str">
        <x:v>Mostly icosahedron/decahedron; some hexagonal plates</x:v>
      </x:c>
      <x:c r="O4" s="20" t="str">
        <x:v>HAuCl4</x:v>
      </x:c>
      <x:c r="P4" s="20" t="str">
        <x:v>7 mM peptide; 10 mM HAuCl4; 20 mM phosphate buffer</x:v>
      </x:c>
      <x:c r="Q4" s="20" t="str">
        <x:v>Peptide self-reduction</x:v>
      </x:c>
      <x:c r="R4" s="20" t="n">
        <x:v>4</x:v>
      </x:c>
      <x:c r="S4" s="20" t="n">
        <x:v>25</x:v>
      </x:c>
      <x:c r="T4" s="20"/>
      <x:c r="U4" s="20" t="str">
        <x:v>No stirring; room temperature</x:v>
      </x:c>
      <x:c r="V4" s="20"/>
      <x:c r="W4" s="20"/>
      <x:c r="X4" s="20"/>
      <x:c r="Y4" s="20"/>
      <x:c r="Z4" s="20"/>
      <x:c r="AA4" s="20"/>
      <x:c r="AB4" s="20"/>
      <x:c r="AC4" s="20"/>
      <x:c r="AD4" s="20"/>
      <x:c r="AE4" s="20" t="str">
        <x:v>Mechanistic</x:v>
      </x:c>
      <x:c r="AF4" s="20" t="str">
        <x:v>pH 4: 71.4% icosahedron/decahedron; size ranges 55–90, 50–100 and 65–125 nm for icosahedron/decahedron/plates</x:v>
      </x:c>
      <x:c r="AG4" s="20" t="str">
        <x:v>Main text p.5; Fig.6</x:v>
      </x:c>
      <x:c r="AH4" s="20" t="str">
        <x:v>https://doi.org/10.1021/acsomega.6b00140</x:v>
      </x:c>
      <x:c r="AI4" s="24" t="n">
        <x:f>ROUND(100*COUNTA(G4,J4,L4,R4,S4,T4,V4,X4,AA4,AC4)/10,0)</x:f>
        <x:v>30</x:v>
      </x:c>
      <x:c r="AJ4" s="20" t="str">
        <x:v>MECHANISTIC_ONLY</x:v>
      </x:c>
      <x:c r="AK4" s="20" t="str">
        <x:v>EXACT_FROM_UPLOADED_PRIMARY</x:v>
      </x:c>
      <x:c r="AL4" s="20" t="str">
        <x:v>Cross-regime peptide→gold mechanism; not an atomically precise AuNC training target.</x:v>
      </x:c>
      <x:c r="AM4" s="20" t="str">
        <x:v>2026-09-07</x:v>
      </x:c>
      <x:c r="AN4" s="20" t="str">
        <x:v>UPLOADED_PRIMARY_OR_REVIEW</x:v>
      </x:c>
    </x:row>
    <x:row r="5">
      <x:c r="A5" s="20" t="str">
        <x:v>R002</x:v>
      </x:c>
      <x:c r="B5" s="20" t="str">
        <x:v>S01</x:v>
      </x:c>
      <x:c r="C5" s="20" t="str">
        <x:v>B1 PEPTIDE_AUNP_MECHANISM</x:v>
      </x:c>
      <x:c r="D5" s="20" t="str">
        <x:v>DIRECT</x:v>
      </x:c>
      <x:c r="E5" s="20" t="str">
        <x:v>gold_nanoparticle</x:v>
      </x:c>
      <x:c r="F5" s="20" t="str">
        <x:v>AAAKCK</x:v>
      </x:c>
      <x:c r="G5" s="20" t="str">
        <x:v>AAAKCK</x:v>
      </x:c>
      <x:c r="H5" s="20" t="str">
        <x:v>L</x:v>
      </x:c>
      <x:c r="I5" s="20" t="str">
        <x:v>None</x:v>
      </x:c>
      <x:c r="J5" s="20"/>
      <x:c r="K5" s="20"/>
      <x:c r="L5" s="20"/>
      <x:c r="M5" s="20"/>
      <x:c r="N5" s="20" t="str">
        <x:v>Mixed; icosahedron/decahedron + bipyramids/spheres/plates</x:v>
      </x:c>
      <x:c r="O5" s="20" t="str">
        <x:v>HAuCl4</x:v>
      </x:c>
      <x:c r="P5" s="20" t="str">
        <x:v>7 mM peptide; 10 mM HAuCl4; 20 mM phosphate buffer</x:v>
      </x:c>
      <x:c r="Q5" s="20" t="str">
        <x:v>Peptide self-reduction</x:v>
      </x:c>
      <x:c r="R5" s="20" t="n">
        <x:v>6</x:v>
      </x:c>
      <x:c r="S5" s="20" t="n">
        <x:v>25</x:v>
      </x:c>
      <x:c r="T5" s="20"/>
      <x:c r="U5" s="20" t="str">
        <x:v>No stirring; room temperature</x:v>
      </x:c>
      <x:c r="V5" s="20"/>
      <x:c r="W5" s="20"/>
      <x:c r="X5" s="20"/>
      <x:c r="Y5" s="20"/>
      <x:c r="Z5" s="20"/>
      <x:c r="AA5" s="20"/>
      <x:c r="AB5" s="20"/>
      <x:c r="AC5" s="20"/>
      <x:c r="AD5" s="20"/>
      <x:c r="AE5" s="20" t="str">
        <x:v>Mechanistic</x:v>
      </x:c>
      <x:c r="AF5" s="20" t="str">
        <x:v>pH 6 reduces many size ranges vs pH 4; spherical/bipyramidal forms appear</x:v>
      </x:c>
      <x:c r="AG5" s="20" t="str">
        <x:v>Main text p.5; Fig.6</x:v>
      </x:c>
      <x:c r="AH5" s="20" t="str">
        <x:v>https://doi.org/10.1021/acsomega.6b00140</x:v>
      </x:c>
      <x:c r="AI5" s="24" t="n">
        <x:f>ROUND(100*COUNTA(G5,J5,L5,R5,S5,T5,V5,X5,AA5,AC5)/10,0)</x:f>
        <x:v>30</x:v>
      </x:c>
      <x:c r="AJ5" s="20" t="str">
        <x:v>MECHANISTIC_ONLY</x:v>
      </x:c>
      <x:c r="AK5" s="20" t="str">
        <x:v>EXACT_FROM_UPLOADED_PRIMARY</x:v>
      </x:c>
      <x:c r="AL5" s="20" t="str">
        <x:v>Cross-regime peptide→gold mechanism; not an atomically precise AuNC training target.</x:v>
      </x:c>
      <x:c r="AM5" s="20" t="str">
        <x:v>2026-09-07</x:v>
      </x:c>
      <x:c r="AN5" s="20" t="str">
        <x:v>UPLOADED_PRIMARY_OR_REVIEW</x:v>
      </x:c>
    </x:row>
    <x:row r="6">
      <x:c r="A6" s="20" t="str">
        <x:v>R003</x:v>
      </x:c>
      <x:c r="B6" s="20" t="str">
        <x:v>S01</x:v>
      </x:c>
      <x:c r="C6" s="20" t="str">
        <x:v>B1 PEPTIDE_AUNP_MECHANISM</x:v>
      </x:c>
      <x:c r="D6" s="20" t="str">
        <x:v>DIRECT</x:v>
      </x:c>
      <x:c r="E6" s="20" t="str">
        <x:v>gold_nanoparticle</x:v>
      </x:c>
      <x:c r="F6" s="20" t="str">
        <x:v>AAAKCK</x:v>
      </x:c>
      <x:c r="G6" s="20" t="str">
        <x:v>AAAKCK</x:v>
      </x:c>
      <x:c r="H6" s="20" t="str">
        <x:v>L</x:v>
      </x:c>
      <x:c r="I6" s="20" t="str">
        <x:v>None</x:v>
      </x:c>
      <x:c r="J6" s="20"/>
      <x:c r="K6" s="20"/>
      <x:c r="L6" s="20" t="n">
        <x:v>18</x:v>
      </x:c>
      <x:c r="M6" s="20"/>
      <x:c r="N6" s="20" t="str">
        <x:v>Predominantly spherical / low shape polydispersity</x:v>
      </x:c>
      <x:c r="O6" s="20" t="str">
        <x:v>HAuCl4</x:v>
      </x:c>
      <x:c r="P6" s="20" t="str">
        <x:v>7 mM peptide; 10 mM HAuCl4; 20 mM phosphate buffer</x:v>
      </x:c>
      <x:c r="Q6" s="20" t="str">
        <x:v>Peptide self-reduction</x:v>
      </x:c>
      <x:c r="R6" s="20" t="n">
        <x:v>9</x:v>
      </x:c>
      <x:c r="S6" s="20" t="n">
        <x:v>25</x:v>
      </x:c>
      <x:c r="T6" s="20"/>
      <x:c r="U6" s="20" t="str">
        <x:v>No stirring; room temperature</x:v>
      </x:c>
      <x:c r="V6" s="20"/>
      <x:c r="W6" s="20"/>
      <x:c r="X6" s="20"/>
      <x:c r="Y6" s="20"/>
      <x:c r="Z6" s="20"/>
      <x:c r="AA6" s="20"/>
      <x:c r="AB6" s="20"/>
      <x:c r="AC6" s="20"/>
      <x:c r="AD6" s="20"/>
      <x:c r="AE6" s="20" t="str">
        <x:v>Mechanistic</x:v>
      </x:c>
      <x:c r="AF6" s="20" t="str">
        <x:v>pH 9 produced low shape polydispersity with predominant ~18 nm particles</x:v>
      </x:c>
      <x:c r="AG6" s="20" t="str">
        <x:v>Main text p.5; Fig.6F</x:v>
      </x:c>
      <x:c r="AH6" s="20" t="str">
        <x:v>https://doi.org/10.1021/acsomega.6b00140</x:v>
      </x:c>
      <x:c r="AI6" s="24" t="n">
        <x:f>ROUND(100*COUNTA(G6,J6,L6,R6,S6,T6,V6,X6,AA6,AC6)/10,0)</x:f>
        <x:v>40</x:v>
      </x:c>
      <x:c r="AJ6" s="20" t="str">
        <x:v>MECHANISTIC_ONLY</x:v>
      </x:c>
      <x:c r="AK6" s="20" t="str">
        <x:v>EXACT_FROM_UPLOADED_PRIMARY</x:v>
      </x:c>
      <x:c r="AL6" s="20" t="str">
        <x:v>Cross-regime peptide→gold mechanism; not an atomically precise AuNC training target.</x:v>
      </x:c>
      <x:c r="AM6" s="20" t="str">
        <x:v>2026-09-07</x:v>
      </x:c>
      <x:c r="AN6" s="20" t="str">
        <x:v>UPLOADED_PRIMARY_OR_REVIEW</x:v>
      </x:c>
    </x:row>
    <x:row r="7">
      <x:c r="A7" s="20" t="str">
        <x:v>R004</x:v>
      </x:c>
      <x:c r="B7" s="20" t="str">
        <x:v>S01</x:v>
      </x:c>
      <x:c r="C7" s="20" t="str">
        <x:v>B1 PEPTIDE_AUNP_MECHANISM</x:v>
      </x:c>
      <x:c r="D7" s="20" t="str">
        <x:v>DIRECT</x:v>
      </x:c>
      <x:c r="E7" s="20" t="str">
        <x:v>gold_nanoparticle</x:v>
      </x:c>
      <x:c r="F7" s="20" t="str">
        <x:v>AAARCR</x:v>
      </x:c>
      <x:c r="G7" s="20" t="str">
        <x:v>AAARCR</x:v>
      </x:c>
      <x:c r="H7" s="20" t="str">
        <x:v>L</x:v>
      </x:c>
      <x:c r="I7" s="20" t="str">
        <x:v>None</x:v>
      </x:c>
      <x:c r="J7" s="20"/>
      <x:c r="K7" s="20"/>
      <x:c r="L7" s="20" t="n">
        <x:v>79</x:v>
      </x:c>
      <x:c r="M7" s="20"/>
      <x:c r="N7" s="20" t="str">
        <x:v>Low-polydispersity particles</x:v>
      </x:c>
      <x:c r="O7" s="20" t="str">
        <x:v>HAuCl4</x:v>
      </x:c>
      <x:c r="P7" s="20" t="str">
        <x:v>Same base protocol as alkaline peptide experiments</x:v>
      </x:c>
      <x:c r="Q7" s="20" t="str">
        <x:v>Peptide self-reduction</x:v>
      </x:c>
      <x:c r="R7" s="20" t="n">
        <x:v>9</x:v>
      </x:c>
      <x:c r="S7" s="20" t="n">
        <x:v>25</x:v>
      </x:c>
      <x:c r="T7" s="20"/>
      <x:c r="U7" s="20" t="str">
        <x:v>No stirring; room temperature</x:v>
      </x:c>
      <x:c r="V7" s="20"/>
      <x:c r="W7" s="20"/>
      <x:c r="X7" s="20"/>
      <x:c r="Y7" s="20" t="n">
        <x:v>536</x:v>
      </x:c>
      <x:c r="Z7" s="20" t="n">
        <x:v>30.4</x:v>
      </x:c>
      <x:c r="AA7" s="20"/>
      <x:c r="AB7" s="20"/>
      <x:c r="AC7" s="20"/>
      <x:c r="AD7" s="20"/>
      <x:c r="AE7" s="20" t="str">
        <x:v>Mechanistic</x:v>
      </x:c>
      <x:c r="AF7" s="20" t="str">
        <x:v>Alkaline pH favored AAARCR synthesis; mean diameter 79±6 nm reported for pH 9–10</x:v>
      </x:c>
      <x:c r="AG7" s="20" t="str">
        <x:v>Main text p.7–8; Fig.11</x:v>
      </x:c>
      <x:c r="AH7" s="20" t="str">
        <x:v>https://doi.org/10.1021/acsomega.6b00140</x:v>
      </x:c>
      <x:c r="AI7" s="24" t="n">
        <x:f>ROUND(100*COUNTA(G7,J7,L7,R7,S7,T7,V7,X7,AA7,AC7)/10,0)</x:f>
        <x:v>40</x:v>
      </x:c>
      <x:c r="AJ7" s="20" t="str">
        <x:v>MECHANISTIC_ONLY</x:v>
      </x:c>
      <x:c r="AK7" s="20" t="str">
        <x:v>EXACT_FROM_UPLOADED_PRIMARY</x:v>
      </x:c>
      <x:c r="AL7" s="20" t="str">
        <x:v>Cross-regime peptide→gold mechanism; not an atomically precise AuNC training target.</x:v>
      </x:c>
      <x:c r="AM7" s="20" t="str">
        <x:v>2026-09-07</x:v>
      </x:c>
      <x:c r="AN7" s="20" t="str">
        <x:v>UPLOADED_PRIMARY_OR_REVIEW</x:v>
      </x:c>
    </x:row>
    <x:row r="8">
      <x:c r="A8" s="20" t="str">
        <x:v>R005</x:v>
      </x:c>
      <x:c r="B8" s="20" t="str">
        <x:v>S01</x:v>
      </x:c>
      <x:c r="C8" s="20" t="str">
        <x:v>B1 PEPTIDE_AUNP_MECHANISM</x:v>
      </x:c>
      <x:c r="D8" s="20" t="str">
        <x:v>DIRECT</x:v>
      </x:c>
      <x:c r="E8" s="20" t="str">
        <x:v>gold_nanoparticle</x:v>
      </x:c>
      <x:c r="F8" s="20" t="str">
        <x:v>AAARCR</x:v>
      </x:c>
      <x:c r="G8" s="20" t="str">
        <x:v>AAARCR</x:v>
      </x:c>
      <x:c r="H8" s="20" t="str">
        <x:v>L</x:v>
      </x:c>
      <x:c r="I8" s="20" t="str">
        <x:v>None</x:v>
      </x:c>
      <x:c r="J8" s="20"/>
      <x:c r="K8" s="20"/>
      <x:c r="L8" s="20" t="n">
        <x:v>79</x:v>
      </x:c>
      <x:c r="M8" s="20"/>
      <x:c r="N8" s="20" t="str">
        <x:v>Low-polydispersity particles</x:v>
      </x:c>
      <x:c r="O8" s="20" t="str">
        <x:v>HAuCl4</x:v>
      </x:c>
      <x:c r="P8" s="20" t="str">
        <x:v>Same base protocol as alkaline peptide experiments</x:v>
      </x:c>
      <x:c r="Q8" s="20" t="str">
        <x:v>Peptide self-reduction</x:v>
      </x:c>
      <x:c r="R8" s="20" t="n">
        <x:v>10</x:v>
      </x:c>
      <x:c r="S8" s="20" t="n">
        <x:v>25</x:v>
      </x:c>
      <x:c r="T8" s="20"/>
      <x:c r="U8" s="20" t="str">
        <x:v>No stirring; room temperature</x:v>
      </x:c>
      <x:c r="V8" s="20"/>
      <x:c r="W8" s="20"/>
      <x:c r="X8" s="20"/>
      <x:c r="Y8" s="20" t="n">
        <x:v>536</x:v>
      </x:c>
      <x:c r="Z8" s="20" t="n">
        <x:v>33.2</x:v>
      </x:c>
      <x:c r="AA8" s="20"/>
      <x:c r="AB8" s="20"/>
      <x:c r="AC8" s="20"/>
      <x:c r="AD8" s="20"/>
      <x:c r="AE8" s="20" t="str">
        <x:v>Mechanistic</x:v>
      </x:c>
      <x:c r="AF8" s="20" t="str">
        <x:v>Narrow SPR ~536 nm; mean diameter 79±6 nm; positive zeta potential</x:v>
      </x:c>
      <x:c r="AG8" s="20" t="str">
        <x:v>Main text p.7–8; Fig.11</x:v>
      </x:c>
      <x:c r="AH8" s="20" t="str">
        <x:v>https://doi.org/10.1021/acsomega.6b00140</x:v>
      </x:c>
      <x:c r="AI8" s="24" t="n">
        <x:f>ROUND(100*COUNTA(G8,J8,L8,R8,S8,T8,V8,X8,AA8,AC8)/10,0)</x:f>
        <x:v>40</x:v>
      </x:c>
      <x:c r="AJ8" s="20" t="str">
        <x:v>MECHANISTIC_ONLY</x:v>
      </x:c>
      <x:c r="AK8" s="20" t="str">
        <x:v>EXACT_FROM_UPLOADED_PRIMARY</x:v>
      </x:c>
      <x:c r="AL8" s="20" t="str">
        <x:v>Cross-regime peptide→gold mechanism; not an atomically precise AuNC training target.</x:v>
      </x:c>
      <x:c r="AM8" s="20" t="str">
        <x:v>2026-09-07</x:v>
      </x:c>
      <x:c r="AN8" s="20" t="str">
        <x:v>UPLOADED_PRIMARY_OR_REVIEW</x:v>
      </x:c>
    </x:row>
    <x:row r="9">
      <x:c r="A9" s="20" t="str">
        <x:v>R006</x:v>
      </x:c>
      <x:c r="B9" s="20" t="str">
        <x:v>S01</x:v>
      </x:c>
      <x:c r="C9" s="20" t="str">
        <x:v>B1 PEPTIDE_AUNP_MECHANISM</x:v>
      </x:c>
      <x:c r="D9" s="20" t="str">
        <x:v>DIRECT</x:v>
      </x:c>
      <x:c r="E9" s="20" t="str">
        <x:v>gold_nanoparticle</x:v>
      </x:c>
      <x:c r="F9" s="20" t="str">
        <x:v>AAAACA</x:v>
      </x:c>
      <x:c r="G9" s="20" t="str">
        <x:v>AAAACA</x:v>
      </x:c>
      <x:c r="H9" s="20" t="str">
        <x:v>L</x:v>
      </x:c>
      <x:c r="I9" s="20" t="str">
        <x:v>PEG10 required</x:v>
      </x:c>
      <x:c r="J9" s="20"/>
      <x:c r="K9" s="20"/>
      <x:c r="L9" s="20"/>
      <x:c r="M9" s="20"/>
      <x:c r="N9" s="20" t="str">
        <x:v>GNP formation</x:v>
      </x:c>
      <x:c r="O9" s="20" t="str">
        <x:v>HAuCl4</x:v>
      </x:c>
      <x:c r="P9" s="20" t="str">
        <x:v>PEG10 present</x:v>
      </x:c>
      <x:c r="Q9" s="20" t="str">
        <x:v>Peptide + PEG-assisted</x:v>
      </x:c>
      <x:c r="R9" s="20" t="n">
        <x:v>8</x:v>
      </x:c>
      <x:c r="S9" s="20" t="n">
        <x:v>25</x:v>
      </x:c>
      <x:c r="T9" s="20"/>
      <x:c r="U9" s="20" t="str">
        <x:v>Room temperature</x:v>
      </x:c>
      <x:c r="V9" s="20"/>
      <x:c r="W9" s="20"/>
      <x:c r="X9" s="20"/>
      <x:c r="Y9" s="20"/>
      <x:c r="Z9" s="20"/>
      <x:c r="AA9" s="20"/>
      <x:c r="AB9" s="20"/>
      <x:c r="AC9" s="20"/>
      <x:c r="AD9" s="20"/>
      <x:c r="AE9" s="20" t="str">
        <x:v>Mechanistic</x:v>
      </x:c>
      <x:c r="AF9" s="20" t="str">
        <x:v>Neutral peptide required PEG10; GNP synthesis at pH 8 and 11</x:v>
      </x:c>
      <x:c r="AG9" s="20" t="str">
        <x:v>Main text p.8 + SI</x:v>
      </x:c>
      <x:c r="AH9" s="20" t="str">
        <x:v>https://doi.org/10.1021/acsomega.6b00140</x:v>
      </x:c>
      <x:c r="AI9" s="24" t="n">
        <x:f>ROUND(100*COUNTA(G9,J9,L9,R9,S9,T9,V9,X9,AA9,AC9)/10,0)</x:f>
        <x:v>30</x:v>
      </x:c>
      <x:c r="AJ9" s="20" t="str">
        <x:v>MECHANISTIC_ONLY</x:v>
      </x:c>
      <x:c r="AK9" s="20" t="str">
        <x:v>EXACT_FROM_UPLOADED_PRIMARY</x:v>
      </x:c>
      <x:c r="AL9" s="20" t="str">
        <x:v>Cross-regime peptide→gold mechanism; not an atomically precise AuNC training target.</x:v>
      </x:c>
      <x:c r="AM9" s="20" t="str">
        <x:v>2026-09-07</x:v>
      </x:c>
      <x:c r="AN9" s="20" t="str">
        <x:v>UPLOADED_PRIMARY_OR_REVIEW</x:v>
      </x:c>
    </x:row>
    <x:row r="10">
      <x:c r="A10" s="20" t="str">
        <x:v>R007</x:v>
      </x:c>
      <x:c r="B10" s="20" t="str">
        <x:v>S01</x:v>
      </x:c>
      <x:c r="C10" s="20" t="str">
        <x:v>B1 PEPTIDE_AUNP_MECHANISM</x:v>
      </x:c>
      <x:c r="D10" s="20" t="str">
        <x:v>DIRECT</x:v>
      </x:c>
      <x:c r="E10" s="20" t="str">
        <x:v>gold_nanoparticle</x:v>
      </x:c>
      <x:c r="F10" s="20" t="str">
        <x:v>AAAECE</x:v>
      </x:c>
      <x:c r="G10" s="20" t="str">
        <x:v>AAAECE</x:v>
      </x:c>
      <x:c r="H10" s="20" t="str">
        <x:v>L</x:v>
      </x:c>
      <x:c r="I10" s="20" t="str">
        <x:v>PEG10 required</x:v>
      </x:c>
      <x:c r="J10" s="20"/>
      <x:c r="K10" s="20"/>
      <x:c r="L10" s="20"/>
      <x:c r="M10" s="20"/>
      <x:c r="N10" s="20" t="str">
        <x:v>GNP formation</x:v>
      </x:c>
      <x:c r="O10" s="20" t="str">
        <x:v>HAuCl4</x:v>
      </x:c>
      <x:c r="P10" s="20" t="str">
        <x:v>PEG10 present</x:v>
      </x:c>
      <x:c r="Q10" s="20" t="str">
        <x:v>Peptide + PEG-assisted</x:v>
      </x:c>
      <x:c r="R10" s="20" t="n">
        <x:v>7</x:v>
      </x:c>
      <x:c r="S10" s="20" t="n">
        <x:v>80</x:v>
      </x:c>
      <x:c r="T10" s="20"/>
      <x:c r="U10" s="20" t="str">
        <x:v>Heating required</x:v>
      </x:c>
      <x:c r="V10" s="20"/>
      <x:c r="W10" s="20"/>
      <x:c r="X10" s="20"/>
      <x:c r="Y10" s="20"/>
      <x:c r="Z10" s="20"/>
      <x:c r="AA10" s="20"/>
      <x:c r="AB10" s="20"/>
      <x:c r="AC10" s="20"/>
      <x:c r="AD10" s="20"/>
      <x:c r="AE10" s="20" t="str">
        <x:v>Mechanistic</x:v>
      </x:c>
      <x:c r="AF10" s="20" t="str">
        <x:v>Acidic peptide required PEG10 and 80°C; synthesis observed at pH 7 and 11</x:v>
      </x:c>
      <x:c r="AG10" s="20" t="str">
        <x:v>Main text p.8 + SI</x:v>
      </x:c>
      <x:c r="AH10" s="20" t="str">
        <x:v>https://doi.org/10.1021/acsomega.6b00140</x:v>
      </x:c>
      <x:c r="AI10" s="24" t="n">
        <x:f>ROUND(100*COUNTA(G10,J10,L10,R10,S10,T10,V10,X10,AA10,AC10)/10,0)</x:f>
        <x:v>30</x:v>
      </x:c>
      <x:c r="AJ10" s="20" t="str">
        <x:v>MECHANISTIC_ONLY</x:v>
      </x:c>
      <x:c r="AK10" s="20" t="str">
        <x:v>EXACT_FROM_UPLOADED_PRIMARY</x:v>
      </x:c>
      <x:c r="AL10" s="20" t="str">
        <x:v>Cross-regime peptide→gold mechanism; not an atomically precise AuNC training target.</x:v>
      </x:c>
      <x:c r="AM10" s="20" t="str">
        <x:v>2026-09-07</x:v>
      </x:c>
      <x:c r="AN10" s="20" t="str">
        <x:v>UPLOADED_PRIMARY_OR_REVIEW</x:v>
      </x:c>
    </x:row>
    <x:row r="11">
      <x:c r="A11" s="20" t="str">
        <x:v>R008</x:v>
      </x:c>
      <x:c r="B11" s="20" t="str">
        <x:v>S01</x:v>
      </x:c>
      <x:c r="C11" s="20" t="str">
        <x:v>B1 PEPTIDE_AUNP_MECHANISM</x:v>
      </x:c>
      <x:c r="D11" s="20" t="str">
        <x:v>DIRECT</x:v>
      </x:c>
      <x:c r="E11" s="20" t="str">
        <x:v>gold_nanoparticle</x:v>
      </x:c>
      <x:c r="F11" s="20" t="str">
        <x:v>Glutathione (GSH)</x:v>
      </x:c>
      <x:c r="G11" s="20" t="str">
        <x:v>γ-ECG</x:v>
      </x:c>
      <x:c r="H11" s="20" t="str">
        <x:v>L</x:v>
      </x:c>
      <x:c r="I11" s="20" t="str">
        <x:v>PEG10 required</x:v>
      </x:c>
      <x:c r="J11" s="20"/>
      <x:c r="K11" s="20"/>
      <x:c r="L11" s="20"/>
      <x:c r="M11" s="20"/>
      <x:c r="N11" s="20" t="str">
        <x:v>GNP formation</x:v>
      </x:c>
      <x:c r="O11" s="20" t="str">
        <x:v>HAuCl4</x:v>
      </x:c>
      <x:c r="P11" s="20" t="str">
        <x:v>PEG10 present</x:v>
      </x:c>
      <x:c r="Q11" s="20" t="str">
        <x:v>Peptide + PEG-assisted</x:v>
      </x:c>
      <x:c r="R11" s="20" t="n">
        <x:v>11</x:v>
      </x:c>
      <x:c r="S11" s="20" t="n">
        <x:v>80</x:v>
      </x:c>
      <x:c r="T11" s="20"/>
      <x:c r="U11" s="20" t="str">
        <x:v>Heating required</x:v>
      </x:c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 t="str">
        <x:v>Mechanistic</x:v>
      </x:c>
      <x:c r="AF11" s="20" t="str">
        <x:v>GSH required PEG10 + 80°C and produced GNPs only at pH 11 in this study</x:v>
      </x:c>
      <x:c r="AG11" s="20" t="str">
        <x:v>Main text p.8 + SI</x:v>
      </x:c>
      <x:c r="AH11" s="20" t="str">
        <x:v>https://doi.org/10.1021/acsomega.6b00140</x:v>
      </x:c>
      <x:c r="AI11" s="24" t="n">
        <x:f>ROUND(100*COUNTA(G11,J11,L11,R11,S11,T11,V11,X11,AA11,AC11)/10,0)</x:f>
        <x:v>30</x:v>
      </x:c>
      <x:c r="AJ11" s="20" t="str">
        <x:v>MECHANISTIC_ONLY</x:v>
      </x:c>
      <x:c r="AK11" s="20" t="str">
        <x:v>EXACT_FROM_UPLOADED_PRIMARY</x:v>
      </x:c>
      <x:c r="AL11" s="20" t="str">
        <x:v>Cross-regime peptide→gold mechanism; not an atomically precise AuNC training target.</x:v>
      </x:c>
      <x:c r="AM11" s="20" t="str">
        <x:v>2026-09-07</x:v>
      </x:c>
      <x:c r="AN11" s="20" t="str">
        <x:v>UPLOADED_PRIMARY_OR_REVIEW</x:v>
      </x:c>
    </x:row>
    <x:row r="12">
      <x:c r="A12" s="20" t="str">
        <x:v>R009</x:v>
      </x:c>
      <x:c r="B12" s="20" t="str">
        <x:v>S02</x:v>
      </x:c>
      <x:c r="C12" s="20" t="str">
        <x:v>B1 PEPTIDE_AUNP_MECHANISM</x:v>
      </x:c>
      <x:c r="D12" s="20" t="str">
        <x:v>DIRECT</x:v>
      </x:c>
      <x:c r="E12" s="20" t="str">
        <x:v>gold_bipyramid</x:v>
      </x:c>
      <x:c r="F12" s="20" t="str">
        <x:v>D-Cys-Phe</x:v>
      </x:c>
      <x:c r="G12" s="20" t="str">
        <x:v>CF</x:v>
      </x:c>
      <x:c r="H12" s="20" t="str">
        <x:v>D</x:v>
      </x:c>
      <x:c r="I12" s="20" t="str">
        <x:v>Chiral D peptide; SH-PEG surface stabilization</x:v>
      </x:c>
      <x:c r="J12" s="20"/>
      <x:c r="K12" s="20"/>
      <x:c r="L12" s="20"/>
      <x:c r="M12" s="20"/>
      <x:c r="N12" s="20" t="str">
        <x:v>Sea-cucumber-like spiked GBP; ~200×50 nm</x:v>
      </x:c>
      <x:c r="O12" s="20" t="str">
        <x:v>HAuCl4</x:v>
      </x:c>
      <x:c r="P12" s="20" t="str">
        <x:v>Seed-mediated growth with Cys-Phe</x:v>
      </x:c>
      <x:c r="Q12" s="20" t="str">
        <x:v>Ascorbic acid</x:v>
      </x:c>
      <x:c r="R12" s="20"/>
      <x:c r="S12" s="20"/>
      <x:c r="T12" s="20"/>
      <x:c r="U12" s="20" t="str">
        <x:v>~100 nm Au NBP seeds; aqueous growth</x:v>
      </x:c>
      <x:c r="V12" s="20"/>
      <x:c r="W12" s="20"/>
      <x:c r="X12" s="20"/>
      <x:c r="Y12" s="20" t="n">
        <x:v>536</x:v>
      </x:c>
      <x:c r="Z12" s="20"/>
      <x:c r="AA12" s="20" t="n">
        <x:v>808</x:v>
      </x:c>
      <x:c r="AB12" s="20" t="n">
        <x:v>0.8</x:v>
      </x:c>
      <x:c r="AC12" s="20" t="str">
        <x:v>&gt;45</x:v>
      </x:c>
      <x:c r="AD12" s="20" t="n">
        <x:v>5</x:v>
      </x:c>
      <x:c r="AE12" s="20" t="str">
        <x:v>Antibacterial PTT</x:v>
      </x:c>
      <x:c r="AF12" s="20" t="str">
        <x:v>D-form gave stronger bacterial binding and higher PTT response than L-form</x:v>
      </x:c>
      <x:c r="AG12" s="20" t="str">
        <x:v>Main text pp.2–4</x:v>
      </x:c>
      <x:c r="AH12" s="20" t="str">
        <x:v>https://doi.org/10.1039/d2sc03443c</x:v>
      </x:c>
      <x:c r="AI12" s="24" t="n">
        <x:f>ROUND(100*COUNTA(G12,J12,L12,R12,S12,T12,V12,X12,AA12,AC12)/10,0)</x:f>
        <x:v>30</x:v>
      </x:c>
      <x:c r="AJ12" s="20" t="str">
        <x:v>MECHANISTIC_ONLY</x:v>
      </x:c>
      <x:c r="AK12" s="20" t="str">
        <x:v>EXACT_FROM_UPLOADED_PRIMARY</x:v>
      </x:c>
      <x:c r="AL12" s="20" t="str">
        <x:v>Cross-regime peptide→gold mechanism; not an atomically precise AuNC training target.</x:v>
      </x:c>
      <x:c r="AM12" s="20" t="str">
        <x:v>2026-09-07</x:v>
      </x:c>
      <x:c r="AN12" s="20" t="str">
        <x:v>UPLOADED_PRIMARY_OR_REVIEW</x:v>
      </x:c>
    </x:row>
    <x:row r="13">
      <x:c r="A13" s="20" t="str">
        <x:v>R010</x:v>
      </x:c>
      <x:c r="B13" s="20" t="str">
        <x:v>S02</x:v>
      </x:c>
      <x:c r="C13" s="20" t="str">
        <x:v>B1 PEPTIDE_AUNP_MECHANISM</x:v>
      </x:c>
      <x:c r="D13" s="20" t="str">
        <x:v>DIRECT</x:v>
      </x:c>
      <x:c r="E13" s="20" t="str">
        <x:v>gold_bipyramid</x:v>
      </x:c>
      <x:c r="F13" s="20" t="str">
        <x:v>L-Cys-Phe</x:v>
      </x:c>
      <x:c r="G13" s="20" t="str">
        <x:v>CF</x:v>
      </x:c>
      <x:c r="H13" s="20" t="str">
        <x:v>L</x:v>
      </x:c>
      <x:c r="I13" s="20" t="str">
        <x:v>Chiral L peptide; SH-PEG surface stabilization</x:v>
      </x:c>
      <x:c r="J13" s="20"/>
      <x:c r="K13" s="20"/>
      <x:c r="L13" s="20"/>
      <x:c r="M13" s="20"/>
      <x:c r="N13" s="20" t="str">
        <x:v>Sea-cucumber-like spiked GBP; ~200×50 nm</x:v>
      </x:c>
      <x:c r="O13" s="20" t="str">
        <x:v>HAuCl4</x:v>
      </x:c>
      <x:c r="P13" s="20" t="str">
        <x:v>Seed-mediated growth with Cys-Phe</x:v>
      </x:c>
      <x:c r="Q13" s="20" t="str">
        <x:v>Ascorbic acid</x:v>
      </x:c>
      <x:c r="R13" s="20"/>
      <x:c r="S13" s="20"/>
      <x:c r="T13" s="20"/>
      <x:c r="U13" s="20" t="str">
        <x:v>~100 nm Au NBP seeds; aqueous growth</x:v>
      </x:c>
      <x:c r="V13" s="20"/>
      <x:c r="W13" s="20"/>
      <x:c r="X13" s="20"/>
      <x:c r="Y13" s="20" t="n">
        <x:v>536</x:v>
      </x:c>
      <x:c r="Z13" s="20"/>
      <x:c r="AA13" s="20" t="n">
        <x:v>808</x:v>
      </x:c>
      <x:c r="AB13" s="20" t="n">
        <x:v>0.8</x:v>
      </x:c>
      <x:c r="AC13" s="20" t="str">
        <x:v>&gt;45</x:v>
      </x:c>
      <x:c r="AD13" s="20" t="n">
        <x:v>5</x:v>
      </x:c>
      <x:c r="AE13" s="20" t="str">
        <x:v>Antibacterial PTT</x:v>
      </x:c>
      <x:c r="AF13" s="20" t="str">
        <x:v>L-form forms mirror-chiral GBP and has lower bacterial affinity than D-form</x:v>
      </x:c>
      <x:c r="AG13" s="20" t="str">
        <x:v>Main text pp.2–4</x:v>
      </x:c>
      <x:c r="AH13" s="20" t="str">
        <x:v>https://doi.org/10.1039/d2sc03443c</x:v>
      </x:c>
      <x:c r="AI13" s="24" t="n">
        <x:f>ROUND(100*COUNTA(G13,J13,L13,R13,S13,T13,V13,X13,AA13,AC13)/10,0)</x:f>
        <x:v>30</x:v>
      </x:c>
      <x:c r="AJ13" s="20" t="str">
        <x:v>MECHANISTIC_ONLY</x:v>
      </x:c>
      <x:c r="AK13" s="20" t="str">
        <x:v>EXACT_FROM_UPLOADED_PRIMARY</x:v>
      </x:c>
      <x:c r="AL13" s="20" t="str">
        <x:v>Cross-regime peptide→gold mechanism; not an atomically precise AuNC training target.</x:v>
      </x:c>
      <x:c r="AM13" s="20" t="str">
        <x:v>2026-09-07</x:v>
      </x:c>
      <x:c r="AN13" s="20" t="str">
        <x:v>UPLOADED_PRIMARY_OR_REVIEW</x:v>
      </x:c>
    </x:row>
    <x:row r="14">
      <x:c r="A14" s="20" t="str">
        <x:v>R011</x:v>
      </x:c>
      <x:c r="B14" s="20" t="str">
        <x:v>S03</x:v>
      </x:c>
      <x:c r="C14" s="20" t="str">
        <x:v>B1 PEPTIDE_AUNP_MECHANISM</x:v>
      </x:c>
      <x:c r="D14" s="20" t="str">
        <x:v>DIRECT</x:v>
      </x:c>
      <x:c r="E14" s="20" t="str">
        <x:v>gold_superstructure</x:v>
      </x:c>
      <x:c r="F14" s="20" t="str">
        <x:v>C18-(PEPAuM-ox)2</x:v>
      </x:c>
      <x:c r="G14" s="20" t="str">
        <x:v>AYSSGAPPMoxPPF</x:v>
      </x:c>
      <x:c r="H14" s="20" t="str">
        <x:v>L</x:v>
      </x:c>
      <x:c r="I14" s="20" t="str">
        <x:v>C18 tail; methionine oxidized to sulfoxide</x:v>
      </x:c>
      <x:c r="J14" s="20"/>
      <x:c r="K14" s="20"/>
      <x:c r="L14" s="20"/>
      <x:c r="M14" s="20"/>
      <x:c r="N14" s="20" t="str">
        <x:v>Single-helical superstructure; rod-like AuNP 16.6×9.6 nm</x:v>
      </x:c>
      <x:c r="O14" s="20" t="str">
        <x:v>Gold salt</x:v>
      </x:c>
      <x:c r="P14" s="20" t="str">
        <x:v>Peptide conjugate + assembly buffer</x:v>
      </x:c>
      <x:c r="Q14" s="20" t="str">
        <x:v>Reducing agent used</x:v>
      </x:c>
      <x:c r="R14" s="20"/>
      <x:c r="S14" s="20"/>
      <x:c r="T14" s="20" t="n">
        <x:v>15</x:v>
      </x:c>
      <x:c r="U14" s="20" t="str">
        <x:v>In-situ growth on peptide fibers</x:v>
      </x:c>
      <x:c r="V14" s="20"/>
      <x:c r="W14" s="20"/>
      <x:c r="X14" s="20"/>
      <x:c r="Y14" s="20"/>
      <x:c r="Z14" s="20"/>
      <x:c r="AA14" s="20"/>
      <x:c r="AB14" s="20"/>
      <x:c r="AC14" s="20"/>
      <x:c r="AD14" s="20"/>
      <x:c r="AE14" s="20" t="str">
        <x:v>Chiral assembly</x:v>
      </x:c>
      <x:c r="AF14" s="20" t="str">
        <x:v>Methionine oxidation alone switches product toward single helices under otherwise nearly identical synthesis conditions</x:v>
      </x:c>
      <x:c r="AG14" s="20" t="str">
        <x:v>Main text p.2; Fig.1–2</x:v>
      </x:c>
      <x:c r="AH14" s="20" t="str">
        <x:v>https://doi.org/10.1021/jacs.6b07322</x:v>
      </x:c>
      <x:c r="AI14" s="24" t="n">
        <x:f>ROUND(100*COUNTA(G14,J14,L14,R14,S14,T14,V14,X14,AA14,AC14)/10,0)</x:f>
        <x:v>20</x:v>
      </x:c>
      <x:c r="AJ14" s="20" t="str">
        <x:v>MECHANISTIC_ONLY</x:v>
      </x:c>
      <x:c r="AK14" s="20" t="str">
        <x:v>EXACT_FROM_UPLOADED_PRIMARY</x:v>
      </x:c>
      <x:c r="AL14" s="20" t="str">
        <x:v>Cross-regime peptide→gold mechanism; not an atomically precise AuNC training target.</x:v>
      </x:c>
      <x:c r="AM14" s="20" t="str">
        <x:v>2026-09-07</x:v>
      </x:c>
      <x:c r="AN14" s="20" t="str">
        <x:v>UPLOADED_PRIMARY_OR_REVIEW</x:v>
      </x:c>
    </x:row>
    <x:row r="15">
      <x:c r="A15" s="20" t="str">
        <x:v>R012</x:v>
      </x:c>
      <x:c r="B15" s="20" t="str">
        <x:v>S03</x:v>
      </x:c>
      <x:c r="C15" s="20" t="str">
        <x:v>B1 PEPTIDE_AUNP_MECHANISM</x:v>
      </x:c>
      <x:c r="D15" s="20" t="str">
        <x:v>DIRECT</x:v>
      </x:c>
      <x:c r="E15" s="20" t="str">
        <x:v>gold_superstructure</x:v>
      </x:c>
      <x:c r="F15" s="20" t="str">
        <x:v>C18-(PEPAu)2</x:v>
      </x:c>
      <x:c r="G15" s="20" t="str">
        <x:v>AYSSGAPPMPPF</x:v>
      </x:c>
      <x:c r="H15" s="20" t="str">
        <x:v>L</x:v>
      </x:c>
      <x:c r="I15" s="20" t="str">
        <x:v>C18 tail; unoxidized methionine</x:v>
      </x:c>
      <x:c r="J15" s="20"/>
      <x:c r="K15" s="20"/>
      <x:c r="L15" s="20"/>
      <x:c r="M15" s="20"/>
      <x:c r="N15" s="20" t="str">
        <x:v>Double-helical superstructure</x:v>
      </x:c>
      <x:c r="O15" s="20" t="str">
        <x:v>Gold salt</x:v>
      </x:c>
      <x:c r="P15" s="20" t="str">
        <x:v>Peptide conjugate + assembly buffer</x:v>
      </x:c>
      <x:c r="Q15" s="20" t="str">
        <x:v>Reducing agent used</x:v>
      </x:c>
      <x:c r="R15" s="20"/>
      <x:c r="S15" s="20"/>
      <x:c r="T15" s="20"/>
      <x:c r="U15" s="20" t="str">
        <x:v>In-situ growth on peptide fibers</x:v>
      </x:c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 t="str">
        <x:v>Chiral assembly</x:v>
      </x:c>
      <x:c r="AF15" s="20" t="str">
        <x:v>Unoxidized conjugate directs double-helical assembly; serves as paired comparator to oxidized peptide</x:v>
      </x:c>
      <x:c r="AG15" s="20" t="str">
        <x:v>Main text pp.1–2</x:v>
      </x:c>
      <x:c r="AH15" s="20" t="str">
        <x:v>https://doi.org/10.1021/jacs.6b07322</x:v>
      </x:c>
      <x:c r="AI15" s="24" t="n">
        <x:f>ROUND(100*COUNTA(G15,J15,L15,R15,S15,T15,V15,X15,AA15,AC15)/10,0)</x:f>
        <x:v>10</x:v>
      </x:c>
      <x:c r="AJ15" s="20" t="str">
        <x:v>MECHANISTIC_ONLY</x:v>
      </x:c>
      <x:c r="AK15" s="20" t="str">
        <x:v>EXACT_FROM_UPLOADED_PRIMARY</x:v>
      </x:c>
      <x:c r="AL15" s="20" t="str">
        <x:v>Cross-regime peptide→gold mechanism; not an atomically precise AuNC training target.</x:v>
      </x:c>
      <x:c r="AM15" s="20" t="str">
        <x:v>2026-09-07</x:v>
      </x:c>
      <x:c r="AN15" s="20" t="str">
        <x:v>UPLOADED_PRIMARY_OR_REVIEW</x:v>
      </x:c>
    </x:row>
    <x:row r="16">
      <x:c r="A16" s="20" t="str">
        <x:v>R013</x:v>
      </x:c>
      <x:c r="B16" s="20" t="str">
        <x:v>S04</x:v>
      </x:c>
      <x:c r="C16" s="20" t="str">
        <x:v>B1 PEPTIDE_AUNP_MECHANISM</x:v>
      </x:c>
      <x:c r="D16" s="20" t="str">
        <x:v>DIRECT</x:v>
      </x:c>
      <x:c r="E16" s="20" t="str">
        <x:v>gold_superstructure</x:v>
      </x:c>
      <x:c r="F16" s="20" t="str">
        <x:v>C12-L-PEPAu</x:v>
      </x:c>
      <x:c r="G16" s="20" t="str">
        <x:v>AYSSGAPPMPPF</x:v>
      </x:c>
      <x:c r="H16" s="20" t="str">
        <x:v>L</x:v>
      </x:c>
      <x:c r="I16" s="20" t="str">
        <x:v>C12 acyl tail</x:v>
      </x:c>
      <x:c r="J16" s="20"/>
      <x:c r="K16" s="20"/>
      <x:c r="L16" s="20" t="n">
        <x:v>5.74</x:v>
      </x:c>
      <x:c r="M16" s="20"/>
      <x:c r="N16" s="20" t="str">
        <x:v>Left-handed double helix</x:v>
      </x:c>
      <x:c r="O16" s="20" t="str">
        <x:v>Gold precursor</x:v>
      </x:c>
      <x:c r="P16" s="20" t="str">
        <x:v>Mixed with HEPES buffer</x:v>
      </x:c>
      <x:c r="Q16" s="20"/>
      <x:c r="R16" s="20"/>
      <x:c r="S16" s="20"/>
      <x:c r="T16" s="20"/>
      <x:c r="U16" s="20" t="str">
        <x:v>Peptide self-assembly + Au growth</x:v>
      </x:c>
      <x:c r="V16" s="20"/>
      <x:c r="W16" s="20"/>
      <x:c r="X16" s="20"/>
      <x:c r="Y16" s="20"/>
      <x:c r="Z16" s="20"/>
      <x:c r="AA16" s="20"/>
      <x:c r="AB16" s="20"/>
      <x:c r="AC16" s="20"/>
      <x:c r="AD16" s="20"/>
      <x:c r="AE16" s="20" t="str">
        <x:v>Chiral plasmonics</x:v>
      </x:c>
      <x:c r="AF16" s="20" t="str">
        <x:v>L-peptide gives left-handed helices; initial particles 5.74±0.75 nm</x:v>
      </x:c>
      <x:c r="AG16" s="20" t="str">
        <x:v>Main text pp.1–2</x:v>
      </x:c>
      <x:c r="AH16" s="20" t="str">
        <x:v>https://doi.org/10.1021/nl4013776</x:v>
      </x:c>
      <x:c r="AI16" s="24" t="n">
        <x:f>ROUND(100*COUNTA(G16,J16,L16,R16,S16,T16,V16,X16,AA16,AC16)/10,0)</x:f>
        <x:v>20</x:v>
      </x:c>
      <x:c r="AJ16" s="20" t="str">
        <x:v>MECHANISTIC_ONLY</x:v>
      </x:c>
      <x:c r="AK16" s="20" t="str">
        <x:v>EXACT_FROM_UPLOADED_PRIMARY</x:v>
      </x:c>
      <x:c r="AL16" s="20" t="str">
        <x:v>Cross-regime peptide→gold mechanism; not an atomically precise AuNC training target.</x:v>
      </x:c>
      <x:c r="AM16" s="20" t="str">
        <x:v>2026-09-07</x:v>
      </x:c>
      <x:c r="AN16" s="20" t="str">
        <x:v>UPLOADED_PRIMARY_OR_REVIEW</x:v>
      </x:c>
    </x:row>
    <x:row r="17">
      <x:c r="A17" s="20" t="str">
        <x:v>R014</x:v>
      </x:c>
      <x:c r="B17" s="20" t="str">
        <x:v>S04</x:v>
      </x:c>
      <x:c r="C17" s="20" t="str">
        <x:v>B1 PEPTIDE_AUNP_MECHANISM</x:v>
      </x:c>
      <x:c r="D17" s="20" t="str">
        <x:v>DIRECT</x:v>
      </x:c>
      <x:c r="E17" s="20" t="str">
        <x:v>gold_superstructure</x:v>
      </x:c>
      <x:c r="F17" s="20" t="str">
        <x:v>C12-D-PEPAu</x:v>
      </x:c>
      <x:c r="G17" s="20" t="str">
        <x:v>AYSSGAPPMPPF</x:v>
      </x:c>
      <x:c r="H17" s="20" t="str">
        <x:v>D</x:v>
      </x:c>
      <x:c r="I17" s="20" t="str">
        <x:v>C12 acyl tail</x:v>
      </x:c>
      <x:c r="J17" s="20"/>
      <x:c r="K17" s="20"/>
      <x:c r="L17" s="20" t="n">
        <x:v>5.25</x:v>
      </x:c>
      <x:c r="M17" s="20"/>
      <x:c r="N17" s="20" t="str">
        <x:v>Right-handed double helix</x:v>
      </x:c>
      <x:c r="O17" s="20" t="str">
        <x:v>Gold precursor</x:v>
      </x:c>
      <x:c r="P17" s="20" t="str">
        <x:v>Mixed with HEPES buffer</x:v>
      </x:c>
      <x:c r="Q17" s="20"/>
      <x:c r="R17" s="20"/>
      <x:c r="S17" s="20"/>
      <x:c r="T17" s="20"/>
      <x:c r="U17" s="20" t="str">
        <x:v>Peptide self-assembly + Au growth</x:v>
      </x:c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 t="str">
        <x:v>Chiral plasmonics</x:v>
      </x:c>
      <x:c r="AF17" s="20" t="str">
        <x:v>D-peptide gives right-handed helices; initial particles 5.25±0.79 nm</x:v>
      </x:c>
      <x:c r="AG17" s="20" t="str">
        <x:v>Main text pp.1–2</x:v>
      </x:c>
      <x:c r="AH17" s="20" t="str">
        <x:v>https://doi.org/10.1021/nl4013776</x:v>
      </x:c>
      <x:c r="AI17" s="24" t="n">
        <x:f>ROUND(100*COUNTA(G17,J17,L17,R17,S17,T17,V17,X17,AA17,AC17)/10,0)</x:f>
        <x:v>20</x:v>
      </x:c>
      <x:c r="AJ17" s="20" t="str">
        <x:v>MECHANISTIC_ONLY</x:v>
      </x:c>
      <x:c r="AK17" s="20" t="str">
        <x:v>EXACT_FROM_UPLOADED_PRIMARY</x:v>
      </x:c>
      <x:c r="AL17" s="20" t="str">
        <x:v>Cross-regime peptide→gold mechanism; not an atomically precise AuNC training target.</x:v>
      </x:c>
      <x:c r="AM17" s="20" t="str">
        <x:v>2026-09-07</x:v>
      </x:c>
      <x:c r="AN17" s="20" t="str">
        <x:v>UPLOADED_PRIMARY_OR_REVIEW</x:v>
      </x:c>
    </x:row>
    <x:row r="18">
      <x:c r="A18" s="20" t="str">
        <x:v>R015</x:v>
      </x:c>
      <x:c r="B18" s="20" t="str">
        <x:v>S14</x:v>
      </x:c>
      <x:c r="C18" s="20" t="str">
        <x:v>A1 DIRECT_PEPTIDE_ATOMIC_AUNC</x:v>
      </x:c>
      <x:c r="D18" s="20" t="str">
        <x:v>DIRECT</x:v>
      </x:c>
      <x:c r="E18" s="20" t="str">
        <x:v>atomically_precise_AuNC</x:v>
      </x:c>
      <x:c r="F18" s="20" t="str">
        <x:v>Glutathione (SG)</x:v>
      </x:c>
      <x:c r="G18" s="20" t="str">
        <x:v>γ-ECG</x:v>
      </x:c>
      <x:c r="H18" s="20" t="str">
        <x:v>L</x:v>
      </x:c>
      <x:c r="I18" s="20" t="str">
        <x:v>Thiolate ligand</x:v>
      </x:c>
      <x:c r="J18" s="20" t="n">
        <x:v>22</x:v>
      </x:c>
      <x:c r="K18" s="20" t="n">
        <x:v>18</x:v>
      </x:c>
      <x:c r="L18" s="20" t="n">
        <x:v>1.5</x:v>
      </x:c>
      <x:c r="M18" s="20" t="n">
        <x:v>2.01</x:v>
      </x:c>
      <x:c r="N18" s="20" t="str">
        <x:v>Atomically precise Au22(SG)18</x:v>
      </x:c>
      <x:c r="O18" s="20" t="str">
        <x:v>HAuCl4</x:v>
      </x:c>
      <x:c r="P18" s="20" t="str">
        <x:v>20 mM HAuCl4 12.5 mL + 50 mM GSH 7.5 mL in 180 mL water</x:v>
      </x:c>
      <x:c r="Q18" s="20" t="str">
        <x:v>NaBH4</x:v>
      </x:c>
      <x:c r="R18" s="20" t="n">
        <x:v>12</x:v>
      </x:c>
      <x:c r="S18" s="20" t="n">
        <x:v>25</x:v>
      </x:c>
      <x:c r="T18" s="20" t="n">
        <x:v>0.5</x:v>
      </x:c>
      <x:c r="U18" s="20" t="str">
        <x:v>500 rpm after NaBH4; then acidification</x:v>
      </x:c>
      <x:c r="V18" s="20" t="n">
        <x:v>925</x:v>
      </x:c>
      <x:c r="W18" s="20" t="str">
        <x:v>925–1300 tail</x:v>
      </x:c>
      <x:c r="X18" s="20" t="n">
        <x:v>0.16</x:v>
      </x:c>
      <x:c r="Y18" s="20" t="n">
        <x:v>515</x:v>
      </x:c>
      <x:c r="Z18" s="20"/>
      <x:c r="AA18" s="20" t="n">
        <x:v>808</x:v>
      </x:c>
      <x:c r="AB18" s="20"/>
      <x:c r="AC18" s="20"/>
      <x:c r="AD18" s="20"/>
      <x:c r="AE18" s="20" t="str">
        <x:v>NIR-II imaging / bioactivity</x:v>
      </x:c>
      <x:c r="AF18" s="20" t="str">
        <x:v>Atomic-precision Au22; pH later shifted to 2.5 and sealed/stirred 8 h for size focusing/purification</x:v>
      </x:c>
      <x:c r="AG18" s="20" t="str">
        <x:v>Results p.2 + Methods p.13</x:v>
      </x:c>
      <x:c r="AH18" s="20" t="str">
        <x:v>https://doi.org/10.1126/sciadv.adh7828</x:v>
      </x:c>
      <x:c r="AI18" s="24" t="n">
        <x:f>ROUND(100*COUNTA(G18,J18,L18,R18,S18,T18,V18,X18,AA18,AC18)/10,0)</x:f>
        <x:v>90</x:v>
      </x:c>
      <x:c r="AJ18" s="20" t="str">
        <x:v>TRAIN_CORE</x:v>
      </x:c>
      <x:c r="AK18" s="20" t="str">
        <x:v>EXACT_FROM_UPLOADED_PRIMARY</x:v>
      </x:c>
      <x:c r="AL18" s="20" t="str">
        <x:v>Atomic record; keep same-paper records grouped in validation.</x:v>
      </x:c>
      <x:c r="AM18" s="20" t="str">
        <x:v>2026-09-07</x:v>
      </x:c>
      <x:c r="AN18" s="20" t="str">
        <x:v>UPLOADED_PRIMARY_OR_REVIEW</x:v>
      </x:c>
    </x:row>
    <x:row r="19">
      <x:c r="A19" s="20" t="str">
        <x:v>R016</x:v>
      </x:c>
      <x:c r="B19" s="20" t="str">
        <x:v>S14</x:v>
      </x:c>
      <x:c r="C19" s="20" t="str">
        <x:v>A1 DIRECT_PEPTIDE_ATOMIC_AUNC</x:v>
      </x:c>
      <x:c r="D19" s="20" t="str">
        <x:v>DIRECT</x:v>
      </x:c>
      <x:c r="E19" s="20" t="str">
        <x:v>atomically_precise_AuNC</x:v>
      </x:c>
      <x:c r="F19" s="20" t="str">
        <x:v>Glutathione (SG)</x:v>
      </x:c>
      <x:c r="G19" s="20" t="str">
        <x:v>γ-ECG</x:v>
      </x:c>
      <x:c r="H19" s="20" t="str">
        <x:v>L</x:v>
      </x:c>
      <x:c r="I19" s="20" t="str">
        <x:v>Single Cu atom doping</x:v>
      </x:c>
      <x:c r="J19" s="20" t="n">
        <x:v>21</x:v>
      </x:c>
      <x:c r="K19" s="20" t="n">
        <x:v>18</x:v>
      </x:c>
      <x:c r="L19" s="20" t="n">
        <x:v>1.5</x:v>
      </x:c>
      <x:c r="M19" s="20"/>
      <x:c r="N19" s="20" t="str">
        <x:v>Au21Cu1(SG)18</x:v>
      </x:c>
      <x:c r="O19" s="20" t="str">
        <x:v>HAuCl4 + Cu2+</x:v>
      </x:c>
      <x:c r="P19" s="20" t="str">
        <x:v>Same Au22 method; Cu2+ added</x:v>
      </x:c>
      <x:c r="Q19" s="20" t="str">
        <x:v>NaBH4</x:v>
      </x:c>
      <x:c r="R19" s="20" t="n">
        <x:v>12</x:v>
      </x:c>
      <x:c r="S19" s="20" t="n">
        <x:v>25</x:v>
      </x:c>
      <x:c r="T19" s="20" t="n">
        <x:v>8.5</x:v>
      </x:c>
      <x:c r="U19" s="20" t="str">
        <x:v>500 rpm 30 min; pH 2.5; sealed 200 rpm 8 h</x:v>
      </x:c>
      <x:c r="V19" s="20"/>
      <x:c r="W19" s="20"/>
      <x:c r="X19" s="20"/>
      <x:c r="Y19" s="20"/>
      <x:c r="Z19" s="20"/>
      <x:c r="AA19" s="20" t="n">
        <x:v>808</x:v>
      </x:c>
      <x:c r="AB19" s="20"/>
      <x:c r="AC19" s="20"/>
      <x:c r="AD19" s="20"/>
      <x:c r="AE19" s="20" t="str">
        <x:v>NIR-II imaging / nanozyme</x:v>
      </x:c>
      <x:c r="AF19" s="20" t="str">
        <x:v>Cu single-atom substitution lowers bandgap 1.33→1.28 eV and strongly increases enzyme-mimetic activity</x:v>
      </x:c>
      <x:c r="AG19" s="20" t="str">
        <x:v>Results pp.1–2 + Methods p.13</x:v>
      </x:c>
      <x:c r="AH19" s="20" t="str">
        <x:v>https://doi.org/10.1126/sciadv.adh7828</x:v>
      </x:c>
      <x:c r="AI19" s="24" t="n">
        <x:f>ROUND(100*COUNTA(G19,J19,L19,R19,S19,T19,V19,X19,AA19,AC19)/10,0)</x:f>
        <x:v>70</x:v>
      </x:c>
      <x:c r="AJ19" s="20" t="str">
        <x:v>TRAIN_CORE</x:v>
      </x:c>
      <x:c r="AK19" s="20" t="str">
        <x:v>EXACT_FROM_UPLOADED_PRIMARY</x:v>
      </x:c>
      <x:c r="AL19" s="20" t="str">
        <x:v>Atomic record; keep same-paper records grouped in validation.</x:v>
      </x:c>
      <x:c r="AM19" s="20" t="str">
        <x:v>2026-09-07</x:v>
      </x:c>
      <x:c r="AN19" s="20" t="str">
        <x:v>UPLOADED_PRIMARY_OR_REVIEW</x:v>
      </x:c>
    </x:row>
    <x:row r="20">
      <x:c r="A20" s="20" t="str">
        <x:v>R017</x:v>
      </x:c>
      <x:c r="B20" s="20" t="str">
        <x:v>S10</x:v>
      </x:c>
      <x:c r="C20" s="20" t="str">
        <x:v>A1 DIRECT_PEPTIDE_ATOMIC_AUNC</x:v>
      </x:c>
      <x:c r="D20" s="20" t="str">
        <x:v>DIRECT</x:v>
      </x:c>
      <x:c r="E20" s="20" t="str">
        <x:v>atomically_precise_AuNC</x:v>
      </x:c>
      <x:c r="F20" s="20" t="str">
        <x:v>Glutathione (SG)</x:v>
      </x:c>
      <x:c r="G20" s="20" t="str">
        <x:v>γ-ECG</x:v>
      </x:c>
      <x:c r="H20" s="20" t="str">
        <x:v>L</x:v>
      </x:c>
      <x:c r="I20" s="20" t="str">
        <x:v>Thiolate ligand</x:v>
      </x:c>
      <x:c r="J20" s="20" t="n">
        <x:v>25</x:v>
      </x:c>
      <x:c r="K20" s="20" t="n">
        <x:v>18</x:v>
      </x:c>
      <x:c r="L20" s="20" t="str">
        <x:v>&lt;2</x:v>
      </x:c>
      <x:c r="M20" s="20" t="n">
        <x:v>3.2</x:v>
      </x:c>
      <x:c r="N20" s="20" t="str">
        <x:v>Au25(SG)18; 13-Au core + six Au2(SG)3 shell motifs</x:v>
      </x:c>
      <x:c r="O20" s="20" t="str">
        <x:v>Not fully specified in main paper</x:v>
      </x:c>
      <x:c r="P20" s="20" t="str">
        <x:v>Main paper refers to prior method / SI</x:v>
      </x:c>
      <x:c r="Q20" s="20" t="str">
        <x:v>Not fully specified</x:v>
      </x:c>
      <x:c r="R20" s="20"/>
      <x:c r="S20" s="20"/>
      <x:c r="T20" s="20"/>
      <x:c r="U20" s="20" t="str">
        <x:v>See Supporting Information</x:v>
      </x:c>
      <x:c r="V20" s="20"/>
      <x:c r="W20" s="20" t="str">
        <x:v>1100–1350</x:v>
      </x:c>
      <x:c r="X20" s="20"/>
      <x:c r="Y20" s="20"/>
      <x:c r="Z20" s="20"/>
      <x:c r="AA20" s="20"/>
      <x:c r="AB20" s="20"/>
      <x:c r="AC20" s="20"/>
      <x:c r="AD20" s="20"/>
      <x:c r="AE20" s="20" t="str">
        <x:v>NIR-II imaging</x:v>
      </x:c>
      <x:c r="AF20" s="20" t="str">
        <x:v>Atomic-precision Au25 with strong NIR-II emission; exact synthesis must be taken from SI/primary synthesis method</x:v>
      </x:c>
      <x:c r="AG20" s="20" t="str">
        <x:v>Main text pp.1–2; Experimental points to SI</x:v>
      </x:c>
      <x:c r="AH20" s="20" t="str">
        <x:v>https://doi.org/10.1002/adma.201901015</x:v>
      </x:c>
      <x:c r="AI20" s="24" t="n">
        <x:f>ROUND(100*COUNTA(G20,J20,L20,R20,S20,T20,V20,X20,AA20,AC20)/10,0)</x:f>
        <x:v>30</x:v>
      </x:c>
      <x:c r="AJ20" s="20" t="str">
        <x:v>QC_HOLD</x:v>
      </x:c>
      <x:c r="AK20" s="20" t="str">
        <x:v>EXACT_LIGAND_ID</x:v>
      </x:c>
      <x:c r="AL20" s="20" t="str">
        <x:v>Atomic Au25(SG)18, but exact synthesis details require Supporting Information / prior method.</x:v>
      </x:c>
      <x:c r="AM20" s="20" t="str">
        <x:v>2026-09-07</x:v>
      </x:c>
      <x:c r="AN20" s="20" t="str">
        <x:v>UPLOADED_PRIMARY_OR_REVIEW</x:v>
      </x:c>
    </x:row>
    <x:row r="21">
      <x:c r="A21" s="20" t="str">
        <x:v>R018</x:v>
      </x:c>
      <x:c r="B21" s="20" t="str">
        <x:v>S11</x:v>
      </x:c>
      <x:c r="C21" s="20" t="str">
        <x:v>C1 AUNC_PTT_BENCHMARK</x:v>
      </x:c>
      <x:c r="D21" s="20" t="str">
        <x:v>DIRECT</x:v>
      </x:c>
      <x:c r="E21" s="20" t="str">
        <x:v>atomically_precise_AuNC</x:v>
      </x:c>
      <x:c r="F21" s="20" t="str">
        <x:v>Phosphorylcholine-functionalized Au25</x:v>
      </x:c>
      <x:c r="G21" s="20" t="str">
        <x:v>N/A</x:v>
      </x:c>
      <x:c r="H21" s="20" t="str">
        <x:v>N/A</x:v>
      </x:c>
      <x:c r="I21" s="20" t="str">
        <x:v>PC surface coating</x:v>
      </x:c>
      <x:c r="J21" s="20" t="n">
        <x:v>25</x:v>
      </x:c>
      <x:c r="K21" s="20"/>
      <x:c r="L21" s="20" t="str">
        <x:v>~2</x:v>
      </x:c>
      <x:c r="M21" s="20"/>
      <x:c r="N21" s="20" t="str">
        <x:v>Molecular Au25 cluster</x:v>
      </x:c>
      <x:c r="O21" s="20" t="str">
        <x:v>Au25 precursor/system</x:v>
      </x:c>
      <x:c r="P21" s="20" t="str">
        <x:v>25 mg/mL AuPC aqueous solution</x:v>
      </x:c>
      <x:c r="Q21" s="20" t="str">
        <x:v>N/A</x:v>
      </x:c>
      <x:c r="R21" s="20"/>
      <x:c r="S21" s="20"/>
      <x:c r="T21" s="20"/>
      <x:c r="U21" s="20" t="str">
        <x:v>Benchmark material</x:v>
      </x:c>
      <x:c r="V21" s="20" t="n">
        <x:v>1090</x:v>
      </x:c>
      <x:c r="W21" s="20" t="str">
        <x:v>900–1500</x:v>
      </x:c>
      <x:c r="X21" s="20" t="n">
        <x:v>0.38</x:v>
      </x:c>
      <x:c r="Y21" s="20"/>
      <x:c r="Z21" s="20"/>
      <x:c r="AA21" s="20" t="n">
        <x:v>808</x:v>
      </x:c>
      <x:c r="AB21" s="20" t="n">
        <x:v>0.3</x:v>
      </x:c>
      <x:c r="AC21" s="20" t="n">
        <x:v>70</x:v>
      </x:c>
      <x:c r="AD21" s="20" t="n">
        <x:v>10</x:v>
      </x:c>
      <x:c r="AE21" s="20" t="str">
        <x:v>Cancer PTT benchmark</x:v>
      </x:c>
      <x:c r="AF21" s="20" t="str">
        <x:v>In vitro: ~70°C from room temperature within 10 min under 808 nm, 0.3 W/cm²</x:v>
      </x:c>
      <x:c r="AG21" s="20" t="str">
        <x:v>Main text p.4; Fig.4</x:v>
      </x:c>
      <x:c r="AH21" s="20" t="str">
        <x:v>https://doi.org/10.1073/pnas.2318265121</x:v>
      </x:c>
      <x:c r="AI21" s="24" t="n">
        <x:f>ROUND(100*COUNTA(G21,J21,L21,R21,S21,T21,V21,X21,AA21,AC21)/10,0)</x:f>
        <x:v>70</x:v>
      </x:c>
      <x:c r="AJ21" s="20" t="str">
        <x:v>BENCHMARK_ONLY</x:v>
      </x:c>
      <x:c r="AK21" s="20" t="str">
        <x:v>NOT_APPLICABLE</x:v>
      </x:c>
      <x:c r="AL21" s="20" t="str">
        <x:v>Non-peptide AuNC biomedical/PTT benchmark; do not train peptide-sequence model.</x:v>
      </x:c>
      <x:c r="AM21" s="20" t="str">
        <x:v>2026-09-07</x:v>
      </x:c>
      <x:c r="AN21" s="20" t="str">
        <x:v>UPLOADED_PRIMARY_OR_REVIEW</x:v>
      </x:c>
    </x:row>
    <x:row r="22">
      <x:c r="A22" s="20" t="str">
        <x:v>R019</x:v>
      </x:c>
      <x:c r="B22" s="20" t="str">
        <x:v>S11</x:v>
      </x:c>
      <x:c r="C22" s="20" t="str">
        <x:v>C1 AUNC_PTT_BENCHMARK</x:v>
      </x:c>
      <x:c r="D22" s="20" t="str">
        <x:v>DIRECT</x:v>
      </x:c>
      <x:c r="E22" s="20" t="str">
        <x:v>atomically_precise_AuNC</x:v>
      </x:c>
      <x:c r="F22" s="20" t="str">
        <x:v>Phosphorylcholine-functionalized Au25</x:v>
      </x:c>
      <x:c r="G22" s="20" t="str">
        <x:v>N/A</x:v>
      </x:c>
      <x:c r="H22" s="20" t="str">
        <x:v>N/A</x:v>
      </x:c>
      <x:c r="I22" s="20" t="str">
        <x:v>PC surface coating</x:v>
      </x:c>
      <x:c r="J22" s="20" t="n">
        <x:v>25</x:v>
      </x:c>
      <x:c r="K22" s="20"/>
      <x:c r="L22" s="20" t="str">
        <x:v>~2</x:v>
      </x:c>
      <x:c r="M22" s="20"/>
      <x:c r="N22" s="20" t="str">
        <x:v>Molecular Au25 cluster</x:v>
      </x:c>
      <x:c r="O22" s="20" t="str">
        <x:v>Au25 precursor/system</x:v>
      </x:c>
      <x:c r="P22" s="20" t="str">
        <x:v>20–40 µL of 25 mg/mL intratumorally</x:v>
      </x:c>
      <x:c r="Q22" s="20" t="str">
        <x:v>N/A</x:v>
      </x:c>
      <x:c r="R22" s="20"/>
      <x:c r="S22" s="20"/>
      <x:c r="T22" s="20"/>
      <x:c r="U22" s="20" t="str">
        <x:v>4T1 tumor, intratumoral injection</x:v>
      </x:c>
      <x:c r="V22" s="20" t="n">
        <x:v>1090</x:v>
      </x:c>
      <x:c r="W22" s="20" t="str">
        <x:v>900–1500</x:v>
      </x:c>
      <x:c r="X22" s="20" t="n">
        <x:v>0.38</x:v>
      </x:c>
      <x:c r="Y22" s="20"/>
      <x:c r="Z22" s="20"/>
      <x:c r="AA22" s="20" t="n">
        <x:v>808</x:v>
      </x:c>
      <x:c r="AB22" s="20" t="n">
        <x:v>0.3</x:v>
      </x:c>
      <x:c r="AC22" s="20" t="n">
        <x:v>60</x:v>
      </x:c>
      <x:c r="AD22" s="20" t="n">
        <x:v>30</x:v>
      </x:c>
      <x:c r="AE22" s="20" t="str">
        <x:v>Cancer PTT benchmark</x:v>
      </x:c>
      <x:c r="AF22" s="20" t="str">
        <x:v>In vivo: ~53°C at 3 min, rising to ~60°C; 94.4% 60-day relative survival reported</x:v>
      </x:c>
      <x:c r="AG22" s="20" t="str">
        <x:v>Main text pp.4–6; Fig.5</x:v>
      </x:c>
      <x:c r="AH22" s="20" t="str">
        <x:v>https://doi.org/10.1073/pnas.2318265121</x:v>
      </x:c>
      <x:c r="AI22" s="24" t="n">
        <x:f>ROUND(100*COUNTA(G22,J22,L22,R22,S22,T22,V22,X22,AA22,AC22)/10,0)</x:f>
        <x:v>70</x:v>
      </x:c>
      <x:c r="AJ22" s="20" t="str">
        <x:v>BENCHMARK_ONLY</x:v>
      </x:c>
      <x:c r="AK22" s="20" t="str">
        <x:v>NOT_APPLICABLE</x:v>
      </x:c>
      <x:c r="AL22" s="20" t="str">
        <x:v>Non-peptide AuNC biomedical/PTT benchmark; do not train peptide-sequence model.</x:v>
      </x:c>
      <x:c r="AM22" s="20" t="str">
        <x:v>2026-09-07</x:v>
      </x:c>
      <x:c r="AN22" s="20" t="str">
        <x:v>UPLOADED_PRIMARY_OR_REVIEW</x:v>
      </x:c>
    </x:row>
    <x:row r="23">
      <x:c r="A23" s="20" t="str">
        <x:v>R020</x:v>
      </x:c>
      <x:c r="B23" s="20" t="str">
        <x:v>S13</x:v>
      </x:c>
      <x:c r="C23" s="20" t="str">
        <x:v>C2 AUNC_BIOMEDICAL_BENCHMARK</x:v>
      </x:c>
      <x:c r="D23" s="20" t="str">
        <x:v>DIRECT</x:v>
      </x:c>
      <x:c r="E23" s="20" t="str">
        <x:v>atomically_precise_AuNC</x:v>
      </x:c>
      <x:c r="F23" s="20" t="str">
        <x:v>Phosphorylcholine-functionalized Au25</x:v>
      </x:c>
      <x:c r="G23" s="20" t="str">
        <x:v>N/A</x:v>
      </x:c>
      <x:c r="H23" s="20" t="str">
        <x:v>N/A</x:v>
      </x:c>
      <x:c r="I23" s="20" t="str">
        <x:v>PC surface coating</x:v>
      </x:c>
      <x:c r="J23" s="20" t="n">
        <x:v>25</x:v>
      </x:c>
      <x:c r="K23" s="20"/>
      <x:c r="L23" s="20"/>
      <x:c r="M23" s="20"/>
      <x:c r="N23" s="20" t="str">
        <x:v>Au25-PC molecular cluster</x:v>
      </x:c>
      <x:c r="O23" s="20" t="str">
        <x:v>Au25 precursor/system</x:v>
      </x:c>
      <x:c r="P23" s="20" t="str">
        <x:v>Surface-functionalized with PC</x:v>
      </x:c>
      <x:c r="Q23" s="20" t="str">
        <x:v>N/A</x:v>
      </x:c>
      <x:c r="R23" s="20"/>
      <x:c r="S23" s="20"/>
      <x:c r="T23" s="20"/>
      <x:c r="U23" s="20" t="str">
        <x:v>Subcutaneous injection</x:v>
      </x:c>
      <x:c r="V23" s="20"/>
      <x:c r="W23" s="20" t="str">
        <x:v>1000–3000 imaging window</x:v>
      </x:c>
      <x:c r="X23" s="20"/>
      <x:c r="Y23" s="20"/>
      <x:c r="Z23" s="20"/>
      <x:c r="AA23" s="20"/>
      <x:c r="AB23" s="20"/>
      <x:c r="AC23" s="20"/>
      <x:c r="AD23" s="20"/>
      <x:c r="AE23" s="20" t="str">
        <x:v>Lymph-node NIR-II imaging</x:v>
      </x:c>
      <x:c r="AF23" s="20" t="str">
        <x:v>Super-stealth behavior; optimal LN imaging ~0.5–1 h with rapid renal clearance</x:v>
      </x:c>
      <x:c r="AG23" s="20" t="str">
        <x:v>Abstract / main text p.1</x:v>
      </x:c>
      <x:c r="AH23" s="20" t="str">
        <x:v>https://doi.org/10.1038/s41467-022-33341-6</x:v>
      </x:c>
      <x:c r="AI23" s="24" t="n">
        <x:f>ROUND(100*COUNTA(G23,J23,L23,R23,S23,T23,V23,X23,AA23,AC23)/10,0)</x:f>
        <x:v>20</x:v>
      </x:c>
      <x:c r="AJ23" s="20" t="str">
        <x:v>BENCHMARK_ONLY</x:v>
      </x:c>
      <x:c r="AK23" s="20" t="str">
        <x:v>NOT_APPLICABLE</x:v>
      </x:c>
      <x:c r="AL23" s="20" t="str">
        <x:v>Non-peptide AuNC biomedical/PTT benchmark; do not train peptide-sequence model.</x:v>
      </x:c>
      <x:c r="AM23" s="20" t="str">
        <x:v>2026-09-07</x:v>
      </x:c>
      <x:c r="AN23" s="20" t="str">
        <x:v>UPLOADED_PRIMARY_OR_REVIEW</x:v>
      </x:c>
    </x:row>
    <x:row r="24">
      <x:c r="A24" s="20" t="str">
        <x:v>R021</x:v>
      </x:c>
      <x:c r="B24" s="20" t="str">
        <x:v>S12</x:v>
      </x:c>
      <x:c r="C24" s="20" t="str">
        <x:v>D1 METHOD_REFERENCE</x:v>
      </x:c>
      <x:c r="D24" s="20" t="str">
        <x:v>REVIEW-DERIVED</x:v>
      </x:c>
      <x:c r="E24" s="20" t="str">
        <x:v>atomically_precise_AuNC</x:v>
      </x:c>
      <x:c r="F24" s="20" t="str">
        <x:v>Glutathione (GSH)</x:v>
      </x:c>
      <x:c r="G24" s="20" t="str">
        <x:v>γ-ECG</x:v>
      </x:c>
      <x:c r="H24" s="20" t="str">
        <x:v>L</x:v>
      </x:c>
      <x:c r="I24" s="20" t="str">
        <x:v>Review table entry</x:v>
      </x:c>
      <x:c r="J24" s="20" t="n">
        <x:v>25</x:v>
      </x:c>
      <x:c r="K24" s="20" t="n">
        <x:v>18</x:v>
      </x:c>
      <x:c r="L24" s="20"/>
      <x:c r="M24" s="20"/>
      <x:c r="N24" s="20" t="str">
        <x:v>Au25(GSH)18</x:v>
      </x:c>
      <x:c r="O24" s="20" t="str">
        <x:v>N/A</x:v>
      </x:c>
      <x:c r="P24" s="20" t="str">
        <x:v>Review-derived optical entry</x:v>
      </x:c>
      <x:c r="Q24" s="20" t="str">
        <x:v>N/A</x:v>
      </x:c>
      <x:c r="R24" s="20"/>
      <x:c r="S24" s="20"/>
      <x:c r="T24" s="20"/>
      <x:c r="U24" s="20" t="str">
        <x:v>Primary paper required</x:v>
      </x:c>
      <x:c r="V24" s="20" t="n">
        <x:v>1120</x:v>
      </x:c>
      <x:c r="W24" s="20" t="str">
        <x:v>900–1500</x:v>
      </x:c>
      <x:c r="X24" s="20" t="n">
        <x:v>0.13</x:v>
      </x:c>
      <x:c r="Y24" s="20"/>
      <x:c r="Z24" s="20"/>
      <x:c r="AA24" s="20" t="n">
        <x:v>808</x:v>
      </x:c>
      <x:c r="AB24" s="20"/>
      <x:c r="AC24" s="20"/>
      <x:c r="AD24" s="20"/>
      <x:c r="AE24" s="20" t="str">
        <x:v>Imaging benchmark</x:v>
      </x:c>
      <x:c r="AF24" s="20" t="str">
        <x:v>Review table lists Au25(GSH)18 with NIR-II emission and low PLQY; primary paper must be extracted before training</x:v>
      </x:c>
      <x:c r="AG24" s="20" t="str">
        <x:v>Chem. Rev. Table 1</x:v>
      </x:c>
      <x:c r="AH24" s="20" t="str">
        <x:v>https://doi.org/10.1021/acs.chemrev.4c00835</x:v>
      </x:c>
      <x:c r="AI24" s="24" t="n">
        <x:f>ROUND(100*COUNTA(G24,J24,L24,R24,S24,T24,V24,X24,AA24,AC24)/10,0)</x:f>
        <x:v>50</x:v>
      </x:c>
      <x:c r="AJ24" s="20" t="str">
        <x:v>REVIEW_LEAD</x:v>
      </x:c>
      <x:c r="AK24" s="20" t="str">
        <x:v>REVIEW_DERIVED</x:v>
      </x:c>
      <x:c r="AL24" s="20" t="str">
        <x:v>Primary paper must be extracted before model training.</x:v>
      </x:c>
      <x:c r="AM24" s="20" t="str">
        <x:v>2026-09-07</x:v>
      </x:c>
      <x:c r="AN24" s="20" t="str">
        <x:v>UPLOADED_PRIMARY_OR_REVIEW</x:v>
      </x:c>
    </x:row>
    <x:row r="25">
      <x:c r="A25" s="20" t="str">
        <x:v>R022</x:v>
      </x:c>
      <x:c r="B25" s="20" t="str">
        <x:v>S12</x:v>
      </x:c>
      <x:c r="C25" s="20" t="str">
        <x:v>D1 METHOD_REFERENCE</x:v>
      </x:c>
      <x:c r="D25" s="20" t="str">
        <x:v>REVIEW-DERIVED</x:v>
      </x:c>
      <x:c r="E25" s="20" t="str">
        <x:v>atomically_precise_AuNC</x:v>
      </x:c>
      <x:c r="F25" s="20" t="str">
        <x:v>4-mercaptobenzoic acid (MBA)</x:v>
      </x:c>
      <x:c r="G25" s="20" t="str">
        <x:v>N/A</x:v>
      </x:c>
      <x:c r="H25" s="20" t="str">
        <x:v>N/A</x:v>
      </x:c>
      <x:c r="I25" s="20" t="str">
        <x:v>Review table entry</x:v>
      </x:c>
      <x:c r="J25" s="20" t="n">
        <x:v>44</x:v>
      </x:c>
      <x:c r="K25" s="20" t="n">
        <x:v>26</x:v>
      </x:c>
      <x:c r="L25" s="20"/>
      <x:c r="M25" s="20"/>
      <x:c r="N25" s="20" t="str">
        <x:v>Au44(MBA)26</x:v>
      </x:c>
      <x:c r="O25" s="20" t="str">
        <x:v>N/A</x:v>
      </x:c>
      <x:c r="P25" s="20" t="str">
        <x:v>Review-derived optical/PTT entry</x:v>
      </x:c>
      <x:c r="Q25" s="20" t="str">
        <x:v>N/A</x:v>
      </x:c>
      <x:c r="R25" s="20"/>
      <x:c r="S25" s="20"/>
      <x:c r="T25" s="20"/>
      <x:c r="U25" s="20" t="str">
        <x:v>Primary paper required</x:v>
      </x:c>
      <x:c r="V25" s="20" t="n">
        <x:v>1080</x:v>
      </x:c>
      <x:c r="W25" s="20" t="str">
        <x:v>~1080 and 1280</x:v>
      </x:c>
      <x:c r="X25" s="20" t="n">
        <x:v>4.5</x:v>
      </x:c>
      <x:c r="Y25" s="20"/>
      <x:c r="Z25" s="20"/>
      <x:c r="AA25" s="20" t="n">
        <x:v>808</x:v>
      </x:c>
      <x:c r="AB25" s="20"/>
      <x:c r="AC25" s="20"/>
      <x:c r="AD25" s="20"/>
      <x:c r="AE25" s="20" t="str">
        <x:v>PTT / theranostics</x:v>
      </x:c>
      <x:c r="AF25" s="20" t="str">
        <x:v>Review identifies Au44(MBA)26 as high-PCE PTT-capable cluster; not peptide-templated and must remain a benchmark</x:v>
      </x:c>
      <x:c r="AG25" s="20" t="str">
        <x:v>Chem. Rev. Table 1 + PTT section</x:v>
      </x:c>
      <x:c r="AH25" s="20" t="str">
        <x:v>https://doi.org/10.1021/acs.chemrev.4c00835</x:v>
      </x:c>
      <x:c r="AI25" s="24" t="n">
        <x:f>ROUND(100*COUNTA(G25,J25,L25,R25,S25,T25,V25,X25,AA25,AC25)/10,0)</x:f>
        <x:v>50</x:v>
      </x:c>
      <x:c r="AJ25" s="20" t="str">
        <x:v>REVIEW_LEAD</x:v>
      </x:c>
      <x:c r="AK25" s="20" t="str">
        <x:v>REVIEW_DERIVED</x:v>
      </x:c>
      <x:c r="AL25" s="20" t="str">
        <x:v>Primary paper must be extracted before model training.</x:v>
      </x:c>
      <x:c r="AM25" s="20" t="str">
        <x:v>2026-09-07</x:v>
      </x:c>
      <x:c r="AN25" s="20" t="str">
        <x:v>UPLOADED_PRIMARY_OR_REVIEW</x:v>
      </x:c>
    </x:row>
    <x:row r="26">
      <x:c r="A26" s="20" t="str">
        <x:v>R023</x:v>
      </x:c>
      <x:c r="B26" s="20" t="str">
        <x:v>W01</x:v>
      </x:c>
      <x:c r="C26" s="20" t="str">
        <x:v>A2 DIRECT_PEPTIDE_NONPRECISE_AUNC</x:v>
      </x:c>
      <x:c r="D26" s="20" t="str">
        <x:v>DIRECT</x:v>
      </x:c>
      <x:c r="E26" s="20" t="str">
        <x:v>ultrasmall_AuNC_unknown_nuclearity</x:v>
      </x:c>
      <x:c r="F26" s="20" t="str">
        <x:v>SV polypeptide — blue AuNC</x:v>
      </x:c>
      <x:c r="G26" s="20" t="str">
        <x:v>CCYGGPKKKRKVG</x:v>
      </x:c>
      <x:c r="H26" s="20" t="str">
        <x:v>L</x:v>
      </x:c>
      <x:c r="I26" s="20" t="str">
        <x:v>NH2- / -COOH</x:v>
      </x:c>
      <x:c r="J26" s="20"/>
      <x:c r="K26" s="20"/>
      <x:c r="L26" s="20" t="str">
        <x:v>&lt;2</x:v>
      </x:c>
      <x:c r="M26" s="20"/>
      <x:c r="N26" s="20" t="str">
        <x:v>Blue-emitting peptide-templated AuNC</x:v>
      </x:c>
      <x:c r="O26" s="20" t="str">
        <x:v>HAuCl4</x:v>
      </x:c>
      <x:c r="P26" s="20" t="str">
        <x:v>Same SV peptide; synthesis conditions optimized separately from red product</x:v>
      </x:c>
      <x:c r="Q26" s="20" t="str">
        <x:v>Peptide-templated / conditions dependent</x:v>
      </x:c>
      <x:c r="R26" s="20"/>
      <x:c r="S26" s="20"/>
      <x:c r="T26" s="20"/>
      <x:c r="U26" s="20" t="str">
        <x:v>Light, pH, Au:peptide ratio, time and temperature were optimization variables</x:v>
      </x:c>
      <x:c r="V26" s="20" t="n">
        <x:v>405</x:v>
      </x:c>
      <x:c r="W26" s="20" t="str">
        <x:v>λex 320 / λem 405</x:v>
      </x:c>
      <x:c r="X26" s="20"/>
      <x:c r="Y26" s="20"/>
      <x:c r="Z26" s="20"/>
      <x:c r="AA26" s="20"/>
      <x:c r="AB26" s="20"/>
      <x:c r="AC26" s="20"/>
      <x:c r="AD26" s="20"/>
      <x:c r="AE26" s="20" t="str">
        <x:v>Cell-nucleus multimodal imaging</x:v>
      </x:c>
      <x:c r="AF26" s="20" t="str">
        <x:v>The same exact peptide produced a blue AuNC under one synthesis condition set and a red AuNC under another, proving synthesis context is indispensable.</x:v>
      </x:c>
      <x:c r="AG26" s="20" t="str">
        <x:v>ACS Applied Bio Materials abstract + SI listing</x:v>
      </x:c>
      <x:c r="AH26" s="20" t="str">
        <x:v>https://doi.org/10.1021/acsabm.9b01078</x:v>
      </x:c>
      <x:c r="AI26" s="24" t="n">
        <x:f>ROUND(100*COUNTA(G26,J26,L26,R26,S26,T26,V26,X26,AA26,AC26)/10,0)</x:f>
        <x:v>30</x:v>
      </x:c>
      <x:c r="AJ26" s="20" t="str">
        <x:v>QC_HOLD</x:v>
      </x:c>
      <x:c r="AK26" s="20" t="str">
        <x:v>EXACT_FROM_PRIMARY</x:v>
      </x:c>
      <x:c r="AL26" s="20" t="str">
        <x:v>Exact numerical synthesis condition set still needs full main-text/SI extraction.</x:v>
      </x:c>
      <x:c r="AM26" s="20" t="str">
        <x:v>2026-09-07</x:v>
      </x:c>
      <x:c r="AN26" s="20" t="str">
        <x:v>WEB_PRIMARY</x:v>
      </x:c>
    </x:row>
    <x:row r="27">
      <x:c r="A27" s="20" t="str">
        <x:v>R024</x:v>
      </x:c>
      <x:c r="B27" s="20" t="str">
        <x:v>W01</x:v>
      </x:c>
      <x:c r="C27" s="20" t="str">
        <x:v>A2 DIRECT_PEPTIDE_NONPRECISE_AUNC</x:v>
      </x:c>
      <x:c r="D27" s="20" t="str">
        <x:v>DIRECT</x:v>
      </x:c>
      <x:c r="E27" s="20" t="str">
        <x:v>ultrasmall_AuNC_unknown_nuclearity</x:v>
      </x:c>
      <x:c r="F27" s="20" t="str">
        <x:v>SV polypeptide — red AuNC</x:v>
      </x:c>
      <x:c r="G27" s="20" t="str">
        <x:v>CCYGGPKKKRKVG</x:v>
      </x:c>
      <x:c r="H27" s="20" t="str">
        <x:v>L</x:v>
      </x:c>
      <x:c r="I27" s="20" t="str">
        <x:v>NH2- / -COOH</x:v>
      </x:c>
      <x:c r="J27" s="20"/>
      <x:c r="K27" s="20"/>
      <x:c r="L27" s="20" t="str">
        <x:v>&lt;2</x:v>
      </x:c>
      <x:c r="M27" s="20"/>
      <x:c r="N27" s="20" t="str">
        <x:v>Red-emitting peptide-templated AuNC</x:v>
      </x:c>
      <x:c r="O27" s="20" t="str">
        <x:v>HAuCl4</x:v>
      </x:c>
      <x:c r="P27" s="20" t="str">
        <x:v>Same SV peptide; synthesis conditions optimized separately from blue product</x:v>
      </x:c>
      <x:c r="Q27" s="20" t="str">
        <x:v>Peptide-templated / conditions dependent</x:v>
      </x:c>
      <x:c r="R27" s="20"/>
      <x:c r="S27" s="20"/>
      <x:c r="T27" s="20"/>
      <x:c r="U27" s="20" t="str">
        <x:v>Light, pH, Au:peptide ratio, time and temperature were optimization variables</x:v>
      </x:c>
      <x:c r="V27" s="20" t="n">
        <x:v>657</x:v>
      </x:c>
      <x:c r="W27" s="20" t="str">
        <x:v>λex 560 / λem 657</x:v>
      </x:c>
      <x:c r="X27" s="20"/>
      <x:c r="Y27" s="20"/>
      <x:c r="Z27" s="20"/>
      <x:c r="AA27" s="20"/>
      <x:c r="AB27" s="20"/>
      <x:c r="AC27" s="20"/>
      <x:c r="AD27" s="20"/>
      <x:c r="AE27" s="20" t="str">
        <x:v>Cell-nucleus multimodal imaging</x:v>
      </x:c>
      <x:c r="AF27" s="20" t="str">
        <x:v>Paired with R023: identical peptide sequence can yield sharply different optical outcomes when the synthesis environment changes.</x:v>
      </x:c>
      <x:c r="AG27" s="20" t="str">
        <x:v>ACS Applied Bio Materials abstract + SI listing</x:v>
      </x:c>
      <x:c r="AH27" s="20" t="str">
        <x:v>https://doi.org/10.1021/acsabm.9b01078</x:v>
      </x:c>
      <x:c r="AI27" s="24" t="n">
        <x:f>ROUND(100*COUNTA(G27,J27,L27,R27,S27,T27,V27,X27,AA27,AC27)/10,0)</x:f>
        <x:v>30</x:v>
      </x:c>
      <x:c r="AJ27" s="20" t="str">
        <x:v>QC_HOLD</x:v>
      </x:c>
      <x:c r="AK27" s="20" t="str">
        <x:v>EXACT_FROM_PRIMARY</x:v>
      </x:c>
      <x:c r="AL27" s="20" t="str">
        <x:v>Exact numerical synthesis condition set still needs full main-text/SI extraction.</x:v>
      </x:c>
      <x:c r="AM27" s="20" t="str">
        <x:v>2026-09-07</x:v>
      </x:c>
      <x:c r="AN27" s="20" t="str">
        <x:v>WEB_PRIMARY</x:v>
      </x:c>
    </x:row>
    <x:row r="28">
      <x:c r="A28" s="20" t="str">
        <x:v>R025</x:v>
      </x:c>
      <x:c r="B28" s="20" t="str">
        <x:v>W02</x:v>
      </x:c>
      <x:c r="C28" s="20" t="str">
        <x:v>A2 DIRECT_PEPTIDE_NONPRECISE_AUNC</x:v>
      </x:c>
      <x:c r="D28" s="20" t="str">
        <x:v>DIRECT</x:v>
      </x:c>
      <x:c r="E28" s="20" t="str">
        <x:v>ultrasmall_AuNC_unknown_nuclearity</x:v>
      </x:c>
      <x:c r="F28" s="20" t="str">
        <x:v>Cyclodecapeptide-templated AuNC</x:v>
      </x:c>
      <x:c r="G28" s="20" t="str">
        <x:v>Cyclodecapeptide: 1 Tyr + 2 Cys; exact sequence pending</x:v>
      </x:c>
      <x:c r="H28" s="20" t="str">
        <x:v>L</x:v>
      </x:c>
      <x:c r="I28" s="20" t="str">
        <x:v>Cyclic peptide</x:v>
      </x:c>
      <x:c r="J28" s="20"/>
      <x:c r="K28" s="20"/>
      <x:c r="L28" s="20"/>
      <x:c r="M28" s="20"/>
      <x:c r="N28" s="20" t="str">
        <x:v>Red-fluorescent CP-AuNC</x:v>
      </x:c>
      <x:c r="O28" s="20" t="str">
        <x:v>HAuCl4</x:v>
      </x:c>
      <x:c r="P28" s="20" t="str">
        <x:v>100 µL 25 mM HAuCl4 + 1 mL 2 mM cyclodecapeptide</x:v>
      </x:c>
      <x:c r="Q28" s="20" t="str">
        <x:v>Peptide biomineralization / alkaline condition</x:v>
      </x:c>
      <x:c r="R28" s="20"/>
      <x:c r="S28" s="20" t="n">
        <x:v>37</x:v>
      </x:c>
      <x:c r="T28" s="20" t="n">
        <x:v>15</x:v>
      </x:c>
      <x:c r="U28" s="20" t="str">
        <x:v>Vigorous stirring; NaOH 75 µL 0.5 M added after 2 min; sealed 37°C</x:v>
      </x:c>
      <x:c r="V28" s="20"/>
      <x:c r="W28" s="20" t="str">
        <x:v>Red fluorescence; exact peak to extract</x:v>
      </x:c>
      <x:c r="X28" s="20"/>
      <x:c r="Y28" s="20"/>
      <x:c r="Z28" s="20"/>
      <x:c r="AA28" s="20"/>
      <x:c r="AB28" s="20"/>
      <x:c r="AC28" s="20"/>
      <x:c r="AD28" s="20"/>
      <x:c r="AE28" s="20" t="str">
        <x:v>Dual fluorescence/MR imaging after Gd3+ functionalization</x:v>
      </x:c>
      <x:c r="AF28" s="20" t="str">
        <x:v>Direct designed cyclic peptide acts as AuNC template and later Gd3+ chelator; exact peptide sequence must be recovered from structure figure/SI.</x:v>
      </x:c>
      <x:c r="AG28" s="20" t="str">
        <x:v>RSC Supporting Information synthesis</x:v>
      </x:c>
      <x:c r="AH28" s="20" t="str">
        <x:v>https://doi.org/10.1039/C3TB20440E</x:v>
      </x:c>
      <x:c r="AI28" s="24" t="n">
        <x:f>ROUND(100*COUNTA(G28,J28,L28,R28,S28,T28,V28,X28,AA28,AC28)/10,0)</x:f>
        <x:v>30</x:v>
      </x:c>
      <x:c r="AJ28" s="20" t="str">
        <x:v>QC_HOLD</x:v>
      </x:c>
      <x:c r="AK28" s="20" t="str">
        <x:v>INCOMPLETE_SEQUENCE</x:v>
      </x:c>
      <x:c r="AL28" s="20" t="str">
        <x:v>Exact cyclodecapeptide sequence not recovered from searchable text.</x:v>
      </x:c>
      <x:c r="AM28" s="20" t="str">
        <x:v>2026-09-07</x:v>
      </x:c>
      <x:c r="AN28" s="20" t="str">
        <x:v>WEB_PRIMARY+SI</x:v>
      </x:c>
    </x:row>
    <x:row r="29">
      <x:c r="A29" s="20" t="str">
        <x:v>R026</x:v>
      </x:c>
      <x:c r="B29" s="20" t="str">
        <x:v>W03</x:v>
      </x:c>
      <x:c r="C29" s="20" t="str">
        <x:v>A1 DIRECT_PEPTIDE_ATOMIC_AUNC</x:v>
      </x:c>
      <x:c r="D29" s="20" t="str">
        <x:v>DIRECT</x:v>
      </x:c>
      <x:c r="E29" s="20" t="str">
        <x:v>atomically_precise_AuNC</x:v>
      </x:c>
      <x:c r="F29" s="20" t="str">
        <x:v>CCYJNP5 peptide</x:v>
      </x:c>
      <x:c r="G29" s="20" t="str">
        <x:v>CCYLQLQAEER</x:v>
      </x:c>
      <x:c r="H29" s="20" t="str">
        <x:v>L</x:v>
      </x:c>
      <x:c r="I29" s="20" t="str">
        <x:v>C-terminal amide (-NH2)</x:v>
      </x:c>
      <x:c r="J29" s="20" t="n">
        <x:v>21</x:v>
      </x:c>
      <x:c r="K29" s="20"/>
      <x:c r="L29" s="20" t="n">
        <x:v>2</x:v>
      </x:c>
      <x:c r="M29" s="20"/>
      <x:c r="N29" s="20" t="str">
        <x:v>Peptide-conjugated Au21 nanocluster</x:v>
      </x:c>
      <x:c r="O29" s="20" t="str">
        <x:v>HAuCl4</x:v>
      </x:c>
      <x:c r="P29" s="20" t="str">
        <x:v>1 mL 4.428 mM HAuCl4 + 1 mL CCYJNP5; optimized peptide:HAuCl4 = 1:1</x:v>
      </x:c>
      <x:c r="Q29" s="20" t="str">
        <x:v>Peptide self-reduction via Tyr under alkaline pH</x:v>
      </x:c>
      <x:c r="R29" s="20" t="n">
        <x:v>11.5</x:v>
      </x:c>
      <x:c r="S29" s="20" t="n">
        <x:v>25</x:v>
      </x:c>
      <x:c r="T29" s="20" t="n">
        <x:v>18</x:v>
      </x:c>
      <x:c r="U29" s="20" t="str">
        <x:v>Magnetic stirring; 130 µL 1 M NaOH; dialysis MWCO 8000 for 12 h</x:v>
      </x:c>
      <x:c r="V29" s="20" t="n">
        <x:v>640</x:v>
      </x:c>
      <x:c r="W29" s="20" t="str">
        <x:v>λex 380 / λem 640</x:v>
      </x:c>
      <x:c r="X29" s="20" t="n">
        <x:v>2.86</x:v>
      </x:c>
      <x:c r="Y29" s="20"/>
      <x:c r="Z29" s="20"/>
      <x:c r="AA29" s="20"/>
      <x:c r="AB29" s="20"/>
      <x:c r="AC29" s="20"/>
      <x:c r="AD29" s="20"/>
      <x:c r="AE29" s="20" t="str">
        <x:v>FGFR2-targeted tumor-cell imaging</x:v>
      </x:c>
      <x:c r="AF29" s="20" t="str">
        <x:v>MALDI-TOF indicated 21 Au atoms; CCY motif is required for strong fluorescence; ~33% Au(I) at surface.</x:v>
      </x:c>
      <x:c r="AG29" s="20" t="str">
        <x:v>RSC Adv. main text, Methods + Results</x:v>
      </x:c>
      <x:c r="AH29" s="20" t="str">
        <x:v>https://doi.org/10.1039/C5RA20113F</x:v>
      </x:c>
      <x:c r="AI29" s="24" t="n">
        <x:f>ROUND(100*COUNTA(G29,J29,L29,R29,S29,T29,V29,X29,AA29,AC29)/10,0)</x:f>
        <x:v>80</x:v>
      </x:c>
      <x:c r="AJ29" s="20" t="str">
        <x:v>TRAIN_CORE</x:v>
      </x:c>
      <x:c r="AK29" s="20" t="str">
        <x:v>EXACT_FROM_PRIMARY</x:v>
      </x:c>
      <x:c r="AL29" s="20" t="str">
        <x:v>High-value atomic sequence+synthesis+optical record. Group with all same-paper variants in validation.</x:v>
      </x:c>
      <x:c r="AM29" s="20" t="str">
        <x:v>2026-09-07</x:v>
      </x:c>
      <x:c r="AN29" s="20" t="str">
        <x:v>WEB_PRIMARY</x:v>
      </x:c>
    </x:row>
    <x:row r="30">
      <x:c r="A30" s="20" t="str">
        <x:v>R027</x:v>
      </x:c>
      <x:c r="B30" s="20" t="str">
        <x:v>W04</x:v>
      </x:c>
      <x:c r="C30" s="20" t="str">
        <x:v>A1 DIRECT_PEPTIDE_ATOMIC_AUNC</x:v>
      </x:c>
      <x:c r="D30" s="20" t="str">
        <x:v>DIRECT</x:v>
      </x:c>
      <x:c r="E30" s="20" t="str">
        <x:v>atomically_precise_AuNC</x:v>
      </x:c>
      <x:c r="F30" s="20" t="str">
        <x:v>Integrin-targeting peptide Au cluster</x:v>
      </x:c>
      <x:c r="G30" s="20" t="str">
        <x:v>CONFLICT: CGPDGRDGRDGPDGR (Materials) | CCGPDGRDGRDGRDGR (Results)</x:v>
      </x:c>
      <x:c r="H30" s="20" t="str">
        <x:v>L</x:v>
      </x:c>
      <x:c r="I30" s="20" t="str">
        <x:v>N- and C-termini reported NH2-/ -COOH</x:v>
      </x:c>
      <x:c r="J30" s="20" t="n">
        <x:v>7</x:v>
      </x:c>
      <x:c r="K30" s="20" t="n">
        <x:v>5</x:v>
      </x:c>
      <x:c r="L30" s="20" t="n">
        <x:v>2.85</x:v>
      </x:c>
      <x:c r="M30" s="20"/>
      <x:c r="N30" s="20" t="str">
        <x:v>Au7Peptide5 inferred from MALDI-TOF</x:v>
      </x:c>
      <x:c r="O30" s="20" t="str">
        <x:v>HAuCl4</x:v>
      </x:c>
      <x:c r="P30" s="20" t="str">
        <x:v>6 mg peptide in 1 mL water + 40 µL 25 mM HAuCl4</x:v>
      </x:c>
      <x:c r="Q30" s="20" t="str">
        <x:v>Peptide biomimetic mineralization; NaOH-assisted</x:v>
      </x:c>
      <x:c r="R30" s="20"/>
      <x:c r="S30" s="20" t="n">
        <x:v>55</x:v>
      </x:c>
      <x:c r="T30" s="20" t="n">
        <x:v>12</x:v>
      </x:c>
      <x:c r="U30" s="20" t="str">
        <x:v>5 min after Au addition: 200 µL 0.5 M NaOH; MWCO 3 kDa purification</x:v>
      </x:c>
      <x:c r="V30" s="20" t="n">
        <x:v>420</x:v>
      </x:c>
      <x:c r="W30" s="20" t="str">
        <x:v>λex 330 / λem 420</x:v>
      </x:c>
      <x:c r="X30" s="20"/>
      <x:c r="Y30" s="20"/>
      <x:c r="Z30" s="20"/>
      <x:c r="AA30" s="20"/>
      <x:c r="AB30" s="20"/>
      <x:c r="AC30" s="20"/>
      <x:c r="AD30" s="20"/>
      <x:c r="AE30" s="20" t="str">
        <x:v>Tumor-selective enzyme-like catalysis / apoptosis</x:v>
      </x:c>
      <x:c r="AF30" s="20" t="str">
        <x:v>MALDI peaks assigned Au7SxNay; Au7Peptide5 inferred. HRTEM-derived ~2.85±0.55 nm may be beam-affected.</x:v>
      </x:c>
      <x:c r="AG30" s="20" t="str">
        <x:v>Nanomaterials Methods 2.1–2.3 and Results 3.1</x:v>
      </x:c>
      <x:c r="AH30" s="20" t="str">
        <x:v>https://doi.org/10.3390/nano8121040</x:v>
      </x:c>
      <x:c r="AI30" s="24" t="n">
        <x:f>ROUND(100*COUNTA(G30,J30,L30,R30,S30,T30,V30,X30,AA30,AC30)/10,0)</x:f>
        <x:v>60</x:v>
      </x:c>
      <x:c r="AJ30" s="20" t="str">
        <x:v>QC_HOLD</x:v>
      </x:c>
      <x:c r="AK30" s="20" t="str">
        <x:v>SOURCE_CONFLICT</x:v>
      </x:c>
      <x:c r="AL30" s="20" t="str">
        <x:v>Critical sequence inconsistency inside the primary article; verify typeset PDF/author correction before encoding sequence.</x:v>
      </x:c>
      <x:c r="AM30" s="20" t="str">
        <x:v>2026-09-07</x:v>
      </x:c>
      <x:c r="AN30" s="20" t="str">
        <x:v>WEB_PRIMARY</x:v>
      </x:c>
    </x:row>
    <x:row r="31">
      <x:c r="A31" s="20" t="str">
        <x:v>R028</x:v>
      </x:c>
      <x:c r="B31" s="20" t="str">
        <x:v>W05</x:v>
      </x:c>
      <x:c r="C31" s="20" t="str">
        <x:v>A1 DIRECT_PEPTIDE_ATOMIC_AUNC</x:v>
      </x:c>
      <x:c r="D31" s="20" t="str">
        <x:v>DIRECT</x:v>
      </x:c>
      <x:c r="E31" s="20" t="str">
        <x:v>atomically_precise_AuNC</x:v>
      </x:c>
      <x:c r="F31" s="20" t="str">
        <x:v>Sv peptide</x:v>
      </x:c>
      <x:c r="G31" s="20" t="str">
        <x:v>CCYGGPKKKRKPG</x:v>
      </x:c>
      <x:c r="H31" s="20" t="str">
        <x:v>L</x:v>
      </x:c>
      <x:c r="I31" s="20" t="str">
        <x:v>NH2- / -COOH</x:v>
      </x:c>
      <x:c r="J31" s="20" t="n">
        <x:v>25</x:v>
      </x:c>
      <x:c r="K31" s="20" t="n">
        <x:v>9</x:v>
      </x:c>
      <x:c r="L31" s="20"/>
      <x:c r="M31" s="20"/>
      <x:c r="N31" s="20" t="str">
        <x:v>Au25Sv9</x:v>
      </x:c>
      <x:c r="O31" s="20" t="str">
        <x:v>HAuCl4</x:v>
      </x:c>
      <x:c r="P31" s="20" t="str">
        <x:v>Original study reports designed tridecapeptide Sv; exact protocol requires final primary extraction</x:v>
      </x:c>
      <x:c r="Q31" s="20" t="str">
        <x:v>Peptide-templated</x:v>
      </x:c>
      <x:c r="R31" s="20" t="n">
        <x:v>10</x:v>
      </x:c>
      <x:c r="S31" s="20"/>
      <x:c r="T31" s="20" t="n">
        <x:v>15</x:v>
      </x:c>
      <x:c r="U31" s="20" t="str">
        <x:v>Sealed/dark protocol reported in source family; verify exact reagent quantities before training synthesis model</x:v>
      </x:c>
      <x:c r="V31" s="20" t="n">
        <x:v>645</x:v>
      </x:c>
      <x:c r="W31" s="20" t="str">
        <x:v>Red fluorescence; emission peak ~645</x:v>
      </x:c>
      <x:c r="X31" s="20"/>
      <x:c r="Y31" s="20"/>
      <x:c r="Z31" s="20"/>
      <x:c r="AA31" s="20"/>
      <x:c r="AB31" s="20"/>
      <x:c r="AC31" s="20"/>
      <x:c r="AD31" s="20"/>
      <x:c r="AE31" s="20" t="str">
        <x:v>Chronic lymphocytic leukemia therapy</x:v>
      </x:c>
      <x:c r="AF31" s="20" t="str">
        <x:v>Atomic Au25Sv9 binds/inhibits thioredoxin reductase 1 and increases oxidative stress in CLL cells.</x:v>
      </x:c>
      <x:c r="AG31" s="20" t="str">
        <x:v>Science Bulletin primary article / PubMed</x:v>
      </x:c>
      <x:c r="AH31" s="20" t="str">
        <x:v>https://doi.org/10.1016/j.scib.2017.03.024</x:v>
      </x:c>
      <x:c r="AI31" s="24" t="n">
        <x:f>ROUND(100*COUNTA(G31,J31,L31,R31,S31,T31,V31,X31,AA31,AC31)/10,0)</x:f>
        <x:v>50</x:v>
      </x:c>
      <x:c r="AJ31" s="20" t="str">
        <x:v>TRAIN_STRUCTURE_ONLY</x:v>
      </x:c>
      <x:c r="AK31" s="20" t="str">
        <x:v>EXACT_FROM_2017_PRIMARY</x:v>
      </x:c>
      <x:c r="AL31" s="20" t="str">
        <x:v>Do not merge with 2020 SV variant CCYGGPKKKRKVG; sequence-cluster leakage risk is high.</x:v>
      </x:c>
      <x:c r="AM31" s="20" t="str">
        <x:v>2026-09-07</x:v>
      </x:c>
      <x:c r="AN31" s="20" t="str">
        <x:v>WEB_PRIMARY</x:v>
      </x:c>
    </x:row>
    <x:row r="32">
      <x:c r="A32" s="20" t="str">
        <x:v>R029</x:v>
      </x:c>
      <x:c r="B32" s="20" t="str">
        <x:v>W06</x:v>
      </x:c>
      <x:c r="C32" s="20" t="str">
        <x:v>A2 DIRECT_PEPTIDE_NONPRECISE_AUNC</x:v>
      </x:c>
      <x:c r="D32" s="20" t="str">
        <x:v>DIRECT</x:v>
      </x:c>
      <x:c r="E32" s="20" t="str">
        <x:v>ultrasmall_AuNC_unknown_nuclearity</x:v>
      </x:c>
      <x:c r="F32" s="20" t="str">
        <x:v>DGEAGC oligopeptide</x:v>
      </x:c>
      <x:c r="G32" s="20" t="str">
        <x:v>DGEAGC</x:v>
      </x:c>
      <x:c r="H32" s="20" t="str">
        <x:v>L</x:v>
      </x:c>
      <x:c r="I32" s="20" t="str">
        <x:v>None</x:v>
      </x:c>
      <x:c r="J32" s="20"/>
      <x:c r="K32" s="20"/>
      <x:c r="L32" s="20" t="n">
        <x:v>1.3</x:v>
      </x:c>
      <x:c r="M32" s="20"/>
      <x:c r="N32" s="20" t="str">
        <x:v>Monodispersed ultrasmall peptide-protected AuNC</x:v>
      </x:c>
      <x:c r="O32" s="20" t="str">
        <x:v>HAuCl4</x:v>
      </x:c>
      <x:c r="P32" s="20" t="str">
        <x:v>68 µL HAuCl4 0.2 g/mL + 1.0 mL peptide 50 mg/mL + 17.6 mL water</x:v>
      </x:c>
      <x:c r="Q32" s="20" t="str">
        <x:v>Thermal reduction</x:v>
      </x:c>
      <x:c r="R32" s="20"/>
      <x:c r="S32" s="20" t="n">
        <x:v>70</x:v>
      </x:c>
      <x:c r="T32" s="20" t="n">
        <x:v>2</x:v>
      </x:c>
      <x:c r="U32" s="20" t="str">
        <x:v>Vigorous stirring RT 5 min, then 70°C for 2 h; PAGE purification used for characterization</x:v>
      </x:c>
      <x:c r="V32" s="20" t="n">
        <x:v>600</x:v>
      </x:c>
      <x:c r="W32" s="20" t="str">
        <x:v>λex 400 / λem 600</x:v>
      </x:c>
      <x:c r="X32" s="20"/>
      <x:c r="Y32" s="20" t="n">
        <x:v>400</x:v>
      </x:c>
      <x:c r="Z32" s="20"/>
      <x:c r="AA32" s="20"/>
      <x:c r="AB32" s="20"/>
      <x:c r="AC32" s="20"/>
      <x:c r="AD32" s="20"/>
      <x:c r="AE32" s="20" t="str">
        <x:v>Peroxidase mimic / cell imaging</x:v>
      </x:c>
      <x:c r="AF32" s="20" t="str">
        <x:v>Straightforward one-pot sequence+synthesis+size+optical record; article introduction contains a DGECGC typo but Methods specify DGEAGC.</x:v>
      </x:c>
      <x:c r="AG32" s="20" t="str">
        <x:v>Molecules 2023 Methods 3.1/3.3 + Results 2.1</x:v>
      </x:c>
      <x:c r="AH32" s="20" t="str">
        <x:v>https://doi.org/10.3390/molecules28010070</x:v>
      </x:c>
      <x:c r="AI32" s="24" t="n">
        <x:f>ROUND(100*COUNTA(G32,J32,L32,R32,S32,T32,V32,X32,AA32,AC32)/10,0)</x:f>
        <x:v>50</x:v>
      </x:c>
      <x:c r="AJ32" s="20" t="str">
        <x:v>TRAIN_OPTICAL_SIZE</x:v>
      </x:c>
      <x:c r="AK32" s="20" t="str">
        <x:v>EXACT_FROM_METHODS</x:v>
      </x:c>
      <x:c r="AL32" s="20" t="str">
        <x:v>Use DGEAGC from Materials/Methods; record introduction typo DGECGC in QC log.</x:v>
      </x:c>
      <x:c r="AM32" s="20" t="str">
        <x:v>2026-09-07</x:v>
      </x:c>
      <x:c r="AN32" s="20" t="str">
        <x:v>WEB_PRIMARY</x:v>
      </x:c>
    </x:row>
    <x:row r="33">
      <x:c r="A33" s="20" t="str">
        <x:v>R030</x:v>
      </x:c>
      <x:c r="B33" s="20" t="str">
        <x:v>W07</x:v>
      </x:c>
      <x:c r="C33" s="20" t="str">
        <x:v>A2 DIRECT_PEPTIDE_NONPRECISE_AUNC</x:v>
      </x:c>
      <x:c r="D33" s="20" t="str">
        <x:v>DIRECT</x:v>
      </x:c>
      <x:c r="E33" s="20" t="str">
        <x:v>ultrasmall_AuNC_unknown_nuclearity</x:v>
      </x:c>
      <x:c r="F33" s="20" t="str">
        <x:v>Cyclic RGD peptide</x:v>
      </x:c>
      <x:c r="G33" s="20" t="str">
        <x:v>c(RGD) / c(RGDyE) family; exact sequence requires SI verification</x:v>
      </x:c>
      <x:c r="H33" s="20" t="str">
        <x:v>L</x:v>
      </x:c>
      <x:c r="I33" s="20" t="str">
        <x:v>Cyclic peptide</x:v>
      </x:c>
      <x:c r="J33" s="20"/>
      <x:c r="K33" s="20"/>
      <x:c r="L33" s="20"/>
      <x:c r="M33" s="20"/>
      <x:c r="N33" s="20" t="str">
        <x:v>RGD-conjugated AuNC</x:v>
      </x:c>
      <x:c r="O33" s="20" t="str">
        <x:v>Chloraurate</x:v>
      </x:c>
      <x:c r="P33" s="20" t="str">
        <x:v>Cyclic RGD used as both reducing and protecting agent</x:v>
      </x:c>
      <x:c r="Q33" s="20" t="str">
        <x:v>Peptide self-reduction under alkaline condition</x:v>
      </x:c>
      <x:c r="R33" s="20"/>
      <x:c r="S33" s="20" t="n">
        <x:v>25</x:v>
      </x:c>
      <x:c r="T33" s="20" t="n">
        <x:v>0.25</x:v>
      </x:c>
      <x:c r="U33" s="20" t="str">
        <x:v>Direct alkaline synthesis; complete in 15 min at room temperature</x:v>
      </x:c>
      <x:c r="V33" s="20"/>
      <x:c r="W33" s="20" t="str">
        <x:v>Fluorescent; exact λ from full paper/SI to extract</x:v>
      </x:c>
      <x:c r="X33" s="20"/>
      <x:c r="Y33" s="20"/>
      <x:c r="Z33" s="20"/>
      <x:c r="AA33" s="20"/>
      <x:c r="AB33" s="20"/>
      <x:c r="AC33" s="20"/>
      <x:c r="AD33" s="20"/>
      <x:c r="AE33" s="20" t="str">
        <x:v>αvβ3-positive melanoma A375 imaging</x:v>
      </x:c>
      <x:c r="AF33" s="20" t="str">
        <x:v>Very fast direct peptide-AuNC synthesis; exact cyclic peptide identity/condition optimization resides in SI.</x:v>
      </x:c>
      <x:c r="AG33" s="20" t="str">
        <x:v>Bioconjugate Chemistry abstract + SI description</x:v>
      </x:c>
      <x:c r="AH33" s="20" t="str">
        <x:v>https://doi.org/10.1021/bc500505c</x:v>
      </x:c>
      <x:c r="AI33" s="24" t="n">
        <x:f>ROUND(100*COUNTA(G33,J33,L33,R33,S33,T33,V33,X33,AA33,AC33)/10,0)</x:f>
        <x:v>30</x:v>
      </x:c>
      <x:c r="AJ33" s="20" t="str">
        <x:v>QC_HOLD</x:v>
      </x:c>
      <x:c r="AK33" s="20" t="str">
        <x:v>PARTIAL_SEQUENCE</x:v>
      </x:c>
      <x:c r="AL33" s="20" t="str">
        <x:v>Acquire SI/full text before model training.</x:v>
      </x:c>
      <x:c r="AM33" s="20" t="str">
        <x:v>2026-09-07</x:v>
      </x:c>
      <x:c r="AN33" s="20" t="str">
        <x:v>WEB_PRIMARY</x:v>
      </x:c>
    </x:row>
    <x:row r="34">
      <x:c r="A34" s="20" t="str">
        <x:v>R031</x:v>
      </x:c>
      <x:c r="B34" s="20" t="str">
        <x:v>W08</x:v>
      </x:c>
      <x:c r="C34" s="20" t="str">
        <x:v>C1 AUNC_PTT_BENCHMARK</x:v>
      </x:c>
      <x:c r="D34" s="20" t="str">
        <x:v>DIRECT</x:v>
      </x:c>
      <x:c r="E34" s="20" t="str">
        <x:v>ultrasmall_AuNC_unknown_nuclearity</x:v>
      </x:c>
      <x:c r="F34" s="20" t="str">
        <x:v>LHRH analogue-functionalized AuNC</x:v>
      </x:c>
      <x:c r="G34" s="20" t="str">
        <x:v>LHRHa; exact sequence pending primary full text</x:v>
      </x:c>
      <x:c r="H34" s="20" t="str">
        <x:v>L</x:v>
      </x:c>
      <x:c r="I34" s="20" t="str">
        <x:v>Post-synthesis peptide functionalization</x:v>
      </x:c>
      <x:c r="J34" s="20"/>
      <x:c r="K34" s="20"/>
      <x:c r="L34" s="20"/>
      <x:c r="M34" s="20"/>
      <x:c r="N34" s="20" t="str">
        <x:v>PEI-modified AuNC + LHRHa nanosystem</x:v>
      </x:c>
      <x:c r="O34" s="20"/>
      <x:c r="P34" s="20" t="str">
        <x:v>PEI-AuNC combined with LHRH analogue</x:v>
      </x:c>
      <x:c r="Q34" s="20"/>
      <x:c r="R34" s="20"/>
      <x:c r="S34" s="20"/>
      <x:c r="T34" s="20"/>
      <x:c r="U34" s="20" t="str">
        <x:v>Post-functionalized targeting nanosystem</x:v>
      </x:c>
      <x:c r="V34" s="20"/>
      <x:c r="W34" s="20"/>
      <x:c r="X34" s="20"/>
      <x:c r="Y34" s="20"/>
      <x:c r="Z34" s="20"/>
      <x:c r="AA34" s="20"/>
      <x:c r="AB34" s="20"/>
      <x:c r="AC34" s="20"/>
      <x:c r="AD34" s="20"/>
      <x:c r="AE34" s="20" t="str">
        <x:v>Targeted prostate-cancer FL/CT + PTT</x:v>
      </x:c>
      <x:c r="AF34" s="20" t="str">
        <x:v>Useful peptide-functionalized AuNC PTT benchmark, but not a peptide-templated atomic-nuclearity training record.</x:v>
      </x:c>
      <x:c r="AG34" s="20" t="str">
        <x:v>J. Mater. Chem. B abstract</x:v>
      </x:c>
      <x:c r="AH34" s="20" t="str">
        <x:v>https://doi.org/10.1039/D2TB00531J</x:v>
      </x:c>
      <x:c r="AI34" s="24" t="n">
        <x:f>ROUND(100*COUNTA(G34,J34,L34,R34,S34,T34,V34,X34,AA34,AC34)/10,0)</x:f>
        <x:v>10</x:v>
      </x:c>
      <x:c r="AJ34" s="20" t="str">
        <x:v>BENCHMARK_ONLY</x:v>
      </x:c>
      <x:c r="AK34" s="20" t="str">
        <x:v>INCOMPLETE_SEQUENCE</x:v>
      </x:c>
      <x:c r="AL34" s="20" t="str">
        <x:v>Need exact LHRHa identity and laser/PCE/heating data from full primary paper.</x:v>
      </x:c>
      <x:c r="AM34" s="20" t="str">
        <x:v>2026-09-07</x:v>
      </x:c>
      <x:c r="AN34" s="20" t="str">
        <x:v>WEB_PRIMARY</x:v>
      </x:c>
    </x:row>
    <x:row r="35">
      <x:c r="A35" s="20" t="str">
        <x:v>R032</x:v>
      </x:c>
      <x:c r="B35" s="20" t="str">
        <x:v>W09</x:v>
      </x:c>
      <x:c r="C35" s="20" t="str">
        <x:v>A2 DIRECT_PEPTIDE_NONPRECISE_AUNC</x:v>
      </x:c>
      <x:c r="D35" s="20" t="str">
        <x:v>DIRECT</x:v>
      </x:c>
      <x:c r="E35" s="20" t="str">
        <x:v>ultrasmall_AuNC_unknown_nuclearity</x:v>
      </x:c>
      <x:c r="F35" s="20" t="str">
        <x:v>CMMMMM peptide</x:v>
      </x:c>
      <x:c r="G35" s="20" t="str">
        <x:v>CMMMMM</x:v>
      </x:c>
      <x:c r="H35" s="20" t="str">
        <x:v>L</x:v>
      </x:c>
      <x:c r="I35" s="20" t="str">
        <x:v>None</x:v>
      </x:c>
      <x:c r="J35" s="20"/>
      <x:c r="K35" s="20"/>
      <x:c r="L35" s="20"/>
      <x:c r="M35" s="20"/>
      <x:c r="N35" s="20" t="str">
        <x:v>Peptide-coated fluorescent AuNC</x:v>
      </x:c>
      <x:c r="O35" s="20" t="str">
        <x:v>Gold precursor; exact SI protocol pending</x:v>
      </x:c>
      <x:c r="P35" s="20" t="str">
        <x:v>Screened peptide synthesis</x:v>
      </x:c>
      <x:c r="Q35" s="20"/>
      <x:c r="R35" s="20"/>
      <x:c r="S35" s="20"/>
      <x:c r="T35" s="20"/>
      <x:c r="U35" s="20" t="str">
        <x:v>Exact synthesis conditions in Supporting Information</x:v>
      </x:c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 t="str">
        <x:v>Protein/serum discrimination</x:v>
      </x:c>
      <x:c r="AF35" s="20" t="str">
        <x:v>CMMMMM-AuNC fluorescence intensity was 230% higher than CYYYYY comparator; &gt;90% fluorescence remained after 60 min UV vs &lt;30% for CYYYYY.</x:v>
      </x:c>
      <x:c r="AG35" s="20" t="str">
        <x:v>Analytical Chemistry abstract</x:v>
      </x:c>
      <x:c r="AH35" s="20" t="str">
        <x:v>https://doi.org/10.1021/acs.analchem.9b03463</x:v>
      </x:c>
      <x:c r="AI35" s="24" t="n">
        <x:f>ROUND(100*COUNTA(G35,J35,L35,R35,S35,T35,V35,X35,AA35,AC35)/10,0)</x:f>
        <x:v>10</x:v>
      </x:c>
      <x:c r="AJ35" s="20" t="str">
        <x:v>QC_HOLD</x:v>
      </x:c>
      <x:c r="AK35" s="20" t="str">
        <x:v>EXACT_FROM_PRIMARY</x:v>
      </x:c>
      <x:c r="AL35" s="20" t="str">
        <x:v>Strong sequence-effect pair, but exact synthesis variables must be extracted before training.</x:v>
      </x:c>
      <x:c r="AM35" s="20" t="str">
        <x:v>2026-09-07</x:v>
      </x:c>
      <x:c r="AN35" s="20" t="str">
        <x:v>WEB_PRIMARY</x:v>
      </x:c>
    </x:row>
    <x:row r="36">
      <x:c r="A36" s="20" t="str">
        <x:v>R033</x:v>
      </x:c>
      <x:c r="B36" s="20" t="str">
        <x:v>W09</x:v>
      </x:c>
      <x:c r="C36" s="20" t="str">
        <x:v>A2 DIRECT_PEPTIDE_NONPRECISE_AUNC</x:v>
      </x:c>
      <x:c r="D36" s="20" t="str">
        <x:v>DIRECT</x:v>
      </x:c>
      <x:c r="E36" s="20" t="str">
        <x:v>ultrasmall_AuNC_unknown_nuclearity</x:v>
      </x:c>
      <x:c r="F36" s="20" t="str">
        <x:v>CYYYYY comparator</x:v>
      </x:c>
      <x:c r="G36" s="20" t="str">
        <x:v>CYYYYY</x:v>
      </x:c>
      <x:c r="H36" s="20" t="str">
        <x:v>L</x:v>
      </x:c>
      <x:c r="I36" s="20" t="str">
        <x:v>None</x:v>
      </x:c>
      <x:c r="J36" s="20"/>
      <x:c r="K36" s="20"/>
      <x:c r="L36" s="20"/>
      <x:c r="M36" s="20"/>
      <x:c r="N36" s="20" t="str">
        <x:v>Comparator peptide-coated AuNC</x:v>
      </x:c>
      <x:c r="O36" s="20" t="str">
        <x:v>Gold precursor; exact SI protocol pending</x:v>
      </x:c>
      <x:c r="P36" s="20" t="str">
        <x:v>Comparator peptide synthesis</x:v>
      </x:c>
      <x:c r="Q36" s="20"/>
      <x:c r="R36" s="20"/>
      <x:c r="S36" s="20"/>
      <x:c r="T36" s="20"/>
      <x:c r="U36" s="20" t="str">
        <x:v>Exact synthesis conditions in Supporting Information</x:v>
      </x:c>
      <x:c r="V36" s="20"/>
      <x:c r="W36" s="20"/>
      <x:c r="X36" s="20"/>
      <x:c r="Y36" s="20"/>
      <x:c r="Z36" s="20"/>
      <x:c r="AA36" s="20"/>
      <x:c r="AB36" s="20"/>
      <x:c r="AC36" s="20"/>
      <x:c r="AD36" s="20"/>
      <x:c r="AE36" s="20" t="str">
        <x:v>Comparator for fluorescence/stability</x:v>
      </x:c>
      <x:c r="AF36" s="20" t="str">
        <x:v>Matched comparator to CMMMMM; lower fluorescence and markedly poorer UV photostability.</x:v>
      </x:c>
      <x:c r="AG36" s="20" t="str">
        <x:v>Analytical Chemistry abstract</x:v>
      </x:c>
      <x:c r="AH36" s="20" t="str">
        <x:v>https://doi.org/10.1021/acs.analchem.9b03463</x:v>
      </x:c>
      <x:c r="AI36" s="24" t="n">
        <x:f>ROUND(100*COUNTA(G36,J36,L36,R36,S36,T36,V36,X36,AA36,AC36)/10,0)</x:f>
        <x:v>10</x:v>
      </x:c>
      <x:c r="AJ36" s="20" t="str">
        <x:v>QC_HOLD</x:v>
      </x:c>
      <x:c r="AK36" s="20" t="str">
        <x:v>EXACT_FROM_PRIMARY</x:v>
      </x:c>
      <x:c r="AL36" s="20" t="str">
        <x:v>Paired comparator is highly informative once SI synthesis variables are obtained.</x:v>
      </x:c>
      <x:c r="AM36" s="20" t="str">
        <x:v>2026-09-07</x:v>
      </x:c>
      <x:c r="AN36" s="20" t="str">
        <x:v>WEB_PRIMARY</x:v>
      </x:c>
    </x:row>
    <x:row r="37">
      <x:c r="A37" s="20" t="str">
        <x:v>R034</x:v>
      </x:c>
      <x:c r="B37" s="20" t="str">
        <x:v>W17</x:v>
      </x:c>
      <x:c r="C37" s="20" t="str">
        <x:v>A2 DIRECT_PEPTIDE_NONPRECISE_AUNC</x:v>
      </x:c>
      <x:c r="D37" s="20" t="str">
        <x:v>DIRECT</x:v>
      </x:c>
      <x:c r="E37" s="20" t="str">
        <x:v>ultrasmall_AuNC_unknown_nuclearity</x:v>
      </x:c>
      <x:c r="F37" s="20" t="str">
        <x:v>Blue-YCY AuNC</x:v>
      </x:c>
      <x:c r="G37" s="20" t="str">
        <x:v>YCY</x:v>
      </x:c>
      <x:c r="H37" s="20" t="str">
        <x:v>L</x:v>
      </x:c>
      <x:c r="I37" s="20" t="str">
        <x:v>Blue fraction / supernatant</x:v>
      </x:c>
      <x:c r="J37" s="20"/>
      <x:c r="K37" s="20"/>
      <x:c r="L37" s="20" t="n">
        <x:v>1.8</x:v>
      </x:c>
      <x:c r="M37" s="20"/>
      <x:c r="N37" s="20" t="str">
        <x:v>Blue fluorescent peptide AuNC</x:v>
      </x:c>
      <x:c r="O37" s="20" t="str">
        <x:v>HAuCl4</x:v>
      </x:c>
      <x:c r="P37" s="20" t="str">
        <x:v>0.5 mL peptide 25 mM + 0.5 mL HAuCl4·3H2O 25 mM</x:v>
      </x:c>
      <x:c r="Q37" s="20" t="str">
        <x:v>Peptide-assisted alkaline thermal synthesis</x:v>
      </x:c>
      <x:c r="R37" s="20" t="n">
        <x:v>10</x:v>
      </x:c>
      <x:c r="S37" s="20" t="n">
        <x:v>70</x:v>
      </x:c>
      <x:c r="T37" s="20" t="n">
        <x:v>8.25</x:v>
      </x:c>
      <x:c r="U37" s="20" t="str">
        <x:v>Stir 15 min at 70°C; adjust pH 10 with 1 M NaOH; continue 70°C 8 h; centrifuge 16,000×g 10 min; blue product in supernatant</x:v>
      </x:c>
      <x:c r="V37" s="20" t="n">
        <x:v>415</x:v>
      </x:c>
      <x:c r="W37" s="20" t="str">
        <x:v>λex 325 / λem 415</x:v>
      </x:c>
      <x:c r="X37" s="20" t="n">
        <x:v>1.2</x:v>
      </x:c>
      <x:c r="Y37" s="20"/>
      <x:c r="Z37" s="20"/>
      <x:c r="AA37" s="20"/>
      <x:c r="AB37" s="20"/>
      <x:c r="AC37" s="20"/>
      <x:c r="AD37" s="20"/>
      <x:c r="AE37" s="20" t="str">
        <x:v>Optical/sensing platform</x:v>
      </x:c>
      <x:c r="AF37" s="20" t="str">
        <x:v>Exact same synthesis platform as SCY comparator; provides a controlled sequence comparison with Tyr-Cys-Tyr.</x:v>
      </x:c>
      <x:c r="AG37" s="20" t="str">
        <x:v>Molecules 2024 Methods + characterization</x:v>
      </x:c>
      <x:c r="AH37" s="20" t="str">
        <x:v>https://doi.org/10.3390/molecules29112416</x:v>
      </x:c>
      <x:c r="AI37" s="24" t="n">
        <x:f>ROUND(100*COUNTA(G37,J37,L37,R37,S37,T37,V37,X37,AA37,AC37)/10,0)</x:f>
        <x:v>70</x:v>
      </x:c>
      <x:c r="AJ37" s="20" t="str">
        <x:v>TRAIN_OPTICAL_SIZE</x:v>
      </x:c>
      <x:c r="AK37" s="20" t="str">
        <x:v>EXACT_FROM_PRIMARY</x:v>
      </x:c>
      <x:c r="AL37" s="20" t="str">
        <x:v>Direct same-paper sequence comparison. Group all W17 records together during validation.</x:v>
      </x:c>
      <x:c r="AM37" s="20" t="str">
        <x:v>2026-09-07</x:v>
      </x:c>
      <x:c r="AN37" s="20" t="str">
        <x:v>WEB_PRIMARY</x:v>
      </x:c>
    </x:row>
    <x:row r="38">
      <x:c r="A38" s="20" t="str">
        <x:v>R035</x:v>
      </x:c>
      <x:c r="B38" s="20" t="str">
        <x:v>W17</x:v>
      </x:c>
      <x:c r="C38" s="20" t="str">
        <x:v>A2 DIRECT_PEPTIDE_NONPRECISE_AUNC</x:v>
      </x:c>
      <x:c r="D38" s="20" t="str">
        <x:v>DIRECT</x:v>
      </x:c>
      <x:c r="E38" s="20" t="str">
        <x:v>ultrasmall_AuNC_unknown_nuclearity</x:v>
      </x:c>
      <x:c r="F38" s="20" t="str">
        <x:v>Blue-SCY AuNC</x:v>
      </x:c>
      <x:c r="G38" s="20" t="str">
        <x:v>SCY</x:v>
      </x:c>
      <x:c r="H38" s="20" t="str">
        <x:v>L</x:v>
      </x:c>
      <x:c r="I38" s="20" t="str">
        <x:v>Blue fraction / supernatant</x:v>
      </x:c>
      <x:c r="J38" s="20"/>
      <x:c r="K38" s="20"/>
      <x:c r="L38" s="20" t="n">
        <x:v>1.7</x:v>
      </x:c>
      <x:c r="M38" s="20"/>
      <x:c r="N38" s="20" t="str">
        <x:v>Blue fluorescent peptide AuNC</x:v>
      </x:c>
      <x:c r="O38" s="20" t="str">
        <x:v>HAuCl4</x:v>
      </x:c>
      <x:c r="P38" s="20" t="str">
        <x:v>0.5 mL peptide 25 mM + 0.5 mL HAuCl4·3H2O 25 mM</x:v>
      </x:c>
      <x:c r="Q38" s="20" t="str">
        <x:v>Peptide-assisted alkaline thermal synthesis</x:v>
      </x:c>
      <x:c r="R38" s="20" t="n">
        <x:v>10</x:v>
      </x:c>
      <x:c r="S38" s="20" t="n">
        <x:v>70</x:v>
      </x:c>
      <x:c r="T38" s="20" t="n">
        <x:v>8.25</x:v>
      </x:c>
      <x:c r="U38" s="20" t="str">
        <x:v>Stir 15 min at 70°C; adjust pH 10 with 1 M NaOH; continue 70°C 8 h; centrifuge 16,000×g 10 min; blue product in supernatant</x:v>
      </x:c>
      <x:c r="V38" s="20" t="n">
        <x:v>415</x:v>
      </x:c>
      <x:c r="W38" s="20" t="str">
        <x:v>λex 325 / λem 415</x:v>
      </x:c>
      <x:c r="X38" s="20" t="n">
        <x:v>1.5</x:v>
      </x:c>
      <x:c r="Y38" s="20"/>
      <x:c r="Z38" s="20"/>
      <x:c r="AA38" s="20"/>
      <x:c r="AB38" s="20"/>
      <x:c r="AC38" s="20"/>
      <x:c r="AD38" s="20"/>
      <x:c r="AE38" s="20" t="str">
        <x:v>Optical/sensing platform</x:v>
      </x:c>
      <x:c r="AF38" s="20" t="str">
        <x:v>SCY provides a matched one-residue substitution comparison against YCY under the same synthesis workflow.</x:v>
      </x:c>
      <x:c r="AG38" s="20" t="str">
        <x:v>Molecules 2024 Methods + characterization</x:v>
      </x:c>
      <x:c r="AH38" s="20" t="str">
        <x:v>https://doi.org/10.3390/molecules29112416</x:v>
      </x:c>
      <x:c r="AI38" s="24" t="n">
        <x:f>ROUND(100*COUNTA(G38,J38,L38,R38,S38,T38,V38,X38,AA38,AC38)/10,0)</x:f>
        <x:v>70</x:v>
      </x:c>
      <x:c r="AJ38" s="20" t="str">
        <x:v>TRAIN_OPTICAL_SIZE</x:v>
      </x:c>
      <x:c r="AK38" s="20" t="str">
        <x:v>EXACT_FROM_PRIMARY</x:v>
      </x:c>
      <x:c r="AL38" s="20" t="str">
        <x:v>Direct same-paper sequence comparison. Group all W17 records together during validation.</x:v>
      </x:c>
      <x:c r="AM38" s="20" t="str">
        <x:v>2026-09-07</x:v>
      </x:c>
      <x:c r="AN38" s="20" t="str">
        <x:v>WEB_PRIMARY</x:v>
      </x:c>
    </x:row>
    <x:row r="39">
      <x:c r="A39" s="20" t="str">
        <x:v>R036</x:v>
      </x:c>
      <x:c r="B39" s="20" t="str">
        <x:v>W17</x:v>
      </x:c>
      <x:c r="C39" s="20" t="str">
        <x:v>A2 DIRECT_PEPTIDE_NONPRECISE_AUNC</x:v>
      </x:c>
      <x:c r="D39" s="20" t="str">
        <x:v>DIRECT</x:v>
      </x:c>
      <x:c r="E39" s="20" t="str">
        <x:v>ultrasmall_AuNC_unknown_nuclearity</x:v>
      </x:c>
      <x:c r="F39" s="20" t="str">
        <x:v>Red-YCY AuNC</x:v>
      </x:c>
      <x:c r="G39" s="20" t="str">
        <x:v>YCY</x:v>
      </x:c>
      <x:c r="H39" s="20" t="str">
        <x:v>L</x:v>
      </x:c>
      <x:c r="I39" s="20" t="str">
        <x:v>Red fraction / precipitate; recovered with 10% acetic acid:DMSO 1:1</x:v>
      </x:c>
      <x:c r="J39" s="20"/>
      <x:c r="K39" s="20"/>
      <x:c r="L39" s="20" t="n">
        <x:v>1.8</x:v>
      </x:c>
      <x:c r="M39" s="20"/>
      <x:c r="N39" s="20" t="str">
        <x:v>Red fluorescent peptide AuNC</x:v>
      </x:c>
      <x:c r="O39" s="20" t="str">
        <x:v>HAuCl4</x:v>
      </x:c>
      <x:c r="P39" s="20" t="str">
        <x:v>0.5 mL peptide 25 mM + 0.5 mL HAuCl4·3H2O 25 mM</x:v>
      </x:c>
      <x:c r="Q39" s="20" t="str">
        <x:v>Peptide-assisted alkaline thermal synthesis</x:v>
      </x:c>
      <x:c r="R39" s="20" t="n">
        <x:v>10</x:v>
      </x:c>
      <x:c r="S39" s="20" t="n">
        <x:v>70</x:v>
      </x:c>
      <x:c r="T39" s="20" t="n">
        <x:v>8.25</x:v>
      </x:c>
      <x:c r="U39" s="20" t="str">
        <x:v>Same synthesis as Blue-YCY; red product isolated from precipitate after centrifugation and redissolved/purified</x:v>
      </x:c>
      <x:c r="V39" s="20" t="n">
        <x:v>670</x:v>
      </x:c>
      <x:c r="W39" s="20" t="str">
        <x:v>λem 670; excitation not entered pending direct verification</x:v>
      </x:c>
      <x:c r="X39" s="20" t="n">
        <x:v>0.8</x:v>
      </x:c>
      <x:c r="Y39" s="20"/>
      <x:c r="Z39" s="20"/>
      <x:c r="AA39" s="20"/>
      <x:c r="AB39" s="20"/>
      <x:c r="AC39" s="20"/>
      <x:c r="AD39" s="20"/>
      <x:c r="AE39" s="20" t="str">
        <x:v>Optical/sensing platform</x:v>
      </x:c>
      <x:c r="AF39" s="20" t="str">
        <x:v>Same YCY sequence and batch workflow yields a distinct red fraction, reinforcing the need to encode fractionation/process state in addition to sequence.</x:v>
      </x:c>
      <x:c r="AG39" s="20" t="str">
        <x:v>Molecules 2024 Methods + characterization</x:v>
      </x:c>
      <x:c r="AH39" s="20" t="str">
        <x:v>https://doi.org/10.3390/molecules29112416</x:v>
      </x:c>
      <x:c r="AI39" s="24" t="n">
        <x:f>ROUND(100*COUNTA(G39,J39,L39,R39,S39,T39,V39,X39,AA39,AC39)/10,0)</x:f>
        <x:v>70</x:v>
      </x:c>
      <x:c r="AJ39" s="20" t="str">
        <x:v>TRAIN_OPTICAL_SIZE</x:v>
      </x:c>
      <x:c r="AK39" s="20" t="str">
        <x:v>EXACT_FROM_PRIMARY</x:v>
      </x:c>
      <x:c r="AL39" s="20" t="str">
        <x:v>Do not collapse with Blue-YCY; process/fraction label is an explanatory variable.</x:v>
      </x:c>
      <x:c r="AM39" s="20" t="str">
        <x:v>2026-09-07</x:v>
      </x:c>
      <x:c r="AN39" s="20" t="str">
        <x:v>WEB_PRIMARY</x:v>
      </x:c>
    </x:row>
    <x:row r="40">
      <x:c r="A40" s="20" t="str">
        <x:v>R037</x:v>
      </x:c>
      <x:c r="B40" s="20" t="str">
        <x:v>W15</x:v>
      </x:c>
      <x:c r="C40" s="20" t="str">
        <x:v>A2 DIRECT_PEPTIDE_NONPRECISE_AUNC</x:v>
      </x:c>
      <x:c r="D40" s="20" t="str">
        <x:v>DIRECT</x:v>
      </x:c>
      <x:c r="E40" s="20" t="str">
        <x:v>ultrasmall_AuNC_unknown_nuclearity</x:v>
      </x:c>
      <x:c r="F40" s="20" t="str">
        <x:v>PKA-substrate peptide AuNC</x:v>
      </x:c>
      <x:c r="G40" s="20" t="str">
        <x:v>CCYLRRASLG</x:v>
      </x:c>
      <x:c r="H40" s="20" t="str">
        <x:v>L</x:v>
      </x:c>
      <x:c r="I40" s="20" t="str">
        <x:v>None</x:v>
      </x:c>
      <x:c r="J40" s="20"/>
      <x:c r="K40" s="20"/>
      <x:c r="L40" s="20"/>
      <x:c r="M40" s="20"/>
      <x:c r="N40" s="20" t="str">
        <x:v>Fluorescent peptide-templated AuNC</x:v>
      </x:c>
      <x:c r="O40" s="20" t="str">
        <x:v>HAuCl4</x:v>
      </x:c>
      <x:c r="P40" s="20" t="str">
        <x:v>376 µL peptide 1.06 mM + 16 µL HAuCl4 25 mM</x:v>
      </x:c>
      <x:c r="Q40" s="20" t="str">
        <x:v>Peptide self-reduction under alkaline condition</x:v>
      </x:c>
      <x:c r="R40" s="20" t="n">
        <x:v>9</x:v>
      </x:c>
      <x:c r="S40" s="20"/>
      <x:c r="T40" s="20" t="n">
        <x:v>13</x:v>
      </x:c>
      <x:c r="U40" s="20" t="str">
        <x:v>Vigorous stirring; 8 µL 0.5 M NaOH added within 30 s; sealed and kept dark 13 h; 3 kDa ultrafiltration</x:v>
      </x:c>
      <x:c r="V40" s="20"/>
      <x:c r="W40" s="20" t="str">
        <x:v>Exact excitation/emission held pending main-paper cross-check</x:v>
      </x:c>
      <x:c r="X40" s="20" t="n">
        <x:v>14.6</x:v>
      </x:c>
      <x:c r="Y40" s="20"/>
      <x:c r="Z40" s="20"/>
      <x:c r="AA40" s="20"/>
      <x:c r="AB40" s="20"/>
      <x:c r="AC40" s="20"/>
      <x:c r="AD40" s="20"/>
      <x:c r="AE40" s="20" t="str">
        <x:v>Protein kinase activity probe</x:v>
      </x:c>
      <x:c r="AF40" s="20" t="str">
        <x:v>Excellent exact sequence+synthesis+QY record from the primary Supporting Information.</x:v>
      </x:c>
      <x:c r="AG40" s="20" t="str">
        <x:v>RSC Supporting Information</x:v>
      </x:c>
      <x:c r="AH40" s="20" t="str">
        <x:v>https://doi.org/10.1039/C5CC02280K</x:v>
      </x:c>
      <x:c r="AI40" s="24" t="n">
        <x:f>ROUND(100*COUNTA(G40,J40,L40,R40,S40,T40,V40,X40,AA40,AC40)/10,0)</x:f>
        <x:v>40</x:v>
      </x:c>
      <x:c r="AJ40" s="20" t="str">
        <x:v>TRAIN_OPTICAL_QY</x:v>
      </x:c>
      <x:c r="AK40" s="20" t="str">
        <x:v>EXACT_FROM_PRIMARY_SI</x:v>
      </x:c>
      <x:c r="AL40" s="20" t="str">
        <x:v>Keep excitation/emission blank until directly reconciled because secondary sources disagree.</x:v>
      </x:c>
      <x:c r="AM40" s="20" t="str">
        <x:v>2026-09-07</x:v>
      </x:c>
      <x:c r="AN40" s="20" t="str">
        <x:v>WEB_PRIMARY+SI</x:v>
      </x:c>
    </x:row>
    <x:row r="41">
      <x:c r="A41" s="20" t="str">
        <x:v>R038</x:v>
      </x:c>
      <x:c r="B41" s="20" t="str">
        <x:v>W16</x:v>
      </x:c>
      <x:c r="C41" s="20" t="str">
        <x:v>AUXILIARY AG_DOPED_PEPTIDE_AUNC</x:v>
      </x:c>
      <x:c r="D41" s="20" t="str">
        <x:v>DIRECT</x:v>
      </x:c>
      <x:c r="E41" s="20" t="str">
        <x:v>Ag_doped_AuNC</x:v>
      </x:c>
      <x:c r="F41" s="20" t="str">
        <x:v>DCG-stabilized Ag-doped AuNC</x:v>
      </x:c>
      <x:c r="G41" s="20" t="str">
        <x:v>DCG</x:v>
      </x:c>
      <x:c r="H41" s="20" t="str">
        <x:v>L</x:v>
      </x:c>
      <x:c r="I41" s="20" t="str">
        <x:v>Asp-Cys-Gly</x:v>
      </x:c>
      <x:c r="J41" s="20"/>
      <x:c r="K41" s="20"/>
      <x:c r="L41" s="20"/>
      <x:c r="M41" s="20"/>
      <x:c r="N41" s="20" t="str">
        <x:v>Red fluorescent Ag-doped gold nanocluster</x:v>
      </x:c>
      <x:c r="O41" s="20" t="str">
        <x:v>HAuCl4 + Ag source</x:v>
      </x:c>
      <x:c r="P41" s="20" t="str">
        <x:v>Tripeptide acts as reducing/stabilizing ligand; exact full condition set pending extraction</x:v>
      </x:c>
      <x:c r="Q41" s="20" t="str">
        <x:v>Tripeptide-assisted synthesis</x:v>
      </x:c>
      <x:c r="R41" s="20"/>
      <x:c r="S41" s="20"/>
      <x:c r="T41" s="20"/>
      <x:c r="U41" s="20" t="str">
        <x:v>Primary article reports peptide-stabilized Ag-doped AuNCs</x:v>
      </x:c>
      <x:c r="V41" s="20"/>
      <x:c r="W41" s="20" t="str">
        <x:v>Red fluorescence</x:v>
      </x:c>
      <x:c r="X41" s="20" t="n">
        <x:v>18</x:v>
      </x:c>
      <x:c r="Y41" s="20"/>
      <x:c r="Z41" s="20"/>
      <x:c r="AA41" s="20"/>
      <x:c r="AB41" s="20"/>
      <x:c r="AC41" s="20"/>
      <x:c r="AD41" s="20"/>
      <x:c r="AE41" s="20" t="str">
        <x:v>Photodynamic therapy / bioimaging</x:v>
      </x:c>
      <x:c r="AF41" s="20" t="str">
        <x:v>Adjacent therapeutic nanocluster domain; QY value is review-derived and must not train the pure-Au core model.</x:v>
      </x:c>
      <x:c r="AG41" s="20" t="str">
        <x:v>Primary article + secondary QY mapping</x:v>
      </x:c>
      <x:c r="AH41" s="20" t="str">
        <x:v>https://doi.org/10.1021/acssuschemeng.2c04857</x:v>
      </x:c>
      <x:c r="AI41" s="24" t="n">
        <x:f>ROUND(100*COUNTA(G41,J41,L41,R41,S41,T41,V41,X41,AA41,AC41)/10,0)</x:f>
        <x:v>20</x:v>
      </x:c>
      <x:c r="AJ41" s="20" t="str">
        <x:v>AUXILIARY_ONLY</x:v>
      </x:c>
      <x:c r="AK41" s="20" t="str">
        <x:v>EXACT_SEQUENCE_QY_SECONDARY</x:v>
      </x:c>
      <x:c r="AL41" s="20" t="str">
        <x:v>Ag doping changes the material domain; separate model/transfer feature only.</x:v>
      </x:c>
      <x:c r="AM41" s="20" t="str">
        <x:v>2026-09-07</x:v>
      </x:c>
      <x:c r="AN41" s="20" t="str">
        <x:v>WEB_PRIMARY+SECONDARY_VALUE</x:v>
      </x:c>
    </x:row>
    <x:row r="42">
      <x:c r="A42" s="20" t="str">
        <x:v>R039</x:v>
      </x:c>
      <x:c r="B42" s="20" t="str">
        <x:v>W16</x:v>
      </x:c>
      <x:c r="C42" s="20" t="str">
        <x:v>AUXILIARY AG_DOPED_PEPTIDE_AUNC</x:v>
      </x:c>
      <x:c r="D42" s="20" t="str">
        <x:v>DIRECT</x:v>
      </x:c>
      <x:c r="E42" s="20" t="str">
        <x:v>Ag_doped_AuNC</x:v>
      </x:c>
      <x:c r="F42" s="20" t="str">
        <x:v>DCS-stabilized Ag-doped AuNC</x:v>
      </x:c>
      <x:c r="G42" s="20" t="str">
        <x:v>DCS</x:v>
      </x:c>
      <x:c r="H42" s="20" t="str">
        <x:v>L</x:v>
      </x:c>
      <x:c r="I42" s="20" t="str">
        <x:v>Asp-Cys-Ser</x:v>
      </x:c>
      <x:c r="J42" s="20"/>
      <x:c r="K42" s="20"/>
      <x:c r="L42" s="20"/>
      <x:c r="M42" s="20"/>
      <x:c r="N42" s="20" t="str">
        <x:v>Red fluorescent Ag-doped gold nanocluster</x:v>
      </x:c>
      <x:c r="O42" s="20" t="str">
        <x:v>HAuCl4 + Ag source</x:v>
      </x:c>
      <x:c r="P42" s="20" t="str">
        <x:v>Tripeptide acts as reducing/stabilizing ligand; exact full condition set pending extraction</x:v>
      </x:c>
      <x:c r="Q42" s="20" t="str">
        <x:v>Tripeptide-assisted synthesis</x:v>
      </x:c>
      <x:c r="R42" s="20"/>
      <x:c r="S42" s="20"/>
      <x:c r="T42" s="20"/>
      <x:c r="U42" s="20" t="str">
        <x:v>Primary article reports peptide-stabilized Ag-doped AuNCs</x:v>
      </x:c>
      <x:c r="V42" s="20"/>
      <x:c r="W42" s="20" t="str">
        <x:v>Red fluorescence</x:v>
      </x:c>
      <x:c r="X42" s="20" t="n">
        <x:v>16</x:v>
      </x:c>
      <x:c r="Y42" s="20"/>
      <x:c r="Z42" s="20"/>
      <x:c r="AA42" s="20"/>
      <x:c r="AB42" s="20"/>
      <x:c r="AC42" s="20"/>
      <x:c r="AD42" s="20"/>
      <x:c r="AE42" s="20" t="str">
        <x:v>Photodynamic therapy / bioimaging</x:v>
      </x:c>
      <x:c r="AF42" s="20" t="str">
        <x:v>Matched DCG/DCS sequence comparison, but in an Ag-doped AuNC domain and PDT rather than PTT.</x:v>
      </x:c>
      <x:c r="AG42" s="20" t="str">
        <x:v>Primary article + secondary QY mapping</x:v>
      </x:c>
      <x:c r="AH42" s="20" t="str">
        <x:v>https://doi.org/10.1021/acssuschemeng.2c04857</x:v>
      </x:c>
      <x:c r="AI42" s="24" t="n">
        <x:f>ROUND(100*COUNTA(G42,J42,L42,R42,S42,T42,V42,X42,AA42,AC42)/10,0)</x:f>
        <x:v>20</x:v>
      </x:c>
      <x:c r="AJ42" s="20" t="str">
        <x:v>AUXILIARY_ONLY</x:v>
      </x:c>
      <x:c r="AK42" s="20" t="str">
        <x:v>EXACT_SEQUENCE_QY_SECONDARY</x:v>
      </x:c>
      <x:c r="AL42" s="20" t="str">
        <x:v>Do not mix with pure peptide-AuNC targets.</x:v>
      </x:c>
      <x:c r="AM42" s="20" t="str">
        <x:v>2026-09-07</x:v>
      </x:c>
      <x:c r="AN42" s="20" t="str">
        <x:v>WEB_PRIMARY+SECONDARY_VALUE</x:v>
      </x:c>
    </x:row>
    <x:row r="43">
      <x:c r="A43" s="20" t="str">
        <x:v>R040</x:v>
      </x:c>
      <x:c r="B43" s="20" t="str">
        <x:v>W10</x:v>
      </x:c>
      <x:c r="C43" s="20" t="str">
        <x:v>A2 DIRECT_PEPTIDE_NONPRECISE_AUNC</x:v>
      </x:c>
      <x:c r="D43" s="20" t="str">
        <x:v>DIRECT</x:v>
      </x:c>
      <x:c r="E43" s="20" t="str">
        <x:v>ultrasmall_AuNC_unknown_nuclearity</x:v>
      </x:c>
      <x:c r="F43" s="20" t="str">
        <x:v>Motif-panel peptide 1</x:v>
      </x:c>
      <x:c r="G43" s="20" t="str">
        <x:v>KFFAAKCCYKFFAAKCCYKFFAAK</x:v>
      </x:c>
      <x:c r="H43" s="20" t="str">
        <x:v>L</x:v>
      </x:c>
      <x:c r="I43" s="20" t="str">
        <x:v>Repeated KFFAAK/CCY architecture</x:v>
      </x:c>
      <x:c r="J43" s="20"/>
      <x:c r="K43" s="20"/>
      <x:c r="L43" s="20"/>
      <x:c r="M43" s="20"/>
      <x:c r="N43" s="20" t="str">
        <x:v>Peptide-coupled AuNC panel</x:v>
      </x:c>
      <x:c r="O43" s="20" t="str">
        <x:v>Gold precursor</x:v>
      </x:c>
      <x:c r="P43" s="20" t="str">
        <x:v>Exact per-sequence condition/outcome mapping pending full-text extraction</x:v>
      </x:c>
      <x:c r="Q43" s="20" t="str">
        <x:v>Peptide motif-coupled one-step synthesis</x:v>
      </x:c>
      <x:c r="R43" s="20"/>
      <x:c r="S43" s="20"/>
      <x:c r="T43" s="20"/>
      <x:c r="U43" s="20" t="str">
        <x:v>Seven-sequence motif library; per-sequence quantitative outcomes pending</x:v>
      </x:c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 t="str">
        <x:v>Sequence-motif study</x:v>
      </x:c>
      <x:c r="AF43" s="20" t="str">
        <x:v>One of seven exact sequences designed to study how CCY and KFFAAK motif identity/order change AuNC optical behavior.</x:v>
      </x:c>
      <x:c r="AG43" s="20" t="str">
        <x:v>Colloids Surf B 2022 abstract/indexed sequence data</x:v>
      </x:c>
      <x:c r="AH43" s="20" t="str">
        <x:v>https://doi.org/10.1016/j.colsurfb.2022.112820</x:v>
      </x:c>
      <x:c r="AI43" s="24" t="n">
        <x:f>ROUND(100*COUNTA(G43,J43,L43,R43,S43,T43,V43,X43,AA43,AC43)/10,0)</x:f>
        <x:v>10</x:v>
      </x:c>
      <x:c r="AJ43" s="20" t="str">
        <x:v>QC_HOLD_PANEL</x:v>
      </x:c>
      <x:c r="AK43" s="20" t="str">
        <x:v>EXACT_SEQUENCE</x:v>
      </x:c>
      <x:c r="AL43" s="20" t="str">
        <x:v>No numeric target populated until full paper/SI maps outcome to this sequence.</x:v>
      </x:c>
      <x:c r="AM43" s="20" t="str">
        <x:v>2026-09-07</x:v>
      </x:c>
      <x:c r="AN43" s="20" t="str">
        <x:v>WEB_PRIMARY_INDEXED</x:v>
      </x:c>
    </x:row>
    <x:row r="44">
      <x:c r="A44" s="20" t="str">
        <x:v>R041</x:v>
      </x:c>
      <x:c r="B44" s="20" t="str">
        <x:v>W10</x:v>
      </x:c>
      <x:c r="C44" s="20" t="str">
        <x:v>A2 DIRECT_PEPTIDE_NONPRECISE_AUNC</x:v>
      </x:c>
      <x:c r="D44" s="20" t="str">
        <x:v>DIRECT</x:v>
      </x:c>
      <x:c r="E44" s="20" t="str">
        <x:v>ultrasmall_AuNC_unknown_nuclearity</x:v>
      </x:c>
      <x:c r="F44" s="20" t="str">
        <x:v>Motif-panel peptide 2</x:v>
      </x:c>
      <x:c r="G44" s="20" t="str">
        <x:v>CCY</x:v>
      </x:c>
      <x:c r="H44" s="20" t="str">
        <x:v>L</x:v>
      </x:c>
      <x:c r="I44" s="20" t="str">
        <x:v>Minimal CCY motif</x:v>
      </x:c>
      <x:c r="J44" s="20"/>
      <x:c r="K44" s="20"/>
      <x:c r="L44" s="20"/>
      <x:c r="M44" s="20"/>
      <x:c r="N44" s="20" t="str">
        <x:v>Peptide-coupled AuNC panel</x:v>
      </x:c>
      <x:c r="O44" s="20" t="str">
        <x:v>Gold precursor</x:v>
      </x:c>
      <x:c r="P44" s="20" t="str">
        <x:v>Per-sequence quantitative condition/outcome pending</x:v>
      </x:c>
      <x:c r="Q44" s="20" t="str">
        <x:v>Peptide motif-coupled one-step synthesis</x:v>
      </x:c>
      <x:c r="R44" s="20"/>
      <x:c r="S44" s="20"/>
      <x:c r="T44" s="20"/>
      <x:c r="U44" s="20" t="str">
        <x:v>Seven-sequence motif library</x:v>
      </x:c>
      <x:c r="V44" s="20"/>
      <x:c r="W44" s="20"/>
      <x:c r="X44" s="20"/>
      <x:c r="Y44" s="20"/>
      <x:c r="Z44" s="20"/>
      <x:c r="AA44" s="20"/>
      <x:c r="AB44" s="20"/>
      <x:c r="AC44" s="20"/>
      <x:c r="AD44" s="20"/>
      <x:c r="AE44" s="20" t="str">
        <x:v>Sequence-motif study</x:v>
      </x:c>
      <x:c r="AF44" s="20" t="str">
        <x:v>Minimal Cys-Cys-Tyr mineralization/reduction motif in the controlled sequence panel.</x:v>
      </x:c>
      <x:c r="AG44" s="20" t="str">
        <x:v>Colloids Surf B 2022 indexed sequence data</x:v>
      </x:c>
      <x:c r="AH44" s="20" t="str">
        <x:v>https://doi.org/10.1016/j.colsurfb.2022.112820</x:v>
      </x:c>
      <x:c r="AI44" s="24" t="n">
        <x:f>ROUND(100*COUNTA(G44,J44,L44,R44,S44,T44,V44,X44,AA44,AC44)/10,0)</x:f>
        <x:v>10</x:v>
      </x:c>
      <x:c r="AJ44" s="20" t="str">
        <x:v>QC_HOLD_PANEL</x:v>
      </x:c>
      <x:c r="AK44" s="20" t="str">
        <x:v>EXACT_SEQUENCE</x:v>
      </x:c>
      <x:c r="AL44" s="20" t="str">
        <x:v>Potentially critical minimal motif/control; await full outcome mapping.</x:v>
      </x:c>
      <x:c r="AM44" s="20" t="str">
        <x:v>2026-09-07</x:v>
      </x:c>
      <x:c r="AN44" s="20" t="str">
        <x:v>WEB_PRIMARY_INDEXED</x:v>
      </x:c>
    </x:row>
    <x:row r="45">
      <x:c r="A45" s="20" t="str">
        <x:v>R042</x:v>
      </x:c>
      <x:c r="B45" s="20" t="str">
        <x:v>W10</x:v>
      </x:c>
      <x:c r="C45" s="20" t="str">
        <x:v>A2 DIRECT_PEPTIDE_NONPRECISE_AUNC</x:v>
      </x:c>
      <x:c r="D45" s="20" t="str">
        <x:v>DIRECT</x:v>
      </x:c>
      <x:c r="E45" s="20" t="str">
        <x:v>ultrasmall_AuNC_unknown_nuclearity</x:v>
      </x:c>
      <x:c r="F45" s="20" t="str">
        <x:v>Motif-panel peptide 3</x:v>
      </x:c>
      <x:c r="G45" s="20" t="str">
        <x:v>KFFAAK</x:v>
      </x:c>
      <x:c r="H45" s="20" t="str">
        <x:v>L</x:v>
      </x:c>
      <x:c r="I45" s="20" t="str">
        <x:v>Self-assembly motif control</x:v>
      </x:c>
      <x:c r="J45" s="20"/>
      <x:c r="K45" s="20"/>
      <x:c r="L45" s="20"/>
      <x:c r="M45" s="20"/>
      <x:c r="N45" s="20" t="str">
        <x:v>Peptide-coupled AuNC panel</x:v>
      </x:c>
      <x:c r="O45" s="20" t="str">
        <x:v>Gold precursor</x:v>
      </x:c>
      <x:c r="P45" s="20" t="str">
        <x:v>Per-sequence quantitative condition/outcome pending</x:v>
      </x:c>
      <x:c r="Q45" s="20" t="str">
        <x:v>Peptide motif-coupled one-step synthesis</x:v>
      </x:c>
      <x:c r="R45" s="20"/>
      <x:c r="S45" s="20"/>
      <x:c r="T45" s="20"/>
      <x:c r="U45" s="20" t="str">
        <x:v>Seven-sequence motif library</x:v>
      </x:c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 t="str">
        <x:v>Sequence-motif study</x:v>
      </x:c>
      <x:c r="AF45" s="20" t="str">
        <x:v>KFFAAK-only control is especially valuable for learning the absence of the CCY gold-binding/reducing motif.</x:v>
      </x:c>
      <x:c r="AG45" s="20" t="str">
        <x:v>Colloids Surf B 2022 indexed sequence data</x:v>
      </x:c>
      <x:c r="AH45" s="20" t="str">
        <x:v>https://doi.org/10.1016/j.colsurfb.2022.112820</x:v>
      </x:c>
      <x:c r="AI45" s="24" t="n">
        <x:f>ROUND(100*COUNTA(G45,J45,L45,R45,S45,T45,V45,X45,AA45,AC45)/10,0)</x:f>
        <x:v>10</x:v>
      </x:c>
      <x:c r="AJ45" s="20" t="str">
        <x:v>QC_HOLD_PANEL</x:v>
      </x:c>
      <x:c r="AK45" s="20" t="str">
        <x:v>EXACT_SEQUENCE</x:v>
      </x:c>
      <x:c r="AL45" s="20" t="str">
        <x:v>May become a useful negative/control record only after the primary outcome is verified.</x:v>
      </x:c>
      <x:c r="AM45" s="20" t="str">
        <x:v>2026-09-07</x:v>
      </x:c>
      <x:c r="AN45" s="20" t="str">
        <x:v>WEB_PRIMARY_INDEXED</x:v>
      </x:c>
    </x:row>
    <x:row r="46">
      <x:c r="A46" s="20" t="str">
        <x:v>R043</x:v>
      </x:c>
      <x:c r="B46" s="20" t="str">
        <x:v>W10</x:v>
      </x:c>
      <x:c r="C46" s="20" t="str">
        <x:v>A2 DIRECT_PEPTIDE_NONPRECISE_AUNC</x:v>
      </x:c>
      <x:c r="D46" s="20" t="str">
        <x:v>DIRECT</x:v>
      </x:c>
      <x:c r="E46" s="20" t="str">
        <x:v>ultrasmall_AuNC_unknown_nuclearity</x:v>
      </x:c>
      <x:c r="F46" s="20" t="str">
        <x:v>Motif-panel peptide 4</x:v>
      </x:c>
      <x:c r="G46" s="20" t="str">
        <x:v>CCYKFFAAKKFFAAK</x:v>
      </x:c>
      <x:c r="H46" s="20" t="str">
        <x:v>L</x:v>
      </x:c>
      <x:c r="I46" s="20" t="str">
        <x:v>CCY followed by tandem KFFAAK-like architecture</x:v>
      </x:c>
      <x:c r="J46" s="20"/>
      <x:c r="K46" s="20"/>
      <x:c r="L46" s="20"/>
      <x:c r="M46" s="20"/>
      <x:c r="N46" s="20" t="str">
        <x:v>Peptide-coupled AuNC panel</x:v>
      </x:c>
      <x:c r="O46" s="20" t="str">
        <x:v>Gold precursor</x:v>
      </x:c>
      <x:c r="P46" s="20" t="str">
        <x:v>Per-sequence quantitative condition/outcome pending</x:v>
      </x:c>
      <x:c r="Q46" s="20" t="str">
        <x:v>Peptide motif-coupled one-step synthesis</x:v>
      </x:c>
      <x:c r="R46" s="20"/>
      <x:c r="S46" s="20"/>
      <x:c r="T46" s="20"/>
      <x:c r="U46" s="20" t="str">
        <x:v>Seven-sequence motif library</x:v>
      </x:c>
      <x:c r="V46" s="20"/>
      <x:c r="W46" s="20"/>
      <x:c r="X46" s="20"/>
      <x:c r="Y46" s="20"/>
      <x:c r="Z46" s="20"/>
      <x:c r="AA46" s="20"/>
      <x:c r="AB46" s="20"/>
      <x:c r="AC46" s="20"/>
      <x:c r="AD46" s="20"/>
      <x:c r="AE46" s="20" t="str">
        <x:v>Sequence-motif study</x:v>
      </x:c>
      <x:c r="AF46" s="20" t="str">
        <x:v>Exact motif permutation for position-sensitive feature engineering.</x:v>
      </x:c>
      <x:c r="AG46" s="20" t="str">
        <x:v>Colloids Surf B 2022 indexed sequence data</x:v>
      </x:c>
      <x:c r="AH46" s="20" t="str">
        <x:v>https://doi.org/10.1016/j.colsurfb.2022.112820</x:v>
      </x:c>
      <x:c r="AI46" s="24" t="n">
        <x:f>ROUND(100*COUNTA(G46,J46,L46,R46,S46,T46,V46,X46,AA46,AC46)/10,0)</x:f>
        <x:v>10</x:v>
      </x:c>
      <x:c r="AJ46" s="20" t="str">
        <x:v>QC_HOLD_PANEL</x:v>
      </x:c>
      <x:c r="AK46" s="20" t="str">
        <x:v>EXACT_SEQUENCE</x:v>
      </x:c>
      <x:c r="AL46" s="20" t="str">
        <x:v>Await full outcome mapping.</x:v>
      </x:c>
      <x:c r="AM46" s="20" t="str">
        <x:v>2026-09-07</x:v>
      </x:c>
      <x:c r="AN46" s="20" t="str">
        <x:v>WEB_PRIMARY_INDEXED</x:v>
      </x:c>
    </x:row>
    <x:row r="47">
      <x:c r="A47" s="20" t="str">
        <x:v>R044</x:v>
      </x:c>
      <x:c r="B47" s="20" t="str">
        <x:v>W10</x:v>
      </x:c>
      <x:c r="C47" s="20" t="str">
        <x:v>A2 DIRECT_PEPTIDE_NONPRECISE_AUNC</x:v>
      </x:c>
      <x:c r="D47" s="20" t="str">
        <x:v>DIRECT</x:v>
      </x:c>
      <x:c r="E47" s="20" t="str">
        <x:v>ultrasmall_AuNC_unknown_nuclearity</x:v>
      </x:c>
      <x:c r="F47" s="20" t="str">
        <x:v>Motif-panel peptide 5</x:v>
      </x:c>
      <x:c r="G47" s="20" t="str">
        <x:v>KFFAAKCCYKFFAAK</x:v>
      </x:c>
      <x:c r="H47" s="20" t="str">
        <x:v>L</x:v>
      </x:c>
      <x:c r="I47" s="20" t="str">
        <x:v>Interleaved KFFAAK-CCY-KFFAAK</x:v>
      </x:c>
      <x:c r="J47" s="20"/>
      <x:c r="K47" s="20"/>
      <x:c r="L47" s="20"/>
      <x:c r="M47" s="20"/>
      <x:c r="N47" s="20" t="str">
        <x:v>Peptide-coupled AuNC panel</x:v>
      </x:c>
      <x:c r="O47" s="20" t="str">
        <x:v>Gold precursor</x:v>
      </x:c>
      <x:c r="P47" s="20" t="str">
        <x:v>Per-sequence quantitative condition/outcome pending</x:v>
      </x:c>
      <x:c r="Q47" s="20" t="str">
        <x:v>Peptide motif-coupled one-step synthesis</x:v>
      </x:c>
      <x:c r="R47" s="20"/>
      <x:c r="S47" s="20"/>
      <x:c r="T47" s="20"/>
      <x:c r="U47" s="20" t="str">
        <x:v>Seven-sequence motif library</x:v>
      </x:c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 t="str">
        <x:v>Sequence-motif study</x:v>
      </x:c>
      <x:c r="AF47" s="20" t="str">
        <x:v>Exact motif-position variant suitable for spacing/order descriptors once outcomes are recovered.</x:v>
      </x:c>
      <x:c r="AG47" s="20" t="str">
        <x:v>Colloids Surf B 2022 indexed sequence data</x:v>
      </x:c>
      <x:c r="AH47" s="20" t="str">
        <x:v>https://doi.org/10.1016/j.colsurfb.2022.112820</x:v>
      </x:c>
      <x:c r="AI47" s="24" t="n">
        <x:f>ROUND(100*COUNTA(G47,J47,L47,R47,S47,T47,V47,X47,AA47,AC47)/10,0)</x:f>
        <x:v>10</x:v>
      </x:c>
      <x:c r="AJ47" s="20" t="str">
        <x:v>QC_HOLD_PANEL</x:v>
      </x:c>
      <x:c r="AK47" s="20" t="str">
        <x:v>EXACT_SEQUENCE</x:v>
      </x:c>
      <x:c r="AL47" s="20" t="str">
        <x:v>Await full outcome mapping.</x:v>
      </x:c>
      <x:c r="AM47" s="20" t="str">
        <x:v>2026-09-07</x:v>
      </x:c>
      <x:c r="AN47" s="20" t="str">
        <x:v>WEB_PRIMARY_INDEXED</x:v>
      </x:c>
    </x:row>
    <x:row r="48">
      <x:c r="A48" s="20" t="str">
        <x:v>R045</x:v>
      </x:c>
      <x:c r="B48" s="20" t="str">
        <x:v>W10</x:v>
      </x:c>
      <x:c r="C48" s="20" t="str">
        <x:v>A2 DIRECT_PEPTIDE_NONPRECISE_AUNC</x:v>
      </x:c>
      <x:c r="D48" s="20" t="str">
        <x:v>DIRECT</x:v>
      </x:c>
      <x:c r="E48" s="20" t="str">
        <x:v>ultrasmall_AuNC_unknown_nuclearity</x:v>
      </x:c>
      <x:c r="F48" s="20" t="str">
        <x:v>Motif-panel peptide 6</x:v>
      </x:c>
      <x:c r="G48" s="20" t="str">
        <x:v>CCYKFFAAKYCC</x:v>
      </x:c>
      <x:c r="H48" s="20" t="str">
        <x:v>L</x:v>
      </x:c>
      <x:c r="I48" s="20" t="str">
        <x:v>CCY + KFFAAK + YCC</x:v>
      </x:c>
      <x:c r="J48" s="20"/>
      <x:c r="K48" s="20"/>
      <x:c r="L48" s="20"/>
      <x:c r="M48" s="20"/>
      <x:c r="N48" s="20" t="str">
        <x:v>Peptide-coupled AuNC panel</x:v>
      </x:c>
      <x:c r="O48" s="20" t="str">
        <x:v>Gold precursor</x:v>
      </x:c>
      <x:c r="P48" s="20" t="str">
        <x:v>Per-sequence quantitative condition/outcome pending</x:v>
      </x:c>
      <x:c r="Q48" s="20" t="str">
        <x:v>Peptide motif-coupled one-step synthesis</x:v>
      </x:c>
      <x:c r="R48" s="20"/>
      <x:c r="S48" s="20"/>
      <x:c r="T48" s="20"/>
      <x:c r="U48" s="20" t="str">
        <x:v>Seven-sequence motif library</x:v>
      </x:c>
      <x:c r="V48" s="20"/>
      <x:c r="W48" s="20"/>
      <x:c r="X48" s="20"/>
      <x:c r="Y48" s="20"/>
      <x:c r="Z48" s="20"/>
      <x:c r="AA48" s="20"/>
      <x:c r="AB48" s="20"/>
      <x:c r="AC48" s="20"/>
      <x:c r="AD48" s="20"/>
      <x:c r="AE48" s="20" t="str">
        <x:v>Sequence-motif study</x:v>
      </x:c>
      <x:c r="AF48" s="20" t="str">
        <x:v>Two Cys-rich termini and altered Tyr/Cys positioning make this high-value for positional descriptor design.</x:v>
      </x:c>
      <x:c r="AG48" s="20" t="str">
        <x:v>Colloids Surf B 2022 indexed sequence data</x:v>
      </x:c>
      <x:c r="AH48" s="20" t="str">
        <x:v>https://doi.org/10.1016/j.colsurfb.2022.112820</x:v>
      </x:c>
      <x:c r="AI48" s="24" t="n">
        <x:f>ROUND(100*COUNTA(G48,J48,L48,R48,S48,T48,V48,X48,AA48,AC48)/10,0)</x:f>
        <x:v>10</x:v>
      </x:c>
      <x:c r="AJ48" s="20" t="str">
        <x:v>QC_HOLD_PANEL</x:v>
      </x:c>
      <x:c r="AK48" s="20" t="str">
        <x:v>EXACT_SEQUENCE</x:v>
      </x:c>
      <x:c r="AL48" s="20" t="str">
        <x:v>Await full outcome mapping.</x:v>
      </x:c>
      <x:c r="AM48" s="20" t="str">
        <x:v>2026-09-07</x:v>
      </x:c>
      <x:c r="AN48" s="20" t="str">
        <x:v>WEB_PRIMARY_INDEXED</x:v>
      </x:c>
    </x:row>
    <x:row r="49">
      <x:c r="A49" s="20" t="str">
        <x:v>R046</x:v>
      </x:c>
      <x:c r="B49" s="20" t="str">
        <x:v>W10</x:v>
      </x:c>
      <x:c r="C49" s="20" t="str">
        <x:v>A2 DIRECT_PEPTIDE_NONPRECISE_AUNC</x:v>
      </x:c>
      <x:c r="D49" s="20" t="str">
        <x:v>DIRECT</x:v>
      </x:c>
      <x:c r="E49" s="20" t="str">
        <x:v>ultrasmall_AuNC_unknown_nuclearity</x:v>
      </x:c>
      <x:c r="F49" s="20" t="str">
        <x:v>Motif-panel peptide 7</x:v>
      </x:c>
      <x:c r="G49" s="20" t="str">
        <x:v>CCYKFFAAK</x:v>
      </x:c>
      <x:c r="H49" s="20" t="str">
        <x:v>L</x:v>
      </x:c>
      <x:c r="I49" s="20" t="str">
        <x:v>Minimal combined CCY + KFFAAK motif</x:v>
      </x:c>
      <x:c r="J49" s="20"/>
      <x:c r="K49" s="20"/>
      <x:c r="L49" s="20"/>
      <x:c r="M49" s="20"/>
      <x:c r="N49" s="20" t="str">
        <x:v>Peptide-coupled AuNC panel</x:v>
      </x:c>
      <x:c r="O49" s="20" t="str">
        <x:v>Gold precursor</x:v>
      </x:c>
      <x:c r="P49" s="20" t="str">
        <x:v>Per-sequence quantitative condition/outcome pending</x:v>
      </x:c>
      <x:c r="Q49" s="20" t="str">
        <x:v>Peptide motif-coupled one-step synthesis</x:v>
      </x:c>
      <x:c r="R49" s="20"/>
      <x:c r="S49" s="20"/>
      <x:c r="T49" s="20"/>
      <x:c r="U49" s="20" t="str">
        <x:v>Seven-sequence motif library</x:v>
      </x:c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 t="str">
        <x:v>Sequence-motif study</x:v>
      </x:c>
      <x:c r="AF49" s="20" t="str">
        <x:v>Compact combined motif candidate; useful for sequence-length and motif-order comparisons.</x:v>
      </x:c>
      <x:c r="AG49" s="20" t="str">
        <x:v>Colloids Surf B 2022 indexed sequence data</x:v>
      </x:c>
      <x:c r="AH49" s="20" t="str">
        <x:v>https://doi.org/10.1016/j.colsurfb.2022.112820</x:v>
      </x:c>
      <x:c r="AI49" s="24" t="n">
        <x:f>ROUND(100*COUNTA(G49,J49,L49,R49,S49,T49,V49,X49,AA49,AC49)/10,0)</x:f>
        <x:v>10</x:v>
      </x:c>
      <x:c r="AJ49" s="20" t="str">
        <x:v>QC_HOLD_PANEL</x:v>
      </x:c>
      <x:c r="AK49" s="20" t="str">
        <x:v>EXACT_SEQUENCE</x:v>
      </x:c>
      <x:c r="AL49" s="20" t="str">
        <x:v>Await full outcome mapping.</x:v>
      </x:c>
      <x:c r="AM49" s="20" t="str">
        <x:v>2026-09-07</x:v>
      </x:c>
      <x:c r="AN49" s="20" t="str">
        <x:v>WEB_PRIMARY_INDEXED</x:v>
      </x:c>
    </x:row>
  </x:sheetData>
  <x:conditionalFormatting sqref="AI4:AI49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AJ4:AJ49">
    <x:cfRule type="expression" dxfId="6" priority="2">
      <x:formula>LEFT(AJ4,5)="TRAIN"</x:formula>
    </x:cfRule>
    <x:cfRule type="expression" dxfId="7" priority="3">
      <x:formula>LEFT(AJ4,7)="QC_HOLD"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48f6c76b51416d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8" hidden="0" customWidth="1"/>
    <x:col min="4" max="4" width="26" hidden="0" customWidth="1"/>
    <x:col min="5" max="5" width="24" hidden="0" customWidth="1"/>
    <x:col min="6" max="6" width="14" hidden="0" customWidth="1"/>
    <x:col min="7" max="7" width="13" hidden="0" customWidth="1"/>
    <x:col min="8" max="8" width="9" hidden="0" customWidth="1"/>
    <x:col min="9" max="9" width="10" hidden="0" customWidth="1"/>
    <x:col min="10" max="10" width="10" hidden="0" customWidth="1"/>
    <x:col min="11" max="11" width="13" hidden="0" customWidth="1"/>
    <x:col min="12" max="12" width="12" hidden="0" customWidth="1"/>
    <x:col min="13" max="13" width="16" hidden="0" customWidth="1"/>
    <x:col min="14" max="14" width="28" hidden="0" customWidth="1"/>
    <x:col min="15" max="15" width="28" hidden="0" customWidth="1"/>
    <x:col min="16" max="16" width="60" hidden="0" customWidth="1"/>
    <x:col min="17" max="17" width="20" hidden="0" customWidth="1"/>
    <x:col min="18" max="18" width="34" hidden="0" customWidth="1"/>
  </x:cols>
  <x:sheetData>
    <x:row r="1" ht="30" customHeight="1">
      <x:c r="A1" s="39" t="str">
        <x:v>PepAuDB v0.3 — Leakage-Safe Exploratory Training View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</x:row>
    <x:row r="2" ht="19" customHeight="1"/>
    <x:row r="3" ht="34" customHeight="1">
      <x:c r="A3" s="44" t="str">
        <x:v>Record_ID</x:v>
      </x:c>
      <x:c r="B3" s="44" t="str">
        <x:v>Source_ID</x:v>
      </x:c>
      <x:c r="C3" s="44" t="str">
        <x:v>Sequence</x:v>
      </x:c>
      <x:c r="D3" s="44" t="str">
        <x:v>Material_Regime</x:v>
      </x:c>
      <x:c r="E3" s="44" t="str">
        <x:v>Eligibility</x:v>
      </x:c>
      <x:c r="F3" s="44" t="str">
        <x:v>Au_Nuclearity</x:v>
      </x:c>
      <x:c r="G3" s="44" t="str">
        <x:v>Core_Size_nm</x:v>
      </x:c>
      <x:c r="H3" s="44" t="str">
        <x:v>pH</x:v>
      </x:c>
      <x:c r="I3" s="44" t="str">
        <x:v>Temp_C</x:v>
      </x:c>
      <x:c r="J3" s="44" t="str">
        <x:v>Time_h</x:v>
      </x:c>
      <x:c r="K3" s="44" t="str">
        <x:v>Emission_nm</x:v>
      </x:c>
      <x:c r="L3" s="44" t="str">
        <x:v>PLQY_pct</x:v>
      </x:c>
      <x:c r="M3" s="44" t="str">
        <x:v>Paper_Group</x:v>
      </x:c>
      <x:c r="N3" s="44" t="str">
        <x:v>Sequence_Cluster</x:v>
      </x:c>
      <x:c r="O3" s="44" t="str">
        <x:v>Use_for_Targets</x:v>
      </x:c>
      <x:c r="P3" s="44" t="str">
        <x:v>Critical_Validation_Note</x:v>
      </x:c>
      <x:c r="Q3" s="44" t="str">
        <x:v>Metal_Composition</x:v>
      </x:c>
      <x:c r="R3" s="44" t="str">
        <x:v>Product_Process_State</x:v>
      </x:c>
    </x:row>
    <x:row r="4" ht="19" customHeight="1">
      <x:c r="A4" s="20" t="str">
        <x:v>R015</x:v>
      </x:c>
      <x:c r="B4" s="20" t="str">
        <x:v>S10</x:v>
      </x:c>
      <x:c r="C4" s="20" t="str">
        <x:v>γ-ECG</x:v>
      </x:c>
      <x:c r="D4" s="20" t="str">
        <x:v>atomically_precise_AuNC</x:v>
      </x:c>
      <x:c r="E4" s="20" t="str">
        <x:v>TRAIN_CORE</x:v>
      </x:c>
      <x:c r="F4" s="20" t="n">
        <x:v>22</x:v>
      </x:c>
      <x:c r="G4" s="20" t="n">
        <x:v>1.5</x:v>
      </x:c>
      <x:c r="H4" s="20" t="n">
        <x:v>12</x:v>
      </x:c>
      <x:c r="I4" s="20" t="n">
        <x:v>25</x:v>
      </x:c>
      <x:c r="J4" s="20" t="n">
        <x:v>8.5</x:v>
      </x:c>
      <x:c r="K4" s="20" t="n">
        <x:v>925</x:v>
      </x:c>
      <x:c r="L4" s="20" t="n">
        <x:v>0.16</x:v>
      </x:c>
      <x:c r="M4" s="20" t="str">
        <x:v>S10</x:v>
      </x:c>
      <x:c r="N4" s="20" t="str">
        <x:v>GSH_ATOMIC_FAMILY</x:v>
      </x:c>
      <x:c r="O4" s="20" t="str">
        <x:v>nuclearity,size,emission,QY</x:v>
      </x:c>
      <x:c r="P4" s="20" t="str">
        <x:v>Same paper/family as R016; never split across train/test.</x:v>
      </x:c>
      <x:c r="Q4" s="20" t="str">
        <x:v>pure_Au</x:v>
      </x:c>
      <x:c r="R4" s="20" t="str">
        <x:v>standard_atomic_product</x:v>
      </x:c>
    </x:row>
    <x:row r="5" ht="19" customHeight="1">
      <x:c r="A5" s="20" t="str">
        <x:v>R016</x:v>
      </x:c>
      <x:c r="B5" s="20" t="str">
        <x:v>S10</x:v>
      </x:c>
      <x:c r="C5" s="20" t="str">
        <x:v>γ-ECG</x:v>
      </x:c>
      <x:c r="D5" s="20" t="str">
        <x:v>atomically_precise_AuNC</x:v>
      </x:c>
      <x:c r="E5" s="20" t="str">
        <x:v>TRAIN_CORE</x:v>
      </x:c>
      <x:c r="F5" s="20" t="n">
        <x:v>21</x:v>
      </x:c>
      <x:c r="G5" s="20" t="n">
        <x:v>1.5</x:v>
      </x:c>
      <x:c r="H5" s="20" t="n">
        <x:v>12</x:v>
      </x:c>
      <x:c r="I5" s="20" t="n">
        <x:v>25</x:v>
      </x:c>
      <x:c r="J5" s="20" t="n">
        <x:v>8.5</x:v>
      </x:c>
      <x:c r="K5" s="20" t="n">
        <x:v>925</x:v>
      </x:c>
      <x:c r="L5" s="20" t="n">
        <x:v>0.16</x:v>
      </x:c>
      <x:c r="M5" s="20" t="str">
        <x:v>S10</x:v>
      </x:c>
      <x:c r="N5" s="20" t="str">
        <x:v>GSH_ATOMIC_FAMILY</x:v>
      </x:c>
      <x:c r="O5" s="20" t="str">
        <x:v>nuclearity,size,emission,QY</x:v>
      </x:c>
      <x:c r="P5" s="20" t="str">
        <x:v>Cu-doped atomic variant; include material-composition flag when nuclearity modeling.</x:v>
      </x:c>
      <x:c r="Q5" s="20" t="str">
        <x:v>AuCu</x:v>
      </x:c>
      <x:c r="R5" s="20" t="str">
        <x:v>standard_atomic_product</x:v>
      </x:c>
    </x:row>
    <x:row r="6" ht="19" customHeight="1">
      <x:c r="A6" s="20" t="str">
        <x:v>R026</x:v>
      </x:c>
      <x:c r="B6" s="20" t="str">
        <x:v>W03</x:v>
      </x:c>
      <x:c r="C6" s="20" t="str">
        <x:v>CCYLQLQAEER</x:v>
      </x:c>
      <x:c r="D6" s="20" t="str">
        <x:v>atomically_precise_AuNC</x:v>
      </x:c>
      <x:c r="E6" s="20" t="str">
        <x:v>TRAIN_CORE</x:v>
      </x:c>
      <x:c r="F6" s="20" t="n">
        <x:v>21</x:v>
      </x:c>
      <x:c r="G6" s="20" t="n">
        <x:v>2</x:v>
      </x:c>
      <x:c r="H6" s="20" t="n">
        <x:v>11.5</x:v>
      </x:c>
      <x:c r="I6" s="20" t="n">
        <x:v>25</x:v>
      </x:c>
      <x:c r="J6" s="20" t="n">
        <x:v>18</x:v>
      </x:c>
      <x:c r="K6" s="20" t="n">
        <x:v>640</x:v>
      </x:c>
      <x:c r="L6" s="20" t="n">
        <x:v>2.86</x:v>
      </x:c>
      <x:c r="M6" s="20" t="str">
        <x:v>W03</x:v>
      </x:c>
      <x:c r="N6" s="20" t="str">
        <x:v>CCYJNP5_FAMILY</x:v>
      </x:c>
      <x:c r="O6" s="20" t="str">
        <x:v>nuclearity,size,emission,QY</x:v>
      </x:c>
      <x:c r="P6" s="20" t="str">
        <x:v>High-value atomic record; hold out entire paper in paper-wise validation.</x:v>
      </x:c>
      <x:c r="Q6" s="20" t="str">
        <x:v>pure_Au</x:v>
      </x:c>
      <x:c r="R6" s="20" t="str">
        <x:v>standard_product</x:v>
      </x:c>
    </x:row>
    <x:row r="7" ht="19" customHeight="1">
      <x:c r="A7" s="20" t="str">
        <x:v>R028</x:v>
      </x:c>
      <x:c r="B7" s="20" t="str">
        <x:v>W05</x:v>
      </x:c>
      <x:c r="C7" s="20" t="str">
        <x:v>CCYGGPKKKRKPG</x:v>
      </x:c>
      <x:c r="D7" s="20" t="str">
        <x:v>atomically_precise_AuNC</x:v>
      </x:c>
      <x:c r="E7" s="20" t="str">
        <x:v>TRAIN_STRUCTURE_ONLY</x:v>
      </x:c>
      <x:c r="F7" s="20" t="n">
        <x:v>25</x:v>
      </x:c>
      <x:c r="G7" s="20"/>
      <x:c r="H7" s="20" t="n">
        <x:v>10</x:v>
      </x:c>
      <x:c r="I7" s="20"/>
      <x:c r="J7" s="20" t="n">
        <x:v>15</x:v>
      </x:c>
      <x:c r="K7" s="20" t="n">
        <x:v>645</x:v>
      </x:c>
      <x:c r="L7" s="20"/>
      <x:c r="M7" s="20" t="str">
        <x:v>W05</x:v>
      </x:c>
      <x:c r="N7" s="20" t="str">
        <x:v>SV_POLYBASIC_FAMILY</x:v>
      </x:c>
      <x:c r="O7" s="20" t="str">
        <x:v>nuclearity,emission</x:v>
      </x:c>
      <x:c r="P7" s="20" t="str">
        <x:v>Synthesis quantities incomplete; do not use for condition model yet.</x:v>
      </x:c>
      <x:c r="Q7" s="20" t="str">
        <x:v>pure_Au</x:v>
      </x:c>
      <x:c r="R7" s="20" t="str">
        <x:v>standard_product</x:v>
      </x:c>
    </x:row>
    <x:row r="8" ht="19" customHeight="1">
      <x:c r="A8" s="20" t="str">
        <x:v>R029</x:v>
      </x:c>
      <x:c r="B8" s="20" t="str">
        <x:v>W06</x:v>
      </x:c>
      <x:c r="C8" s="20" t="str">
        <x:v>DGEAGC</x:v>
      </x:c>
      <x:c r="D8" s="20" t="str">
        <x:v>ultrasmall_AuNC_unknown_nuclearity</x:v>
      </x:c>
      <x:c r="E8" s="20" t="str">
        <x:v>TRAIN_OPTICAL_SIZE</x:v>
      </x:c>
      <x:c r="F8" s="20"/>
      <x:c r="G8" s="20" t="n">
        <x:v>1.3</x:v>
      </x:c>
      <x:c r="H8" s="20"/>
      <x:c r="I8" s="20" t="n">
        <x:v>70</x:v>
      </x:c>
      <x:c r="J8" s="20" t="n">
        <x:v>2</x:v>
      </x:c>
      <x:c r="K8" s="20" t="n">
        <x:v>600</x:v>
      </x:c>
      <x:c r="L8" s="20"/>
      <x:c r="M8" s="20" t="str">
        <x:v>W06</x:v>
      </x:c>
      <x:c r="N8" s="20" t="str">
        <x:v>DGEAGC_FAMILY</x:v>
      </x:c>
      <x:c r="O8" s="20" t="str">
        <x:v>size,emission</x:v>
      </x:c>
      <x:c r="P8" s="20" t="str">
        <x:v>Methods sequence used; retain article typo QC flag.</x:v>
      </x:c>
      <x:c r="Q8" s="20" t="str">
        <x:v>pure_Au</x:v>
      </x:c>
      <x:c r="R8" s="20" t="str">
        <x:v>standard_product</x:v>
      </x:c>
    </x:row>
    <x:row r="9" ht="19" customHeight="1">
      <x:c r="A9" s="20" t="str">
        <x:v>R034</x:v>
      </x:c>
      <x:c r="B9" s="20" t="str">
        <x:v>W17</x:v>
      </x:c>
      <x:c r="C9" s="20" t="str">
        <x:v>YCY</x:v>
      </x:c>
      <x:c r="D9" s="20" t="str">
        <x:v>ultrasmall_AuNC_unknown_nuclearity</x:v>
      </x:c>
      <x:c r="E9" s="20" t="str">
        <x:v>TRAIN_OPTICAL_SIZE</x:v>
      </x:c>
      <x:c r="F9" s="20"/>
      <x:c r="G9" s="20" t="n">
        <x:v>1.8</x:v>
      </x:c>
      <x:c r="H9" s="20" t="n">
        <x:v>10</x:v>
      </x:c>
      <x:c r="I9" s="20" t="n">
        <x:v>70</x:v>
      </x:c>
      <x:c r="J9" s="20" t="n">
        <x:v>8.25</x:v>
      </x:c>
      <x:c r="K9" s="20" t="n">
        <x:v>415</x:v>
      </x:c>
      <x:c r="L9" s="20" t="n">
        <x:v>1.2</x:v>
      </x:c>
      <x:c r="M9" s="20" t="str">
        <x:v>W17</x:v>
      </x:c>
      <x:c r="N9" s="20" t="str">
        <x:v>TRIPEPTIDE_YCY_SCY</x:v>
      </x:c>
      <x:c r="O9" s="20" t="str">
        <x:v>size,emission,QY</x:v>
      </x:c>
      <x:c r="P9" s="20" t="str">
        <x:v>All W17 fractions remain one paper group; process fraction is a feature.</x:v>
      </x:c>
      <x:c r="Q9" s="20" t="str">
        <x:v>pure_Au</x:v>
      </x:c>
      <x:c r="R9" s="20" t="str">
        <x:v>supernatant_blue_fraction</x:v>
      </x:c>
    </x:row>
    <x:row r="10" ht="19" customHeight="1">
      <x:c r="A10" s="20" t="str">
        <x:v>R035</x:v>
      </x:c>
      <x:c r="B10" s="20" t="str">
        <x:v>W17</x:v>
      </x:c>
      <x:c r="C10" s="20" t="str">
        <x:v>SCY</x:v>
      </x:c>
      <x:c r="D10" s="20" t="str">
        <x:v>ultrasmall_AuNC_unknown_nuclearity</x:v>
      </x:c>
      <x:c r="E10" s="20" t="str">
        <x:v>TRAIN_OPTICAL_SIZE</x:v>
      </x:c>
      <x:c r="F10" s="20"/>
      <x:c r="G10" s="20" t="n">
        <x:v>1.7</x:v>
      </x:c>
      <x:c r="H10" s="20" t="n">
        <x:v>10</x:v>
      </x:c>
      <x:c r="I10" s="20" t="n">
        <x:v>70</x:v>
      </x:c>
      <x:c r="J10" s="20" t="n">
        <x:v>8.25</x:v>
      </x:c>
      <x:c r="K10" s="20" t="n">
        <x:v>415</x:v>
      </x:c>
      <x:c r="L10" s="20" t="n">
        <x:v>1.5</x:v>
      </x:c>
      <x:c r="M10" s="20" t="str">
        <x:v>W17</x:v>
      </x:c>
      <x:c r="N10" s="20" t="str">
        <x:v>TRIPEPTIDE_YCY_SCY</x:v>
      </x:c>
      <x:c r="O10" s="20" t="str">
        <x:v>size,emission,QY</x:v>
      </x:c>
      <x:c r="P10" s="20" t="str">
        <x:v>Near-neighbor sequence to YCY; cluster them together for leakage testing.</x:v>
      </x:c>
      <x:c r="Q10" s="20" t="str">
        <x:v>pure_Au</x:v>
      </x:c>
      <x:c r="R10" s="20" t="str">
        <x:v>supernatant_blue_fraction</x:v>
      </x:c>
    </x:row>
    <x:row r="11" ht="19" customHeight="1">
      <x:c r="A11" s="20" t="str">
        <x:v>R036</x:v>
      </x:c>
      <x:c r="B11" s="20" t="str">
        <x:v>W17</x:v>
      </x:c>
      <x:c r="C11" s="20" t="str">
        <x:v>YCY</x:v>
      </x:c>
      <x:c r="D11" s="20" t="str">
        <x:v>ultrasmall_AuNC_unknown_nuclearity</x:v>
      </x:c>
      <x:c r="E11" s="20" t="str">
        <x:v>TRAIN_OPTICAL_SIZE</x:v>
      </x:c>
      <x:c r="F11" s="20"/>
      <x:c r="G11" s="20" t="n">
        <x:v>1.8</x:v>
      </x:c>
      <x:c r="H11" s="20" t="n">
        <x:v>10</x:v>
      </x:c>
      <x:c r="I11" s="20" t="n">
        <x:v>70</x:v>
      </x:c>
      <x:c r="J11" s="20" t="n">
        <x:v>8.25</x:v>
      </x:c>
      <x:c r="K11" s="20" t="n">
        <x:v>670</x:v>
      </x:c>
      <x:c r="L11" s="20" t="n">
        <x:v>0.8</x:v>
      </x:c>
      <x:c r="M11" s="20" t="str">
        <x:v>W17</x:v>
      </x:c>
      <x:c r="N11" s="20" t="str">
        <x:v>TRIPEPTIDE_YCY_SCY</x:v>
      </x:c>
      <x:c r="O11" s="20" t="str">
        <x:v>size,emission,QY</x:v>
      </x:c>
      <x:c r="P11" s="20" t="str">
        <x:v>Same sequence/batch family as R034 but different isolated fraction; never random-split.</x:v>
      </x:c>
      <x:c r="Q11" s="20" t="str">
        <x:v>pure_Au</x:v>
      </x:c>
      <x:c r="R11" s="20" t="str">
        <x:v>precipitate_red_fraction_recovered</x:v>
      </x:c>
    </x:row>
    <x:row r="12" ht="19" customHeight="1">
      <x:c r="A12" s="20" t="str">
        <x:v>R037</x:v>
      </x:c>
      <x:c r="B12" s="20" t="str">
        <x:v>W15</x:v>
      </x:c>
      <x:c r="C12" s="20" t="str">
        <x:v>CCYLRRASLG</x:v>
      </x:c>
      <x:c r="D12" s="20" t="str">
        <x:v>ultrasmall_AuNC_unknown_nuclearity</x:v>
      </x:c>
      <x:c r="E12" s="20" t="str">
        <x:v>TRAIN_OPTICAL_QY</x:v>
      </x:c>
      <x:c r="F12" s="20"/>
      <x:c r="G12" s="20"/>
      <x:c r="H12" s="20" t="n">
        <x:v>9</x:v>
      </x:c>
      <x:c r="I12" s="20"/>
      <x:c r="J12" s="20" t="n">
        <x:v>13</x:v>
      </x:c>
      <x:c r="K12" s="20"/>
      <x:c r="L12" s="20" t="n">
        <x:v>14.6</x:v>
      </x:c>
      <x:c r="M12" s="20" t="str">
        <x:v>W15</x:v>
      </x:c>
      <x:c r="N12" s="20" t="str">
        <x:v>CCY_PKA_SUBSTRATE</x:v>
      </x:c>
      <x:c r="O12" s="20" t="str">
        <x:v>QY</x:v>
      </x:c>
      <x:c r="P12" s="20" t="str">
        <x:v>Emission withheld pending direct reconciliation; QY and synthesis are SI-grounded.</x:v>
      </x:c>
      <x:c r="Q12" s="20" t="str">
        <x:v>pure_Au</x:v>
      </x:c>
      <x:c r="R12" s="20" t="str">
        <x:v>standard_product</x:v>
      </x:c>
    </x:row>
    <x:row r="13" ht="19" customHeight="1"/>
    <x:row r="14" ht="19" customHeight="1"/>
    <x:row r="15" ht="19" customHeight="1"/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b45622f736794a31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46" hidden="0" customWidth="1"/>
    <x:col min="4" max="4" width="44" hidden="0" customWidth="1"/>
    <x:col min="5" max="5" width="56" hidden="0" customWidth="1"/>
    <x:col min="6" max="6" width="62" hidden="0" customWidth="1"/>
    <x:col min="7" max="7" width="18" hidden="0" customWidth="1"/>
    <x:col min="8" max="8" width="34" hidden="0" customWidth="1"/>
    <x:col min="9" max="9" width="16" hidden="0" customWidth="1"/>
    <x:col min="10" max="10" width="54" hidden="0" customWidth="1"/>
  </x:cols>
  <x:sheetData>
    <x:row r="1" ht="30" customHeight="1">
      <x:c r="A1" s="39" t="str">
        <x:v>PepAuDB v0.3 — Highest-Information Primary Paper Acquisition Queue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ht="19" customHeight="1"/>
    <x:row r="3" ht="34" customHeight="1">
      <x:c r="A3" s="44" t="str">
        <x:v>Priority</x:v>
      </x:c>
      <x:c r="B3" s="44" t="str">
        <x:v>Source</x:v>
      </x:c>
      <x:c r="C3" s="44" t="str">
        <x:v>Paper_or_Lead</x:v>
      </x:c>
      <x:c r="D3" s="44" t="str">
        <x:v>DOI_URL</x:v>
      </x:c>
      <x:c r="E3" s="44" t="str">
        <x:v>Missing_Item</x:v>
      </x:c>
      <x:c r="F3" s="44" t="str">
        <x:v>Why_High_Value</x:v>
      </x:c>
      <x:c r="G3" s="44" t="str">
        <x:v>Expected_New_Rows</x:v>
      </x:c>
      <x:c r="H3" s="44" t="str">
        <x:v>Training_Impact</x:v>
      </x:c>
      <x:c r="I3" s="44" t="str">
        <x:v>Status</x:v>
      </x:c>
      <x:c r="J3" s="44" t="str">
        <x:v>Next_Action</x:v>
      </x:c>
    </x:row>
    <x:row r="4" ht="19" customHeight="1">
      <x:c r="A4" s="20" t="str">
        <x:v>P0</x:v>
      </x:c>
      <x:c r="B4" s="20" t="str">
        <x:v>W10</x:v>
      </x:c>
      <x:c r="C4" s="20" t="str">
        <x:v>2022 seven-sequence CCY/KFFAAK motif panel</x:v>
      </x:c>
      <x:c r="D4" s="20" t="str">
        <x:v>https://doi.org/10.1016/j.colsurfb.2022.112820</x:v>
      </x:c>
      <x:c r="E4" s="20" t="str">
        <x:v>Full main text + SI; map each sequence to formation/optical outcome and exact synthesis</x:v>
      </x:c>
      <x:c r="F4" s="20" t="str">
        <x:v>Controlled within-paper sequence panel minimizes inter-lab confounding and includes a motif control</x:v>
      </x:c>
      <x:c r="G4" s="20" t="str">
        <x:v>7+</x:v>
      </x:c>
      <x:c r="H4" s="20" t="str">
        <x:v>Major for sequence-position and formation modeling</x:v>
      </x:c>
      <x:c r="I4" s="20" t="str">
        <x:v>PARTIAL</x:v>
      </x:c>
      <x:c r="J4" s="20" t="str">
        <x:v>Acquire full article/SI; create sequence×condition rows.</x:v>
      </x:c>
    </x:row>
    <x:row r="5" ht="19" customHeight="1">
      <x:c r="A5" s="20" t="str">
        <x:v>P0</x:v>
      </x:c>
      <x:c r="B5" s="20" t="str">
        <x:v>W01</x:v>
      </x:c>
      <x:c r="C5" s="20" t="str">
        <x:v>Liu 2020 blue/red SV peptide AuNCs</x:v>
      </x:c>
      <x:c r="D5" s="20" t="str">
        <x:v>https://doi.org/10.1021/acsabm.9b01078</x:v>
      </x:c>
      <x:c r="E5" s="20" t="str">
        <x:v>Exact pH, Au:peptide ratio, light, temperature and time for blue vs red products</x:v>
      </x:c>
      <x:c r="F5" s="20" t="str">
        <x:v>Same exact sequence produces sharply different optical outcomes under different conditions</x:v>
      </x:c>
      <x:c r="G5" s="20" t="str">
        <x:v>2+ paired</x:v>
      </x:c>
      <x:c r="H5" s="20" t="str">
        <x:v>Major for condition-aware optical model</x:v>
      </x:c>
      <x:c r="I5" s="20" t="str">
        <x:v>PARTIAL</x:v>
      </x:c>
      <x:c r="J5" s="20" t="str">
        <x:v>Extract numeric blue/red condition sets from main text/SI.</x:v>
      </x:c>
    </x:row>
    <x:row r="6" ht="19" customHeight="1">
      <x:c r="A6" s="20" t="str">
        <x:v>P0</x:v>
      </x:c>
      <x:c r="B6" s="20" t="str">
        <x:v>W05</x:v>
      </x:c>
      <x:c r="C6" s="20" t="str">
        <x:v>Au25Sv9 cancer-therapy primary paper</x:v>
      </x:c>
      <x:c r="D6" s="20" t="str">
        <x:v>https://doi.org/10.1016/j.scib.2017.03.024</x:v>
      </x:c>
      <x:c r="E6" s="20" t="str">
        <x:v>Complete synthesis quantities and characterization</x:v>
      </x:c>
      <x:c r="F6" s="20" t="str">
        <x:v>Designed peptide + exact Au25 nuclearity + cancer bioactivity</x:v>
      </x:c>
      <x:c r="G6" s="20" t="str">
        <x:v>1–several</x:v>
      </x:c>
      <x:c r="H6" s="20" t="str">
        <x:v>Atomic nuclearity/structure</x:v>
      </x:c>
      <x:c r="I6" s="20" t="str">
        <x:v>PARTIAL</x:v>
      </x:c>
      <x:c r="J6" s="20" t="str">
        <x:v>Obtain full PDF/SI and verify synthesis protocol.</x:v>
      </x:c>
    </x:row>
    <x:row r="7" ht="19" customHeight="1">
      <x:c r="A7" s="20" t="str">
        <x:v>P0</x:v>
      </x:c>
      <x:c r="B7" s="20" t="str">
        <x:v>W09</x:v>
      </x:c>
      <x:c r="C7" s="20" t="str">
        <x:v>CMMMMM vs CYYYYY peptide AuNCs</x:v>
      </x:c>
      <x:c r="D7" s="20" t="str">
        <x:v>https://doi.org/10.1021/acs.analchem.9b03463</x:v>
      </x:c>
      <x:c r="E7" s="20" t="str">
        <x:v>Supporting Information synthesis and quantitative optical data</x:v>
      </x:c>
      <x:c r="F7" s="20" t="str">
        <x:v>Matched sequence comparator isolates residue chemistry effect</x:v>
      </x:c>
      <x:c r="G7" s="20" t="str">
        <x:v>2+</x:v>
      </x:c>
      <x:c r="H7" s="20" t="str">
        <x:v>Sequence-effect optical/stability modeling</x:v>
      </x:c>
      <x:c r="I7" s="20" t="str">
        <x:v>PARTIAL</x:v>
      </x:c>
      <x:c r="J7" s="20" t="str">
        <x:v>Extract SI and add matched quantitative rows.</x:v>
      </x:c>
    </x:row>
    <x:row r="8" ht="19" customHeight="1">
      <x:c r="A8" s="20" t="str">
        <x:v>P0</x:v>
      </x:c>
      <x:c r="B8" s="20" t="str">
        <x:v>W18</x:v>
      </x:c>
      <x:c r="C8" s="20" t="str">
        <x:v>Wen 2013 PTM-enzyme peptide AuNC panel</x:v>
      </x:c>
      <x:c r="D8" s="20" t="str">
        <x:v>https://doi.org/10.1021/ac403308b</x:v>
      </x:c>
      <x:c r="E8" s="20" t="str">
        <x:v>Primary/SI mapping for CCIHK(Ac), CCGKE, CCLRRASLG, CCGGK(Ac), CCLIK(Ac), including Au8/QY attribution</x:v>
      </x:c>
      <x:c r="F8" s="20" t="str">
        <x:v>Multiple short exact peptides with rapid synthesis; possible atomic Au8 label</x:v>
      </x:c>
      <x:c r="G8" s="20" t="str">
        <x:v>5+</x:v>
      </x:c>
      <x:c r="H8" s="20" t="str">
        <x:v>Potentially high impact for formation/nuclearity</x:v>
      </x:c>
      <x:c r="I8" s="20" t="str">
        <x:v>NEW LEAD</x:v>
      </x:c>
      <x:c r="J8" s="20" t="str">
        <x:v>Acquire primary SI; do not use secondary table values until mapped.</x:v>
      </x:c>
    </x:row>
    <x:row r="9" ht="19" customHeight="1">
      <x:c r="A9" s="20" t="str">
        <x:v>P0</x:v>
      </x:c>
      <x:c r="B9" s="20" t="str">
        <x:v>W08</x:v>
      </x:c>
      <x:c r="C9" s="20" t="str">
        <x:v>AuNCs-LHRHa prostate-cancer PTT</x:v>
      </x:c>
      <x:c r="D9" s="20" t="str">
        <x:v>https://doi.org/10.1039/D2TB00531J</x:v>
      </x:c>
      <x:c r="E9" s="20" t="str">
        <x:v>Laser power, concentration, ΔT/heating curve, PCE if reported, peptide identity</x:v>
      </x:c>
      <x:c r="F9" s="20" t="str">
        <x:v>Direct AuNC peptide-functionalized PTT benchmark</x:v>
      </x:c>
      <x:c r="G9" s="20" t="str">
        <x:v>1+</x:v>
      </x:c>
      <x:c r="H9" s="20" t="str">
        <x:v>PTT benchmark layer</x:v>
      </x:c>
      <x:c r="I9" s="20" t="str">
        <x:v>PARTIAL</x:v>
      </x:c>
      <x:c r="J9" s="20" t="str">
        <x:v>Acquire full paper/SI and extract all PTT context.</x:v>
      </x:c>
    </x:row>
    <x:row r="10" ht="19" customHeight="1">
      <x:c r="A10" s="20" t="str">
        <x:v>P1</x:v>
      </x:c>
      <x:c r="B10" s="20" t="str">
        <x:v>W19</x:v>
      </x:c>
      <x:c r="C10" s="20" t="str">
        <x:v>Gu 2014 peptide-AuNC protease sensor</x:v>
      </x:c>
      <x:c r="D10" s="20" t="str">
        <x:v>https://doi.org/10.1039/C4RA00096J</x:v>
      </x:c>
      <x:c r="E10" s="20" t="str">
        <x:v>Exact peptide sequence, synthesis, optical data from article/SI</x:v>
      </x:c>
      <x:c r="F10" s="20" t="str">
        <x:v>Additional direct peptide-templated AuNC sequence family</x:v>
      </x:c>
      <x:c r="G10" s="20" t="str">
        <x:v>1+</x:v>
      </x:c>
      <x:c r="H10" s="20" t="str">
        <x:v>Optical/formation diversity</x:v>
      </x:c>
      <x:c r="I10" s="20" t="str">
        <x:v>NEW LEAD</x:v>
      </x:c>
      <x:c r="J10" s="20" t="str">
        <x:v>Extract author version + SI.</x:v>
      </x:c>
    </x:row>
    <x:row r="11" ht="19" customHeight="1">
      <x:c r="A11" s="20" t="str">
        <x:v>P1</x:v>
      </x:c>
      <x:c r="B11" s="20" t="str">
        <x:v>W16</x:v>
      </x:c>
      <x:c r="C11" s="20" t="str">
        <x:v>DCG/DCS Ag-doped AuNC PDT paper</x:v>
      </x:c>
      <x:c r="D11" s="20" t="str">
        <x:v>https://doi.org/10.1021/acssuschemeng.2c04857</x:v>
      </x:c>
      <x:c r="E11" s="20" t="str">
        <x:v>Full quantitative synthesis + primary QY confirmation</x:v>
      </x:c>
      <x:c r="F11" s="20" t="str">
        <x:v>Matched tripeptide comparison and cancer therapeutic function, but separate doped domain</x:v>
      </x:c>
      <x:c r="G11" s="20" t="str">
        <x:v>2+</x:v>
      </x:c>
      <x:c r="H11" s="20" t="str">
        <x:v>Auxiliary/transfer learning only</x:v>
      </x:c>
      <x:c r="I11" s="20" t="str">
        <x:v>PARTIAL</x:v>
      </x:c>
      <x:c r="J11" s="20" t="str">
        <x:v>Extract primary numeric data and keep Ag-doped domain separate.</x:v>
      </x:c>
    </x:row>
    <x:row r="12" ht="19" customHeight="1"/>
    <x:row r="13" ht="19" customHeight="1"/>
    <x:row r="14" ht="19" customHeight="1"/>
    <x:row r="15" ht="19" customHeight="1"/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</x:sheetData>
  <x:mergeCells>
    <x:mergeCell ref="A1:J1"/>
  </x:mergeCells>
  <x:conditionalFormatting sqref="A4:A11">
    <x:cfRule type="expression" dxfId="8" priority="1">
      <x:formula>A4="P0"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657d90d0dc463d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62" hidden="0" customWidth="1"/>
    <x:col min="4" max="4" width="36" hidden="0" customWidth="1"/>
    <x:col min="5" max="5" width="42" hidden="0" customWidth="1"/>
    <x:col min="6" max="6" width="18" hidden="0" customWidth="1"/>
    <x:col min="7" max="7" width="58" hidden="0" customWidth="1"/>
    <x:col min="8" max="8" width="18" hidden="0" customWidth="1"/>
  </x:cols>
  <x:sheetData>
    <x:row r="1" ht="30" customHeight="1">
      <x:c r="A1" s="39" t="str">
        <x:v>Leakage-Safe Real-Data Benchmark Plan — v0.1</x:v>
      </x:c>
      <x:c r="B1" s="39"/>
      <x:c r="C1" s="39"/>
      <x:c r="D1" s="39"/>
      <x:c r="E1" s="39"/>
      <x:c r="F1" s="39"/>
      <x:c r="G1" s="39"/>
      <x:c r="H1" s="39"/>
    </x:row>
    <x:row r="2" ht="19" customHeight="1"/>
    <x:row r="3" ht="34" customHeight="1">
      <x:c r="A3" s="44" t="str">
        <x:v>Stage</x:v>
      </x:c>
      <x:c r="B3" s="44" t="str">
        <x:v>Rule</x:v>
      </x:c>
      <x:c r="C3" s="44" t="str">
        <x:v>Implementation</x:v>
      </x:c>
      <x:c r="D3" s="44" t="str">
        <x:v>Metric_or_Output</x:v>
      </x:c>
      <x:c r="E3" s="44" t="str">
        <x:v>Hard_Stop</x:v>
      </x:c>
      <x:c r="F3" s="44" t="str">
        <x:v>Current_State</x:v>
      </x:c>
      <x:c r="G3" s="44" t="str">
        <x:v>Why</x:v>
      </x:c>
      <x:c r="H3" s="44" t="str">
        <x:v>Notebook_Cell_Group</x:v>
      </x:c>
    </x:row>
    <x:row r="4" ht="19" customHeight="1">
      <x:c r="A4" s="20" t="str">
        <x:v>1</x:v>
      </x:c>
      <x:c r="B4" s="20" t="str">
        <x:v>No synthetic labels</x:v>
      </x:c>
      <x:c r="C4" s="20" t="str">
        <x:v>Use only primary-grounded direct rows with explicit eligibility</x:v>
      </x:c>
      <x:c r="D4" s="20" t="str">
        <x:v>Dataset audit table</x:v>
      </x:c>
      <x:c r="E4" s="20" t="str">
        <x:v>If zero eligible rows for target</x:v>
      </x:c>
      <x:c r="F4" s="20" t="str">
        <x:v>PASS</x:v>
      </x:c>
      <x:c r="G4" s="20" t="str">
        <x:v>Removes old hand-crafted label artifact</x:v>
      </x:c>
      <x:c r="H4" s="20" t="str">
        <x:v>02–04</x:v>
      </x:c>
    </x:row>
    <x:row r="5" ht="19" customHeight="1">
      <x:c r="A5" s="20" t="str">
        <x:v>2</x:v>
      </x:c>
      <x:c r="B5" s="20" t="str">
        <x:v>Paper-grouped validation</x:v>
      </x:c>
      <x:c r="C5" s="20" t="str">
        <x:v>GroupKFold / leave-one-paper-out using Source_ID/Paper_Group</x:v>
      </x:c>
      <x:c r="D5" s="20" t="str">
        <x:v>Fold-level MAE/RMSE/R²/Spearman</x:v>
      </x:c>
      <x:c r="E5" s="20" t="str">
        <x:v>&lt;3 independent paper groups =&gt; descriptive only</x:v>
      </x:c>
      <x:c r="F5" s="20" t="str">
        <x:v>PARTIAL</x:v>
      </x:c>
      <x:c r="G5" s="20" t="str">
        <x:v>Prevents same-study condition variants leaking across folds</x:v>
      </x:c>
      <x:c r="H5" s="20" t="str">
        <x:v>05–08</x:v>
      </x:c>
    </x:row>
    <x:row r="6" ht="19" customHeight="1">
      <x:c r="A6" s="20" t="str">
        <x:v>3</x:v>
      </x:c>
      <x:c r="B6" s="20" t="str">
        <x:v>Sequence-cluster leakage control</x:v>
      </x:c>
      <x:c r="C6" s="20" t="str">
        <x:v>Cluster exact/near-duplicate peptides before secondary validation</x:v>
      </x:c>
      <x:c r="D6" s="20" t="str">
        <x:v>Cluster-held-out performance</x:v>
      </x:c>
      <x:c r="E6" s="20" t="str">
        <x:v>Too few clusters =&gt; do not report generalization</x:v>
      </x:c>
      <x:c r="F6" s="20" t="str">
        <x:v>PARTIAL</x:v>
      </x:c>
      <x:c r="G6" s="20" t="str">
        <x:v>Near-identical CCY/SV variants otherwise inflate apparent accuracy</x:v>
      </x:c>
      <x:c r="H6" s="20" t="str">
        <x:v>05–08</x:v>
      </x:c>
    </x:row>
    <x:row r="7" ht="19" customHeight="1">
      <x:c r="A7" s="20" t="str">
        <x:v>4</x:v>
      </x:c>
      <x:c r="B7" s="20" t="str">
        <x:v>Baseline first</x:v>
      </x:c>
      <x:c r="C7" s="20" t="str">
        <x:v>Dummy median + ElasticNet before nonlinear models</x:v>
      </x:c>
      <x:c r="D7" s="20" t="str">
        <x:v>ΔMAE versus baseline</x:v>
      </x:c>
      <x:c r="E7" s="20" t="str">
        <x:v>No model benefit over baseline</x:v>
      </x:c>
      <x:c r="F7" s="20" t="str">
        <x:v>READY</x:v>
      </x:c>
      <x:c r="G7" s="20" t="str">
        <x:v>Stops sophisticated models from hiding weak information content</x:v>
      </x:c>
      <x:c r="H7" s="20" t="str">
        <x:v>09–10</x:v>
      </x:c>
    </x:row>
    <x:row r="8" ht="19" customHeight="1">
      <x:c r="A8" s="20" t="str">
        <x:v>5</x:v>
      </x:c>
      <x:c r="B8" s="20" t="str">
        <x:v>Small-data models</x:v>
      </x:c>
      <x:c r="C8" s="20" t="str">
        <x:v>RF, HistGradientBoosting, Gaussian Process; optional CatBoost</x:v>
      </x:c>
      <x:c r="D8" s="20" t="str">
        <x:v>Cross-validated metrics</x:v>
      </x:c>
      <x:c r="E8" s="20" t="str">
        <x:v>Unstable folds / extreme variance</x:v>
      </x:c>
      <x:c r="F8" s="20" t="str">
        <x:v>READY</x:v>
      </x:c>
      <x:c r="G8" s="20" t="str">
        <x:v>Appropriate for small heterogeneous biomedical datasets</x:v>
      </x:c>
      <x:c r="H8" s="20" t="str">
        <x:v>09–10</x:v>
      </x:c>
    </x:row>
    <x:row r="9" ht="19" customHeight="1">
      <x:c r="A9" s="20" t="str">
        <x:v>6</x:v>
      </x:c>
      <x:c r="B9" s="20" t="str">
        <x:v>Target-specific gating</x:v>
      </x:c>
      <x:c r="C9" s="20" t="str">
        <x:v>Train emission, QY, size, nuclearity separately; PTT disabled until direct data exist</x:v>
      </x:c>
      <x:c r="D9" s="20" t="str">
        <x:v>Per-target N, paper groups, sequence clusters</x:v>
      </x:c>
      <x:c r="E9" s="20" t="str">
        <x:v>Insufficient N/groups</x:v>
      </x:c>
      <x:c r="F9" s="20" t="str">
        <x:v>READY</x:v>
      </x:c>
      <x:c r="G9" s="20" t="str">
        <x:v>Avoids pretending every row labels every task</x:v>
      </x:c>
      <x:c r="H9" s="20" t="str">
        <x:v>07–10</x:v>
      </x:c>
    </x:row>
    <x:row r="10" ht="19" customHeight="1">
      <x:c r="A10" s="20" t="str">
        <x:v>7</x:v>
      </x:c>
      <x:c r="B10" s="20" t="str">
        <x:v>Y-scrambling</x:v>
      </x:c>
      <x:c r="C10" s="20" t="str">
        <x:v>Repeat CV after shuffling labels within analysis dataset</x:v>
      </x:c>
      <x:c r="D10" s="20" t="str">
        <x:v>Permutation null distribution</x:v>
      </x:c>
      <x:c r="E10" s="20" t="str">
        <x:v>Real model not clearly above shuffled null</x:v>
      </x:c>
      <x:c r="F10" s="20" t="str">
        <x:v>READY</x:v>
      </x:c>
      <x:c r="G10" s="20" t="str">
        <x:v>Checks whether performance is spurious</x:v>
      </x:c>
      <x:c r="H10" s="20" t="str">
        <x:v>11</x:v>
      </x:c>
    </x:row>
    <x:row r="11" ht="19" customHeight="1">
      <x:c r="A11" s="20" t="str">
        <x:v>8</x:v>
      </x:c>
      <x:c r="B11" s="20" t="str">
        <x:v>Uncertainty</x:v>
      </x:c>
      <x:c r="C11" s="20" t="str">
        <x:v>Bootstrap ensembles / GP predictive SD</x:v>
      </x:c>
      <x:c r="D11" s="20" t="str">
        <x:v>Prediction interval / SD</x:v>
      </x:c>
      <x:c r="E11" s="20" t="str">
        <x:v>Uncertainty missing in app</x:v>
      </x:c>
      <x:c r="F11" s="20" t="str">
        <x:v>READY</x:v>
      </x:c>
      <x:c r="G11" s="20" t="str">
        <x:v>Required for research prototype decisions</x:v>
      </x:c>
      <x:c r="H11" s="20" t="str">
        <x:v>12</x:v>
      </x:c>
    </x:row>
    <x:row r="12" ht="19" customHeight="1">
      <x:c r="A12" s="20" t="str">
        <x:v>9</x:v>
      </x:c>
      <x:c r="B12" s="20" t="str">
        <x:v>Applicability domain</x:v>
      </x:c>
      <x:c r="C12" s="20" t="str">
        <x:v>Nearest-neighbor distance in standardized feature space</x:v>
      </x:c>
      <x:c r="D12" s="20" t="str">
        <x:v>OOD score + nearest literature records</x:v>
      </x:c>
      <x:c r="E12" s="20" t="str">
        <x:v>High OOD =&gt; no confident recommendation</x:v>
      </x:c>
      <x:c r="F12" s="20" t="str">
        <x:v>READY</x:v>
      </x:c>
      <x:c r="G12" s="20" t="str">
        <x:v>Novel peptide candidates can lie outside literature support</x:v>
      </x:c>
      <x:c r="H12" s="20" t="str">
        <x:v>13</x:v>
      </x:c>
    </x:row>
    <x:row r="13" ht="19" customHeight="1">
      <x:c r="A13" s="20" t="str">
        <x:v>10</x:v>
      </x:c>
      <x:c r="B13" s="20" t="str">
        <x:v>External test</x:v>
      </x:c>
      <x:c r="C13" s="20" t="str">
        <x:v>Freeze ≥2 independent future papers/labs after model selection</x:v>
      </x:c>
      <x:c r="D13" s="20" t="str">
        <x:v>Untouched external metrics</x:v>
      </x:c>
      <x:c r="E13" s="20" t="str">
        <x:v>No external set =&gt; no production accuracy badge</x:v>
      </x:c>
      <x:c r="F13" s="20" t="str">
        <x:v>NOT YET</x:v>
      </x:c>
      <x:c r="G13" s="20" t="str">
        <x:v>Retrospective CV is not enough for final claims</x:v>
      </x:c>
      <x:c r="H13" s="20" t="str">
        <x:v>14</x:v>
      </x:c>
    </x:row>
    <x:row r="14" ht="19" customHeight="1">
      <x:c r="A14" s="20" t="str">
        <x:v>11</x:v>
      </x:c>
      <x:c r="B14" s="20" t="str">
        <x:v>PTT safeguard</x:v>
      </x:c>
      <x:c r="C14" s="20" t="str">
        <x:v>Refuse PTT model training below direct peptide-AuNC PTT gate</x:v>
      </x:c>
      <x:c r="D14" s="20" t="str">
        <x:v>Explicit STOP message</x:v>
      </x:c>
      <x:c r="E14" s="20" t="str">
        <x:v>Sparse direct PTT labels</x:v>
      </x:c>
      <x:c r="F14" s="20" t="str">
        <x:v>STOP</x:v>
      </x:c>
      <x:c r="G14" s="20" t="str">
        <x:v>Current PTT evidence is mostly benchmark/adjacent domain</x:v>
      </x:c>
      <x:c r="H14" s="20" t="str">
        <x:v>15</x:v>
      </x:c>
    </x:row>
    <x:row r="15" ht="19" customHeight="1">
      <x:c r="A15" s="20" t="str">
        <x:v>12</x:v>
      </x:c>
      <x:c r="B15" s="20" t="str">
        <x:v>Deployment gate</x:v>
      </x:c>
      <x:c r="C15" s="20" t="str">
        <x:v>Export model only with model card, data version, fold results, OOD and uncertainty</x:v>
      </x:c>
      <x:c r="D15" s="20" t="str">
        <x:v>JSON model card + frozen artifacts</x:v>
      </x:c>
      <x:c r="E15" s="20" t="str">
        <x:v>Any scientific gate fails</x:v>
      </x:c>
      <x:c r="F15" s="20" t="str">
        <x:v>NOT YET</x:v>
      </x:c>
      <x:c r="G15" s="20" t="str">
        <x:v>Streamlit can exist as evidence explorer before predictive deployment</x:v>
      </x:c>
      <x:c r="H15" s="20" t="str">
        <x:v>16</x:v>
      </x:c>
    </x:row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9cf016f005543c9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68" hidden="0" customWidth="1"/>
    <x:col min="4" max="4" width="34" hidden="0" customWidth="1"/>
    <x:col min="5" max="5" width="44" hidden="0" customWidth="1"/>
    <x:col min="6" max="6" width="26" hidden="0" customWidth="1"/>
    <x:col min="7" max="7" width="46" hidden="0" customWidth="1"/>
    <x:col min="8" max="8" width="30" hidden="0" customWidth="1"/>
    <x:col min="9" max="9" width="38" hidden="0" customWidth="1"/>
    <x:col min="10" max="10" width="24" hidden="0" customWidth="1"/>
    <x:col min="11" max="11" width="64" hidden="0" customWidth="1"/>
  </x:cols>
  <x:sheetData>
    <x:row r="1" ht="30" customHeight="1">
      <x:c r="A1" s="39" t="str">
        <x:v>PepAuDB v0.3 — Newly Added / Re-triaged Literature Sources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</x:row>
    <x:row r="2" ht="19" customHeight="1"/>
    <x:row r="3" ht="34" customHeight="1">
      <x:c r="A3" s="44" t="str">
        <x:v>Source_ID</x:v>
      </x:c>
      <x:c r="B3" s="44" t="str">
        <x:v>Year</x:v>
      </x:c>
      <x:c r="C3" s="44" t="str">
        <x:v>Paper</x:v>
      </x:c>
      <x:c r="D3" s="44" t="str">
        <x:v>Journal</x:v>
      </x:c>
      <x:c r="E3" s="44" t="str">
        <x:v>DOI_URL</x:v>
      </x:c>
      <x:c r="F3" s="44" t="str">
        <x:v>Material_Domain</x:v>
      </x:c>
      <x:c r="G3" s="44" t="str">
        <x:v>Exact_Sequences</x:v>
      </x:c>
      <x:c r="H3" s="44" t="str">
        <x:v>Primary_Data_Acquired</x:v>
      </x:c>
      <x:c r="I3" s="44" t="str">
        <x:v>Use_in_v0.3</x:v>
      </x:c>
      <x:c r="J3" s="44" t="str">
        <x:v>Training_Status</x:v>
      </x:c>
      <x:c r="K3" s="44" t="str">
        <x:v>QC_Note</x:v>
      </x:c>
    </x:row>
    <x:row r="4" ht="19" customHeight="1">
      <x:c r="A4" s="20" t="str">
        <x:v>W17</x:v>
      </x:c>
      <x:c r="B4" s="20" t="n">
        <x:v>2024</x:v>
      </x:c>
      <x:c r="C4" s="20" t="str">
        <x:v>Peptide-templated blue/red AuNC study using YCY and SCY</x:v>
      </x:c>
      <x:c r="D4" s="20" t="str">
        <x:v>Molecules</x:v>
      </x:c>
      <x:c r="E4" s="20" t="str">
        <x:v>https://doi.org/10.3390/molecules29112416</x:v>
      </x:c>
      <x:c r="F4" s="20" t="str">
        <x:v>Pure peptide-AuNC</x:v>
      </x:c>
      <x:c r="G4" s="20" t="str">
        <x:v>YCY; SCY</x:v>
      </x:c>
      <x:c r="H4" s="20" t="str">
        <x:v>YES — synthesis, size, optical/QY</x:v>
      </x:c>
      <x:c r="I4" s="20" t="str">
        <x:v>3 direct rows: Blue-YCY, Blue-SCY, Red-YCY</x:v>
      </x:c>
      <x:c r="J4" s="20" t="str">
        <x:v>TRAIN_OPTICAL_SIZE</x:v>
      </x:c>
      <x:c r="K4" s="20" t="str">
        <x:v>Keep three products in one paper group; Red-YCY is a distinct isolated fraction.</x:v>
      </x:c>
    </x:row>
    <x:row r="5" ht="19" customHeight="1">
      <x:c r="A5" s="20" t="str">
        <x:v>W15</x:v>
      </x:c>
      <x:c r="B5" s="20" t="n">
        <x:v>2015</x:v>
      </x:c>
      <x:c r="C5" s="20" t="str">
        <x:v>Green synthesis of peptide-templated gold nanoclusters as fluorescence probes for protein kinase activity</x:v>
      </x:c>
      <x:c r="D5" s="20" t="str">
        <x:v>Chemical Communications</x:v>
      </x:c>
      <x:c r="E5" s="20" t="str">
        <x:v>https://doi.org/10.1039/C5CC02280K</x:v>
      </x:c>
      <x:c r="F5" s="20" t="str">
        <x:v>Pure peptide-AuNC</x:v>
      </x:c>
      <x:c r="G5" s="20" t="str">
        <x:v>CCYLRRASLG</x:v>
      </x:c>
      <x:c r="H5" s="20" t="str">
        <x:v>YES — exact synthesis and QY from SI</x:v>
      </x:c>
      <x:c r="I5" s="20" t="str">
        <x:v>Direct sequence+synthesis+QY row</x:v>
      </x:c>
      <x:c r="J5" s="20" t="str">
        <x:v>TRAIN_OPTICAL_QY</x:v>
      </x:c>
      <x:c r="K5" s="20" t="str">
        <x:v>Excitation/emission retained as missing until primary values are reconciled.</x:v>
      </x:c>
    </x:row>
    <x:row r="6" ht="19" customHeight="1">
      <x:c r="A6" s="20" t="str">
        <x:v>W16</x:v>
      </x:c>
      <x:c r="B6" s="20" t="n">
        <x:v>2023</x:v>
      </x:c>
      <x:c r="C6" s="20" t="str">
        <x:v>Engineering of Tripeptide-Stabilized Gold Nanoclusters with Inherent Photosensitizing Property for Bioimaging and Photodynamic Therapy</x:v>
      </x:c>
      <x:c r="D6" s="20" t="str">
        <x:v>ACS Sustainable Chemistry &amp; Engineering</x:v>
      </x:c>
      <x:c r="E6" s="20" t="str">
        <x:v>https://doi.org/10.1021/acssuschemeng.2c04857</x:v>
      </x:c>
      <x:c r="F6" s="20" t="str">
        <x:v>Ag-doped peptide-AuNC</x:v>
      </x:c>
      <x:c r="G6" s="20" t="str">
        <x:v>DCG; DCS</x:v>
      </x:c>
      <x:c r="H6" s="20" t="str">
        <x:v>PARTIAL</x:v>
      </x:c>
      <x:c r="I6" s="20" t="str">
        <x:v>Auxiliary matched sequence pair</x:v>
      </x:c>
      <x:c r="J6" s="20" t="str">
        <x:v>AUXILIARY_ONLY</x:v>
      </x:c>
      <x:c r="K6" s="20" t="str">
        <x:v>Do not merge Ag-doped clusters with pure-Au core target.</x:v>
      </x:c>
    </x:row>
    <x:row r="7" ht="19" customHeight="1">
      <x:c r="A7" s="20" t="str">
        <x:v>W10</x:v>
      </x:c>
      <x:c r="B7" s="20" t="n">
        <x:v>2022</x:v>
      </x:c>
      <x:c r="C7" s="20" t="str">
        <x:v>Real-time fluorescence dynamics in one-step synthesis of gold nanoclusters coupling with peptide motifs</x:v>
      </x:c>
      <x:c r="D7" s="20" t="str">
        <x:v>Colloids and Surfaces B: Biointerfaces</x:v>
      </x:c>
      <x:c r="E7" s="20" t="str">
        <x:v>https://doi.org/10.1016/j.colsurfb.2022.112820</x:v>
      </x:c>
      <x:c r="F7" s="20" t="str">
        <x:v>Peptide-AuNC motif panel</x:v>
      </x:c>
      <x:c r="G7" s="20" t="str">
        <x:v>7 exact sequences</x:v>
      </x:c>
      <x:c r="H7" s="20" t="str">
        <x:v>PARTIAL — sequences known; per-sequence outcomes pending</x:v>
      </x:c>
      <x:c r="I7" s="20" t="str">
        <x:v>7 QC-held panel rows</x:v>
      </x:c>
      <x:c r="J7" s="20" t="str">
        <x:v>QC_HOLD_PANEL</x:v>
      </x:c>
      <x:c r="K7" s="20" t="str">
        <x:v>Highest-information acquisition because sequence order/motif permutations are controlled within one paper.</x:v>
      </x:c>
    </x:row>
    <x:row r="8" ht="19" customHeight="1">
      <x:c r="A8" s="20" t="str">
        <x:v>W18</x:v>
      </x:c>
      <x:c r="B8" s="20" t="n">
        <x:v>2013</x:v>
      </x:c>
      <x:c r="C8" s="20" t="str">
        <x:v>Simple and rapid synthesis of fluorescent gold nanoclusters for PTM-enzyme detection</x:v>
      </x:c>
      <x:c r="D8" s="20" t="str">
        <x:v>Analytical Chemistry</x:v>
      </x:c>
      <x:c r="E8" s="20" t="str">
        <x:v>https://doi.org/10.1021/ac403308b</x:v>
      </x:c>
      <x:c r="F8" s="20" t="str">
        <x:v>Peptide-AuNC panel</x:v>
      </x:c>
      <x:c r="G8" s="20" t="str">
        <x:v>CCLRRASLG plus additional short peptides reported in literature mapping</x:v>
      </x:c>
      <x:c r="H8" s="20" t="str">
        <x:v>NO — primary/SI mapping required</x:v>
      </x:c>
      <x:c r="I8" s="20" t="str">
        <x:v>Acquisition lead</x:v>
      </x:c>
      <x:c r="J8" s="20" t="str">
        <x:v>PRIMARY_REQUIRED</x:v>
      </x:c>
      <x:c r="K8" s="20" t="str">
        <x:v>Do not assign review-derived Au8/QY to a peptide until primary mapping is verified.</x:v>
      </x:c>
    </x:row>
    <x:row r="9" ht="19" customHeight="1">
      <x:c r="A9" s="20" t="str">
        <x:v>W19</x:v>
      </x:c>
      <x:c r="B9" s="20" t="n">
        <x:v>2014</x:v>
      </x:c>
      <x:c r="C9" s="20" t="str">
        <x:v>Peptide-templated gold nanoclusters for protease sensing</x:v>
      </x:c>
      <x:c r="D9" s="20" t="str">
        <x:v>RSC Advances</x:v>
      </x:c>
      <x:c r="E9" s="20" t="str">
        <x:v>https://doi.org/10.1039/C4RA00096J</x:v>
      </x:c>
      <x:c r="F9" s="20" t="str">
        <x:v>Peptide-AuNC</x:v>
      </x:c>
      <x:c r="G9" s="20" t="str">
        <x:v>Pending SI extraction</x:v>
      </x:c>
      <x:c r="H9" s="20" t="str">
        <x:v>NO</x:v>
      </x:c>
      <x:c r="I9" s="20" t="str">
        <x:v>Acquisition lead</x:v>
      </x:c>
      <x:c r="J9" s="20" t="str">
        <x:v>PRIMARY_REQUIRED</x:v>
      </x:c>
      <x:c r="K9" s="20" t="str">
        <x:v>Potential direct sequence family expansion.</x:v>
      </x:c>
    </x:row>
    <x:row r="10" ht="19" customHeight="1"/>
    <x:row r="11" ht="19" customHeight="1"/>
    <x:row r="12" ht="19" customHeight="1"/>
    <x:row r="13" ht="19" customHeight="1"/>
    <x:row r="14" ht="19" customHeight="1"/>
    <x:row r="15" ht="19" customHeight="1"/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f42d0915ed7429c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72" hidden="0" customWidth="1"/>
    <x:col min="4" max="4" width="32" hidden="0" customWidth="1"/>
    <x:col min="5" max="5" width="18" hidden="0" customWidth="1"/>
    <x:col min="6" max="6" width="55" hidden="0" customWidth="1"/>
    <x:col min="7" max="7" width="48" hidden="0" customWidth="1"/>
    <x:col min="8" max="8" width="60" hidden="0" customWidth="1"/>
  </x:cols>
  <x:sheetData>
    <x:row r="1" ht="30" customHeight="1">
      <x:c r="A1" s="39" t="str">
        <x:v>NanoMax PepAu-Forge — PepAuDB v0.3 Model-Readiness Dashboard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ht="19" customHeight="1"/>
    <x:row r="3" ht="34" customHeight="1">
      <x:c r="A3" s="44" t="str">
        <x:v>KPI</x:v>
      </x:c>
      <x:c r="B3" s="44" t="str">
        <x:v>Value</x:v>
      </x:c>
      <x:c r="D3" s="44" t="str">
        <x:v>Decision</x:v>
      </x:c>
      <x:c r="E3" s="44" t="str">
        <x:v>Status</x:v>
      </x:c>
      <x:c r="F3" s="44" t="str">
        <x:v>Permitted Now</x:v>
      </x:c>
      <x:c r="G3" s="44" t="str">
        <x:v>Not Permitted Yet</x:v>
      </x:c>
      <x:c r="H3" s="44" t="str">
        <x:v>Scientific Reason</x:v>
      </x:c>
    </x:row>
    <x:row r="4" ht="42" customHeight="1">
      <x:c r="A4" t="str">
        <x:v>Total v0.3 records</x:v>
      </x:c>
      <x:c r="B4" t="n">
        <x:f>COUNTA(PepAuDB_v0.3!A4:A49)</x:f>
        <x:v>46</x:v>
      </x:c>
      <x:c r="D4" s="20" t="str">
        <x:v>Build leakage-safe benchmark notebook</x:v>
      </x:c>
      <x:c r="E4" s="20" t="str">
        <x:v>GO</x:v>
      </x:c>
      <x:c r="F4" s="20" t="str">
        <x:v>Descriptive target counts; paper-grouped CV where mathematically feasible; baseline comparisons; y-scrambling; OOD</x:v>
      </x:c>
      <x:c r="G4" s="20" t="str">
        <x:v>Claiming generalizable 'highest accuracy'</x:v>
      </x:c>
      <x:c r="H4" s="20" t="str">
        <x:v>Validation methodology can be built before sample size is adequate.</x:v>
      </x:c>
    </x:row>
    <x:row r="5" ht="42" customHeight="1">
      <x:c r="A5" t="str">
        <x:v>New records in v0.3</x:v>
      </x:c>
      <x:c r="B5" t="n">
        <x:v>13</x:v>
      </x:c>
      <x:c r="D5" s="20" t="str">
        <x:v>Emission model</x:v>
      </x:c>
      <x:c r="E5" s="20" t="str">
        <x:v>EXPLORATORY</x:v>
      </x:c>
      <x:c r="F5" s="20" t="str">
        <x:v>Benchmark only when ≥3 paper groups have emission labels</x:v>
      </x:c>
      <x:c r="G5" s="20" t="str">
        <x:v>Production score</x:v>
      </x:c>
      <x:c r="H5" s="20" t="str">
        <x:v>Current target N is small and paper-level heterogeneity remains.</x:v>
      </x:c>
    </x:row>
    <x:row r="6" ht="42" customHeight="1">
      <x:c r="A6" t="str">
        <x:v>Direct atomic A1 records</x:v>
      </x:c>
      <x:c r="B6" t="n">
        <x:f>COUNTIF(PepAuDB_v0.3!C4:C49,"A1 DIRECT_PEPTIDE_ATOMIC_AUNC")</x:f>
        <x:v>6</x:v>
      </x:c>
      <x:c r="D6" s="20" t="str">
        <x:v>Core-size model</x:v>
      </x:c>
      <x:c r="E6" s="20" t="str">
        <x:v>EXPLORATORY</x:v>
      </x:c>
      <x:c r="F6" s="20" t="str">
        <x:v>Small-data benchmark with paper grouping</x:v>
      </x:c>
      <x:c r="G6" s="20" t="str">
        <x:v>Final inverse-design claim</x:v>
      </x:c>
      <x:c r="H6" s="20" t="str">
        <x:v>Few independent groups with directly comparable size labels.</x:v>
      </x:c>
    </x:row>
    <x:row r="7" ht="42" customHeight="1">
      <x:c r="A7" t="str">
        <x:v>Core/target-specific exploratory train rows</x:v>
      </x:c>
      <x:c r="B7" t="n">
        <x:f>COUNTA(Training_View_v0.3!A4:A12)</x:f>
        <x:v>9</x:v>
      </x:c>
      <x:c r="D7" s="20" t="str">
        <x:v>PLQY model</x:v>
      </x:c>
      <x:c r="E7" s="20" t="str">
        <x:v>EXPLORATORY</x:v>
      </x:c>
      <x:c r="F7" s="20" t="str">
        <x:v>Baseline/diagnostic benchmark</x:v>
      </x:c>
      <x:c r="G7" s="20" t="str">
        <x:v>High-confidence QY prediction</x:v>
      </x:c>
      <x:c r="H7" s="20" t="str">
        <x:v>QY coverage is sparse and measurement methods differ.</x:v>
      </x:c>
    </x:row>
    <x:row r="8" ht="42" customHeight="1">
      <x:c r="A8" t="str">
        <x:v>TRAIN_CORE</x:v>
      </x:c>
      <x:c r="B8" t="n">
        <x:f>COUNTIF(PepAuDB_v0.3!AJ4:AJ49,"TRAIN_CORE")</x:f>
        <x:v>3</x:v>
      </x:c>
      <x:c r="D8" s="20" t="str">
        <x:v>Atomic nuclearity model</x:v>
      </x:c>
      <x:c r="E8" s="20" t="str">
        <x:v>STOP</x:v>
      </x:c>
      <x:c r="F8" s="20" t="str">
        <x:v>Target inventory and descriptive analysis</x:v>
      </x:c>
      <x:c r="G8" s="20" t="str">
        <x:v>Deployable nuclearity predictor</x:v>
      </x:c>
      <x:c r="H8" s="20" t="str">
        <x:v>Too few independent atomic peptide families.</x:v>
      </x:c>
    </x:row>
    <x:row r="9" ht="42" customHeight="1">
      <x:c r="A9" t="str">
        <x:v>TRAIN_OPTICAL_SIZE</x:v>
      </x:c>
      <x:c r="B9" t="n">
        <x:f>COUNTIF(PepAuDB_v0.3!AJ4:AJ49,"TRAIN_OPTICAL_SIZE")</x:f>
        <x:v>4</x:v>
      </x:c>
      <x:c r="D9" s="20" t="str">
        <x:v>Formation classifier</x:v>
      </x:c>
      <x:c r="E9" s="20" t="str">
        <x:v>STOP</x:v>
      </x:c>
      <x:c r="F9" s="20" t="str">
        <x:v>Curate positives/negatives</x:v>
      </x:c>
      <x:c r="G9" s="20" t="str">
        <x:v>Classifier accuracy claim</x:v>
      </x:c>
      <x:c r="H9" s="20" t="str">
        <x:v>Literature remains success-biased; explicit failed synthesis controls are inadequate.</x:v>
      </x:c>
    </x:row>
    <x:row r="10" ht="42" customHeight="1">
      <x:c r="A10" t="str">
        <x:v>TRAIN_OPTICAL_QY</x:v>
      </x:c>
      <x:c r="B10" t="n">
        <x:f>COUNTIF(PepAuDB_v0.3!AJ4:AJ49,"TRAIN_OPTICAL_QY")</x:f>
        <x:v>1</x:v>
      </x:c>
      <x:c r="D10" s="20" t="str">
        <x:v>PTT model</x:v>
      </x:c>
      <x:c r="E10" s="20" t="str">
        <x:v>STOP</x:v>
      </x:c>
      <x:c r="F10" s="20" t="str">
        <x:v>Benchmark/reference layer only</x:v>
      </x:c>
      <x:c r="G10" s="20" t="str">
        <x:v>Learned peptide→PCE/ΔT model</x:v>
      </x:c>
      <x:c r="H10" s="20" t="str">
        <x:v>Direct peptide-templated AuNC PTT dataset remains too sparse.</x:v>
      </x:c>
    </x:row>
    <x:row r="11" ht="42" customHeight="1">
      <x:c r="A11" t="str">
        <x:v>TRAIN_STRUCTURE_ONLY</x:v>
      </x:c>
      <x:c r="B11" t="n">
        <x:f>COUNTIF(PepAuDB_v0.3!AJ4:AJ49,"TRAIN_STRUCTURE_ONLY")</x:f>
        <x:v>1</x:v>
      </x:c>
      <x:c r="D11" s="20" t="str">
        <x:v>Streamlit evidence shell</x:v>
      </x:c>
      <x:c r="E11" s="20" t="str">
        <x:v>GO</x:v>
      </x:c>
      <x:c r="F11" s="20" t="str">
        <x:v>Database explorer, evidence cards, target definition, model card, prototype benchmark view</x:v>
      </x:c>
      <x:c r="G11" s="20" t="str">
        <x:v>Clinical/experimental truth claims</x:v>
      </x:c>
      <x:c r="H11" s="20" t="str">
        <x:v>Professional UI can precede a scientifically mature predictive model.</x:v>
      </x:c>
    </x:row>
    <x:row r="12" ht="19" customHeight="1">
      <x:c r="A12" t="str">
        <x:v>QC_HOLD / QC_HOLD_PANEL</x:v>
      </x:c>
      <x:c r="B12" t="n">
        <x:f>COUNTIF(PepAuDB_v0.3!AJ4:AJ49,"QC_HOLD")+COUNTIF(PepAuDB_v0.3!AJ4:AJ49,"QC_HOLD_PANEL")</x:f>
        <x:v>15</x:v>
      </x:c>
    </x:row>
    <x:row r="13" ht="19" customHeight="1">
      <x:c r="A13" t="str">
        <x:v>Auxiliary-only doped-domain rows</x:v>
      </x:c>
      <x:c r="B13" t="n">
        <x:f>COUNTIF(PepAuDB_v0.3!AJ4:AJ49,"AUXILIARY_ONLY")</x:f>
        <x:v>2</x:v>
      </x:c>
    </x:row>
    <x:row r="14" ht="19" customHeight="1">
      <x:c r="A14" t="str">
        <x:v>Benchmark-only rows</x:v>
      </x:c>
      <x:c r="B14" t="n">
        <x:f>COUNTIF(PepAuDB_v0.3!AJ4:AJ49,"BENCHMARK_ONLY")</x:f>
        <x:v>4</x:v>
      </x:c>
      <x:c r="D14" s="44" t="str">
        <x:v>Eligibility class</x:v>
      </x:c>
      <x:c r="E14" s="44" t="str">
        <x:v>Count</x:v>
      </x:c>
    </x:row>
    <x:row r="15" ht="19" customHeight="1">
      <x:c r="A15" t="str">
        <x:v>Independent paper groups in Training_View</x:v>
      </x:c>
      <x:c r="B15" t="n">
        <x:f>COUNTA(_xlfn.UNIQUE(Training_View_v0.3!M4:M12))</x:f>
        <x:v>6</x:v>
      </x:c>
      <x:c r="D15" t="str">
        <x:v>TRAIN_CORE</x:v>
      </x:c>
      <x:c r="E15" t="n">
        <x:f>COUNTIF(PepAuDB_v0.3!AJ4:AJ49,"TRAIN_CORE")</x:f>
        <x:v>3</x:v>
      </x:c>
    </x:row>
    <x:row r="16" ht="19" customHeight="1">
      <x:c r="A16" t="str">
        <x:v>Distinct sequence clusters in Training_View</x:v>
      </x:c>
      <x:c r="B16" t="n">
        <x:f>COUNTA(_xlfn.UNIQUE(Training_View_v0.3!N4:N12))</x:f>
        <x:v>6</x:v>
      </x:c>
      <x:c r="D16" t="str">
        <x:v>TRAIN_OPTICAL_SIZE</x:v>
      </x:c>
      <x:c r="E16" t="n">
        <x:f>COUNTIF(PepAuDB_v0.3!AJ4:AJ49,"TRAIN_OPTICAL_SIZE")</x:f>
        <x:v>4</x:v>
      </x:c>
    </x:row>
    <x:row r="17" ht="19" customHeight="1">
      <x:c r="D17" t="str">
        <x:v>TRAIN_OPTICAL_QY</x:v>
      </x:c>
      <x:c r="E17" t="n">
        <x:f>COUNTIF(PepAuDB_v0.3!AJ4:AJ49,"TRAIN_OPTICAL_QY")</x:f>
        <x:v>1</x:v>
      </x:c>
    </x:row>
    <x:row r="18" ht="19" customHeight="1">
      <x:c r="D18" t="str">
        <x:v>TRAIN_STRUCTURE_ONLY</x:v>
      </x:c>
      <x:c r="E18" t="n">
        <x:f>COUNTIF(PepAuDB_v0.3!AJ4:AJ49,"TRAIN_STRUCTURE_ONLY")</x:f>
        <x:v>1</x:v>
      </x:c>
    </x:row>
    <x:row r="19" ht="19" customHeight="1">
      <x:c r="D19" t="str">
        <x:v>QC_HOLD + PANEL</x:v>
      </x:c>
      <x:c r="E19" t="n">
        <x:f>COUNTIF(PepAuDB_v0.3!AJ4:AJ49,"QC_HOLD")+COUNTIF(PepAuDB_v0.3!AJ4:AJ49,"QC_HOLD_PANEL")</x:f>
        <x:v>15</x:v>
      </x:c>
    </x:row>
    <x:row r="20" ht="28" customHeight="1">
      <x:c r="A20" s="44" t="str">
        <x:v>Immediate next acquisition</x:v>
      </x:c>
      <x:c r="B20" s="44" t="str">
        <x:v>Purpose</x:v>
      </x:c>
      <x:c r="D20" t="str">
        <x:v>AUXILIARY_ONLY</x:v>
      </x:c>
      <x:c r="E20" t="n">
        <x:f>COUNTIF(PepAuDB_v0.3!AJ4:AJ49,"AUXILIARY_ONLY")</x:f>
        <x:v>2</x:v>
      </x:c>
    </x:row>
    <x:row r="21" ht="28" customHeight="1">
      <x:c r="A21" s="20" t="str">
        <x:v>W10 seven-sequence motif panel</x:v>
      </x:c>
      <x:c r="B21" s="20" t="str">
        <x:v>Recover controlled per-sequence formation/optical outcomes.</x:v>
      </x:c>
    </x:row>
    <x:row r="22" ht="28" customHeight="1">
      <x:c r="A22" s="20" t="str">
        <x:v>W01 SV blue/red conditions</x:v>
      </x:c>
      <x:c r="B22" s="20" t="str">
        <x:v>Recover exact condition variables for same-sequence divergent outcomes.</x:v>
      </x:c>
    </x:row>
    <x:row r="23" ht="28" customHeight="1">
      <x:c r="A23" s="20" t="str">
        <x:v>W18 Wen 2013 panel</x:v>
      </x:c>
      <x:c r="B23" s="20" t="str">
        <x:v>Potential rapid-synthesis multi-peptide / Au8 data after primary verification.</x:v>
      </x:c>
    </x:row>
    <x:row r="24" ht="28" customHeight="1">
      <x:c r="A24" s="20" t="str">
        <x:v>W05 Au25Sv9</x:v>
      </x:c>
      <x:c r="B24" s="20" t="str">
        <x:v>Complete atomic sequence+synthesis record.</x:v>
      </x:c>
    </x:row>
    <x:row r="25" ht="28" customHeight="1">
      <x:c r="A25" s="20" t="str">
        <x:v>W09 CMMMMM/CYYYYY</x:v>
      </x:c>
      <x:c r="B25" s="20" t="str">
        <x:v>Matched sequence effect with quantitative optical/stability data.</x:v>
      </x:c>
    </x:row>
    <x:row r="26" ht="28" customHeight="1">
      <x:c r="A26" s="20" t="str">
        <x:v>W08 AuNCs-LHRHa PTT</x:v>
      </x:c>
      <x:c r="B26" s="20" t="str">
        <x:v>Strengthen direct peptide-functionalized AuNC PTT benchmark.</x:v>
      </x:c>
    </x:row>
    <x:row r="27" ht="28" customHeight="1">
      <x:c r="A27" s="20" t="str">
        <x:v>External future papers</x:v>
      </x:c>
      <x:c r="B27" s="20" t="str">
        <x:v>Reserve untouched papers/labs for final validation.</x:v>
      </x:c>
    </x:row>
    <x:row r="28" ht="19" customHeight="1"/>
    <x:row r="29" ht="19" customHeight="1"/>
    <x:row r="30" ht="30" customHeight="1">
      <x:c r="A30" s="44" t="str">
        <x:v>First diagnostic benchmark</x:v>
      </x:c>
      <x:c r="B30" s="44" t="str">
        <x:v>Result</x:v>
      </x:c>
    </x:row>
    <x:row r="31" ht="30" customHeight="1">
      <x:c r="A31" s="20" t="str">
        <x:v>Emission</x:v>
      </x:c>
      <x:c r="B31" s="20" t="str">
        <x:v>ML does not beat median baseline — FAIL</x:v>
      </x:c>
    </x:row>
    <x:row r="32" ht="30" customHeight="1">
      <x:c r="A32" s="20" t="str">
        <x:v>Core size</x:v>
      </x:c>
      <x:c r="B32" s="20" t="str">
        <x:v>Weak signal: MAE 0.229 nm vs 0.321 nm baseline; R² -0.422</x:v>
      </x:c>
    </x:row>
    <x:row r="33" ht="30" customHeight="1">
      <x:c r="A33" s="20" t="str">
        <x:v>PLQY</x:v>
      </x:c>
      <x:c r="B33" s="20" t="str">
        <x:v>ML does not beat median baseline — FAIL</x:v>
      </x:c>
    </x:row>
    <x:row r="34" ht="30" customHeight="1">
      <x:c r="A34" s="20" t="str">
        <x:v>Nuclearity</x:v>
      </x:c>
      <x:c r="B34" s="20" t="str">
        <x:v>STOP: only 4 labeled rows</x:v>
      </x:c>
    </x:row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</x:sheetData>
  <x:mergeCells>
    <x:mergeCell ref="A1:J1"/>
  </x:mergeCells>
  <x:pageMargins left="0.7" right="0.7" top="0.75" bottom="0.75" header="0.3" footer="0.3"/>
  <x:drawing xmlns:r="http://schemas.openxmlformats.org/officeDocument/2006/relationships" r:id="R755684743d6a4d7f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8" hidden="0" customWidth="1"/>
    <x:col min="4" max="4" width="14" hidden="0" customWidth="1"/>
    <x:col min="5" max="5" width="17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48" hidden="0" customWidth="1"/>
    <x:col min="12" max="12" width="18" hidden="0" customWidth="1"/>
    <x:col min="13" max="13" width="44" hidden="0" customWidth="1"/>
    <x:col min="14" max="14" width="70" hidden="0" customWidth="1"/>
  </x:cols>
  <x:sheetData>
    <x:row r="1">
      <x:c r="A1" s="39" t="str">
        <x:v>First Real-Data Diagnostic Benchmark — Paper-Grouped OOF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3">
      <x:c r="A3" s="44" t="str">
        <x:v>Target</x:v>
      </x:c>
      <x:c r="B3" s="44" t="str">
        <x:v>Model</x:v>
      </x:c>
      <x:c r="C3" s="44" t="str">
        <x:v>N</x:v>
      </x:c>
      <x:c r="D3" s="44" t="str">
        <x:v>Paper_Groups</x:v>
      </x:c>
      <x:c r="E3" s="44" t="str">
        <x:v>Sequence_Clusters</x:v>
      </x:c>
      <x:c r="F3" s="44" t="str">
        <x:v>MAE</x:v>
      </x:c>
      <x:c r="G3" s="44" t="str">
        <x:v>RMSE</x:v>
      </x:c>
      <x:c r="H3" s="44" t="str">
        <x:v>R2</x:v>
      </x:c>
      <x:c r="I3" s="44" t="str">
        <x:v>Spearman</x:v>
      </x:c>
      <x:c r="J3" s="44" t="str">
        <x:v>Interpretation</x:v>
      </x:c>
      <x:c r="L3" s="44" t="str">
        <x:v>Target</x:v>
      </x:c>
      <x:c r="M3" s="44" t="str">
        <x:v>First diagnostic conclusion</x:v>
      </x:c>
      <x:c r="N3" s="44" t="str">
        <x:v>Evidence</x:v>
      </x:c>
    </x:row>
    <x:row r="4" ht="36" customHeight="1">
      <x:c r="A4" s="20" t="str">
        <x:v>Emission_nm</x:v>
      </x:c>
      <x:c r="B4" s="20" t="str">
        <x:v>DummyMedian</x:v>
      </x:c>
      <x:c r="C4" s="20" t="n">
        <x:v>8</x:v>
      </x:c>
      <x:c r="D4" s="20" t="n">
        <x:v>5</x:v>
      </x:c>
      <x:c r="E4" s="20" t="n">
        <x:v>5</x:v>
      </x:c>
      <x:c r="F4" s="20" t="n">
        <x:v>143.75</x:v>
      </x:c>
      <x:c r="G4" s="20" t="n">
        <x:v>191.88212527486763</x:v>
      </x:c>
      <x:c r="H4" s="20" t="n">
        <x:v>-0.1133080566481226</x:v>
      </x:c>
      <x:c r="I4" s="20" t="n">
        <x:v>-0.7930446775731982</x:v>
      </x:c>
      <x:c r="J4" s="20" t="str">
        <x:v>Paper-grouped OOF diagnostic only</x:v>
      </x:c>
      <x:c r="L4" s="20" t="str">
        <x:v>Emission</x:v>
      </x:c>
      <x:c r="M4" s="20" t="str">
        <x:v>FAIL — learned models did not beat the median baseline</x:v>
      </x:c>
      <x:c r="N4" s="20" t="str">
        <x:v>Best observed MAE was the DummyMedian baseline: 143.75 nm.</x:v>
      </x:c>
    </x:row>
    <x:row r="5" ht="36" customHeight="1">
      <x:c r="A5" s="20" t="str">
        <x:v>Emission_nm</x:v>
      </x:c>
      <x:c r="B5" s="20" t="str">
        <x:v>ElasticNet</x:v>
      </x:c>
      <x:c r="C5" s="20" t="n">
        <x:v>8</x:v>
      </x:c>
      <x:c r="D5" s="20" t="n">
        <x:v>5</x:v>
      </x:c>
      <x:c r="E5" s="20" t="n">
        <x:v>5</x:v>
      </x:c>
      <x:c r="F5" s="20" t="n">
        <x:v>634.8444696285353</x:v>
      </x:c>
      <x:c r="G5" s="20" t="n">
        <x:v>865.5241869111413</x:v>
      </x:c>
      <x:c r="H5" s="20" t="n">
        <x:v>-21.65190487471708</x:v>
      </x:c>
      <x:c r="I5" s="20" t="n">
        <x:v>0.3353658536585366</x:v>
      </x:c>
      <x:c r="J5" s="20" t="str">
        <x:v>Paper-grouped OOF diagnostic only</x:v>
      </x:c>
      <x:c r="L5" s="20" t="str">
        <x:v>Core size</x:v>
      </x:c>
      <x:c r="M5" s="20" t="str">
        <x:v>WEAK SIGNAL ONLY — not generalizable</x:v>
      </x:c>
      <x:c r="N5" s="20" t="str">
        <x:v>ElasticNet MAE 0.229 nm vs DummyMedian 0.321 nm (~28.6% lower), but OOF R² = -0.422.</x:v>
      </x:c>
    </x:row>
    <x:row r="6" ht="36" customHeight="1">
      <x:c r="A6" s="20" t="str">
        <x:v>Emission_nm</x:v>
      </x:c>
      <x:c r="B6" s="20" t="str">
        <x:v>RandomForest</x:v>
      </x:c>
      <x:c r="C6" s="20" t="n">
        <x:v>8</x:v>
      </x:c>
      <x:c r="D6" s="20" t="n">
        <x:v>5</x:v>
      </x:c>
      <x:c r="E6" s="20" t="n">
        <x:v>5</x:v>
      </x:c>
      <x:c r="F6" s="20" t="n">
        <x:v>235.4531597222222</x:v>
      </x:c>
      <x:c r="G6" s="20" t="n">
        <x:v>271.5691562880801</x:v>
      </x:c>
      <x:c r="H6" s="20" t="n">
        <x:v>-1.230011988901531</x:v>
      </x:c>
      <x:c r="I6" s="20" t="n">
        <x:v>-0.6646341463414636</x:v>
      </x:c>
      <x:c r="J6" s="20" t="str">
        <x:v>Paper-grouped OOF diagnostic only</x:v>
      </x:c>
      <x:c r="L6" s="20" t="str">
        <x:v>PLQY</x:v>
      </x:c>
      <x:c r="M6" s="20" t="str">
        <x:v>FAIL — learned models did not beat the median baseline</x:v>
      </x:c>
      <x:c r="N6" s="20" t="str">
        <x:v>Best observed MAE was the DummyMedian baseline: 2.739 percentage points.</x:v>
      </x:c>
    </x:row>
    <x:row r="7" ht="36" customHeight="1">
      <x:c r="A7" s="20" t="str">
        <x:v>Emission_nm</x:v>
      </x:c>
      <x:c r="B7" s="20" t="str">
        <x:v>HistGradientBoosting</x:v>
      </x:c>
      <x:c r="C7" s="20" t="n">
        <x:v>8</x:v>
      </x:c>
      <x:c r="D7" s="20" t="n">
        <x:v>5</x:v>
      </x:c>
      <x:c r="E7" s="20" t="n">
        <x:v>5</x:v>
      </x:c>
      <x:c r="F7" s="20" t="n">
        <x:v>193.99404761904762</x:v>
      </x:c>
      <x:c r="G7" s="20" t="n">
        <x:v>247.74604372732108</x:v>
      </x:c>
      <x:c r="H7" s="20" t="n">
        <x:v>-0.8559222043549319</x:v>
      </x:c>
      <x:c r="I7" s="20" t="n">
        <x:v>-0.7578955605924002</x:v>
      </x:c>
      <x:c r="J7" s="20" t="str">
        <x:v>Paper-grouped OOF diagnostic only</x:v>
      </x:c>
      <x:c r="L7" s="20" t="str">
        <x:v>Au nuclearity</x:v>
      </x:c>
      <x:c r="M7" s="20" t="str">
        <x:v>STOP — no model run</x:v>
      </x:c>
      <x:c r="N7" s="20" t="str">
        <x:v>Only 4 labeled curated rows across 3 paper groups; below diagnostic N gate.</x:v>
      </x:c>
    </x:row>
    <x:row r="8">
      <x:c r="A8" s="20" t="str">
        <x:v>Emission_nm</x:v>
      </x:c>
      <x:c r="B8" s="20" t="str">
        <x:v>GaussianProcess</x:v>
      </x:c>
      <x:c r="C8" s="20" t="n">
        <x:v>8</x:v>
      </x:c>
      <x:c r="D8" s="20" t="n">
        <x:v>5</x:v>
      </x:c>
      <x:c r="E8" s="20" t="n">
        <x:v>5</x:v>
      </x:c>
      <x:c r="F8" s="20" t="n">
        <x:v>194.34768789404256</x:v>
      </x:c>
      <x:c r="G8" s="20" t="n">
        <x:v>247.81774874719588</x:v>
      </x:c>
      <x:c r="H8" s="20" t="n">
        <x:v>-0.8569966771903719</x:v>
      </x:c>
      <x:c r="I8" s="20" t="n">
        <x:v>-0.7531438174453121</x:v>
      </x:c>
      <x:c r="J8" s="20" t="str">
        <x:v>Paper-grouped OOF diagnostic only</x:v>
      </x:c>
    </x:row>
    <x:row r="9">
      <x:c r="A9" s="20" t="str">
        <x:v>Core_Size_nm</x:v>
      </x:c>
      <x:c r="B9" s="20" t="str">
        <x:v>DummyMedian</x:v>
      </x:c>
      <x:c r="C9" s="20" t="n">
        <x:v>7</x:v>
      </x:c>
      <x:c r="D9" s="20" t="n">
        <x:v>4</x:v>
      </x:c>
      <x:c r="E9" s="20" t="n">
        <x:v>4</x:v>
      </x:c>
      <x:c r="F9" s="20" t="n">
        <x:v>0.32142857142857145</x:v>
      </x:c>
      <x:c r="G9" s="20" t="n">
        <x:v>0.3300432872042264</x:v>
      </x:c>
      <x:c r="H9" s="20" t="n">
        <x:v>-1.2616525423728824</x:v>
      </x:c>
      <x:c r="I9" s="20" t="n">
        <x:v>-0.6288281455225324</x:v>
      </x:c>
      <x:c r="J9" s="20" t="str">
        <x:v>Paper-grouped OOF diagnostic only</x:v>
      </x:c>
    </x:row>
    <x:row r="10">
      <x:c r="A10" s="20" t="str">
        <x:v>Core_Size_nm</x:v>
      </x:c>
      <x:c r="B10" s="20" t="str">
        <x:v>ElasticNet</x:v>
      </x:c>
      <x:c r="C10" s="20" t="n">
        <x:v>7</x:v>
      </x:c>
      <x:c r="D10" s="20" t="n">
        <x:v>4</x:v>
      </x:c>
      <x:c r="E10" s="20" t="n">
        <x:v>4</x:v>
      </x:c>
      <x:c r="F10" s="20" t="n">
        <x:v>0.22935669680345364</x:v>
      </x:c>
      <x:c r="G10" s="20" t="n">
        <x:v>0.26173447429396746</x:v>
      </x:c>
      <x:c r="H10" s="20" t="n">
        <x:v>-0.42234822739959177</x:v>
      </x:c>
      <x:c r="I10" s="20" t="n">
        <x:v>0.7777777777777779</x:v>
      </x:c>
      <x:c r="J10" s="20" t="str">
        <x:v>Paper-grouped OOF diagnostic only</x:v>
      </x:c>
    </x:row>
    <x:row r="11">
      <x:c r="A11" s="20" t="str">
        <x:v>Core_Size_nm</x:v>
      </x:c>
      <x:c r="B11" s="20" t="str">
        <x:v>RandomForest</x:v>
      </x:c>
      <x:c r="C11" s="20" t="n">
        <x:v>7</x:v>
      </x:c>
      <x:c r="D11" s="20" t="n">
        <x:v>4</x:v>
      </x:c>
      <x:c r="E11" s="20" t="n">
        <x:v>4</x:v>
      </x:c>
      <x:c r="F11" s="20" t="n">
        <x:v>0.2450476190476198</x:v>
      </x:c>
      <x:c r="G11" s="20" t="n">
        <x:v>0.2658354306530194</x:v>
      </x:c>
      <x:c r="H11" s="20" t="n">
        <x:v>-0.46726920903955027</x:v>
      </x:c>
      <x:c r="I11" s="20" t="n">
        <x:v>-0.8574929257125442</x:v>
      </x:c>
      <x:c r="J11" s="20" t="str">
        <x:v>Paper-grouped OOF diagnostic only</x:v>
      </x:c>
    </x:row>
    <x:row r="12">
      <x:c r="A12" s="20" t="str">
        <x:v>Core_Size_nm</x:v>
      </x:c>
      <x:c r="B12" s="20" t="str">
        <x:v>HistGradientBoosting</x:v>
      </x:c>
      <x:c r="C12" s="20" t="n">
        <x:v>7</x:v>
      </x:c>
      <x:c r="D12" s="20" t="n">
        <x:v>4</x:v>
      </x:c>
      <x:c r="E12" s="20" t="n">
        <x:v>4</x:v>
      </x:c>
      <x:c r="F12" s="20" t="n">
        <x:v>0.2616666666666667</x:v>
      </x:c>
      <x:c r="G12" s="20" t="n">
        <x:v>0.2796135371521382</x:v>
      </x:c>
      <x:c r="H12" s="20" t="n">
        <x:v>-0.6233062617702458</x:v>
      </x:c>
      <x:c r="I12" s="20" t="n">
        <x:v>-0.6288281455225324</x:v>
      </x:c>
      <x:c r="J12" s="20" t="str">
        <x:v>Paper-grouped OOF diagnostic only</x:v>
      </x:c>
    </x:row>
    <x:row r="13">
      <x:c r="A13" s="20" t="str">
        <x:v>Core_Size_nm</x:v>
      </x:c>
      <x:c r="B13" s="20" t="str">
        <x:v>GaussianProcess</x:v>
      </x:c>
      <x:c r="C13" s="20" t="n">
        <x:v>7</x:v>
      </x:c>
      <x:c r="D13" s="20" t="n">
        <x:v>4</x:v>
      </x:c>
      <x:c r="E13" s="20" t="n">
        <x:v>4</x:v>
      </x:c>
      <x:c r="F13" s="20" t="n">
        <x:v>0.25310925166692305</x:v>
      </x:c>
      <x:c r="G13" s="20" t="n">
        <x:v>0.26834181600690205</x:v>
      </x:c>
      <x:c r="H13" s="20" t="n">
        <x:v>-0.495067449439077</x:v>
      </x:c>
      <x:c r="I13" s="20" t="n">
        <x:v>-0.6666666666666667</x:v>
      </x:c>
      <x:c r="J13" s="20" t="str">
        <x:v>Paper-grouped OOF diagnostic only</x:v>
      </x:c>
    </x:row>
    <x:row r="14">
      <x:c r="A14" s="20" t="str">
        <x:v>PLQY_pct</x:v>
      </x:c>
      <x:c r="B14" s="20" t="str">
        <x:v>DummyMedian</x:v>
      </x:c>
      <x:c r="C14" s="20" t="n">
        <x:v>7</x:v>
      </x:c>
      <x:c r="D14" s="20" t="n">
        <x:v>4</x:v>
      </x:c>
      <x:c r="E14" s="20" t="n">
        <x:v>4</x:v>
      </x:c>
      <x:c r="F14" s="20" t="n">
        <x:v>2.7385714285714284</x:v>
      </x:c>
      <x:c r="G14" s="20" t="n">
        <x:v>5.2455573039069385</x:v>
      </x:c>
      <x:c r="H14" s="20" t="n">
        <x:v>-0.19612232782047556</x:v>
      </x:c>
      <x:c r="I14" s="20" t="n">
        <x:v>-0.381385035698237</x:v>
      </x:c>
      <x:c r="J14" s="20" t="str">
        <x:v>Paper-grouped OOF diagnostic only</x:v>
      </x:c>
    </x:row>
    <x:row r="15">
      <x:c r="A15" s="20" t="str">
        <x:v>PLQY_pct</x:v>
      </x:c>
      <x:c r="B15" s="20" t="str">
        <x:v>ElasticNet</x:v>
      </x:c>
      <x:c r="C15" s="20" t="n">
        <x:v>7</x:v>
      </x:c>
      <x:c r="D15" s="20" t="n">
        <x:v>4</x:v>
      </x:c>
      <x:c r="E15" s="20" t="n">
        <x:v>4</x:v>
      </x:c>
      <x:c r="F15" s="20" t="n">
        <x:v>52.73691754456519</x:v>
      </x:c>
      <x:c r="G15" s="20" t="n">
        <x:v>80.66104797624448</x:v>
      </x:c>
      <x:c r="H15" s="20" t="n">
        <x:v>-281.8264655962761</x:v>
      </x:c>
      <x:c r="I15" s="20" t="n">
        <x:v>0.4036867138796656</x:v>
      </x:c>
      <x:c r="J15" s="20" t="str">
        <x:v>Paper-grouped OOF diagnostic only</x:v>
      </x:c>
    </x:row>
    <x:row r="16">
      <x:c r="A16" s="20" t="str">
        <x:v>PLQY_pct</x:v>
      </x:c>
      <x:c r="B16" s="20" t="str">
        <x:v>RandomForest</x:v>
      </x:c>
      <x:c r="C16" s="20" t="n">
        <x:v>7</x:v>
      </x:c>
      <x:c r="D16" s="20" t="n">
        <x:v>4</x:v>
      </x:c>
      <x:c r="E16" s="20" t="n">
        <x:v>4</x:v>
      </x:c>
      <x:c r="F16" s="20" t="n">
        <x:v>5.327158730158726</x:v>
      </x:c>
      <x:c r="G16" s="20" t="n">
        <x:v>6.244942885134258</x:v>
      </x:c>
      <x:c r="H16" s="20" t="n">
        <x:v>-0.6953105607299717</x:v>
      </x:c>
      <x:c r="I16" s="20" t="n">
        <x:v>0.22019275302527216</x:v>
      </x:c>
      <x:c r="J16" s="20" t="str">
        <x:v>Paper-grouped OOF diagnostic only</x:v>
      </x:c>
    </x:row>
    <x:row r="17">
      <x:c r="A17" s="20" t="str">
        <x:v>PLQY_pct</x:v>
      </x:c>
      <x:c r="B17" s="20" t="str">
        <x:v>HistGradientBoosting</x:v>
      </x:c>
      <x:c r="C17" s="20" t="n">
        <x:v>7</x:v>
      </x:c>
      <x:c r="D17" s="20" t="n">
        <x:v>4</x:v>
      </x:c>
      <x:c r="E17" s="20" t="n">
        <x:v>4</x:v>
      </x:c>
      <x:c r="F17" s="20" t="n">
        <x:v>4.5136666666666665</x:v>
      </x:c>
      <x:c r="G17" s="20" t="n">
        <x:v>5.939425185965604</x:v>
      </x:c>
      <x:c r="H17" s="20" t="n">
        <x:v>-0.5334907419367485</x:v>
      </x:c>
      <x:c r="I17" s="20" t="n">
        <x:v>-0.3965088288259146</x:v>
      </x:c>
      <x:c r="J17" s="20" t="str">
        <x:v>Paper-grouped OOF diagnostic only</x:v>
      </x:c>
    </x:row>
    <x:row r="18">
      <x:c r="A18" s="20" t="str">
        <x:v>PLQY_pct</x:v>
      </x:c>
      <x:c r="B18" s="20" t="str">
        <x:v>GaussianProcess</x:v>
      </x:c>
      <x:c r="C18" s="20" t="n">
        <x:v>7</x:v>
      </x:c>
      <x:c r="D18" s="20" t="n">
        <x:v>4</x:v>
      </x:c>
      <x:c r="E18" s="20" t="n">
        <x:v>4</x:v>
      </x:c>
      <x:c r="F18" s="20" t="n">
        <x:v>5.579800418208744</x:v>
      </x:c>
      <x:c r="G18" s="20" t="n">
        <x:v>6.599040501326826</x:v>
      </x:c>
      <x:c r="H18" s="20" t="n">
        <x:v>-0.8930143822443994</x:v>
      </x:c>
      <x:c r="I18" s="20" t="n">
        <x:v>0.1682904582015223</x:v>
      </x:c>
      <x:c r="J18" s="20" t="str">
        <x:v>Paper-grouped OOF diagnostic only</x:v>
      </x:c>
    </x:row>
    <x:row r="19">
      <x:c r="A19" s="20" t="str">
        <x:v>Au_Nuclearity</x:v>
      </x:c>
      <x:c r="B19" s="20" t="str">
        <x:v>GATE_STOP</x:v>
      </x:c>
      <x:c r="C19" s="20" t="n">
        <x:v>4</x:v>
      </x:c>
      <x:c r="D19" s="20" t="n">
        <x:v>3</x:v>
      </x:c>
      <x:c r="E19" s="20" t="n">
        <x:v>3</x:v>
      </x:c>
      <x:c r="F19" s="20"/>
      <x:c r="G19" s="20"/>
      <x:c r="H19" s="20"/>
      <x:c r="I19" s="20"/>
      <x:c r="J19" s="20" t="str">
        <x:v>Insufficient direct independent data for diagnostic modeling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d88295981c804592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1" hidden="0" customWidth="1"/>
    <x:col min="4" max="4" width="16" hidden="0" customWidth="1"/>
    <x:col min="5" max="5" width="28" hidden="0" customWidth="1"/>
    <x:col min="6" max="6" width="33" hidden="0" customWidth="1"/>
    <x:col min="7" max="7" width="40" hidden="0" customWidth="1"/>
    <x:col min="8" max="8" width="14" hidden="0" customWidth="1"/>
    <x:col min="9" max="9" width="36" hidden="0" customWidth="1"/>
    <x:col min="10" max="10" width="13" hidden="0" customWidth="1"/>
    <x:col min="11" max="11" width="12" hidden="0" customWidth="1"/>
    <x:col min="12" max="12" width="13" hidden="0" customWidth="1"/>
    <x:col min="13" max="13" width="16" hidden="0" customWidth="1"/>
    <x:col min="14" max="14" width="38" hidden="0" customWidth="1"/>
    <x:col min="15" max="15" width="22" hidden="0" customWidth="1"/>
    <x:col min="16" max="16" width="50" hidden="0" customWidth="1"/>
    <x:col min="17" max="17" width="30" hidden="0" customWidth="1"/>
    <x:col min="18" max="18" width="10" hidden="0" customWidth="1"/>
    <x:col min="19" max="19" width="13" hidden="0" customWidth="1"/>
    <x:col min="20" max="20" width="10" hidden="0" customWidth="1"/>
    <x:col min="21" max="21" width="46" hidden="0" customWidth="1"/>
    <x:col min="22" max="22" width="16" hidden="0" customWidth="1"/>
    <x:col min="23" max="23" width="28" hidden="0" customWidth="1"/>
    <x:col min="24" max="24" width="12" hidden="0" customWidth="1"/>
    <x:col min="25" max="25" width="20" hidden="0" customWidth="1"/>
    <x:col min="26" max="26" width="12" hidden="0" customWidth="1"/>
    <x:col min="27" max="27" width="10" hidden="0" customWidth="1"/>
    <x:col min="28" max="28" width="16" hidden="0" customWidth="1"/>
    <x:col min="29" max="29" width="18" hidden="0" customWidth="1"/>
    <x:col min="30" max="30" width="14" hidden="0" customWidth="1"/>
    <x:col min="31" max="31" width="30" hidden="0" customWidth="1"/>
    <x:col min="32" max="32" width="76" hidden="0" customWidth="1"/>
    <x:col min="33" max="33" width="38" hidden="0" customWidth="1"/>
    <x:col min="34" max="34" width="44" hidden="0" customWidth="1"/>
    <x:col min="35" max="35" width="16" hidden="0" customWidth="1"/>
    <x:col min="36" max="36" width="25" hidden="0" customWidth="1"/>
    <x:col min="37" max="37" width="30" hidden="0" customWidth="1"/>
    <x:col min="38" max="38" width="68" hidden="0" customWidth="1"/>
    <x:col min="39" max="39" width="14" hidden="0" customWidth="1"/>
    <x:col min="40" max="40" width="25" hidden="0" customWidth="1"/>
  </x:cols>
  <x:sheetData>
    <x:row r="1" ht="30" customHeight="1">
      <x:c r="A1" s="48" t="str">
        <x:v>PepAuDB v0.4 — Expanded Sequence–Property Panels + Formation Control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  <x:c r="AA1" s="48"/>
      <x:c r="AB1" s="48"/>
      <x:c r="AC1" s="48"/>
      <x:c r="AD1" s="48"/>
      <x:c r="AE1" s="48"/>
      <x:c r="AF1" s="48"/>
      <x:c r="AG1" s="48"/>
      <x:c r="AH1" s="48"/>
      <x:c r="AI1" s="48"/>
      <x:c r="AJ1" s="48"/>
      <x:c r="AK1" s="48"/>
      <x:c r="AL1" s="48"/>
      <x:c r="AM1" s="48"/>
      <x:c r="AN1" s="48"/>
    </x:row>
    <x:row r="2" ht="19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</x:row>
    <x:row r="3" ht="34" customHeight="1">
      <x:c r="A3" s="53" t="str">
        <x:v>Record_ID</x:v>
      </x:c>
      <x:c r="B3" s="53" t="str">
        <x:v>Source_ID</x:v>
      </x:c>
      <x:c r="C3" s="53" t="str">
        <x:v>Evidence_Class</x:v>
      </x:c>
      <x:c r="D3" s="53" t="str">
        <x:v>Data_Status</x:v>
      </x:c>
      <x:c r="E3" s="53" t="str">
        <x:v>Material_Regime</x:v>
      </x:c>
      <x:c r="F3" s="53" t="str">
        <x:v>Peptide_or_Ligand</x:v>
      </x:c>
      <x:c r="G3" s="53" t="str">
        <x:v>Sequence</x:v>
      </x:c>
      <x:c r="H3" s="53" t="str">
        <x:v>Stereochemistry</x:v>
      </x:c>
      <x:c r="I3" s="53" t="str">
        <x:v>Terminal_or_Chemical_Modification</x:v>
      </x:c>
      <x:c r="J3" s="53" t="str">
        <x:v>Au_Nuclearity</x:v>
      </x:c>
      <x:c r="K3" s="53" t="str">
        <x:v>Ligand_Count</x:v>
      </x:c>
      <x:c r="L3" s="53" t="str">
        <x:v>Core_Size_nm</x:v>
      </x:c>
      <x:c r="M3" s="53" t="str">
        <x:v>Hydrodynamic_Size_nm</x:v>
      </x:c>
      <x:c r="N3" s="53" t="str">
        <x:v>Morphology</x:v>
      </x:c>
      <x:c r="O3" s="53" t="str">
        <x:v>Au_Precursor</x:v>
      </x:c>
      <x:c r="P3" s="53" t="str">
        <x:v>Peptide_or_Ligand_Condition</x:v>
      </x:c>
      <x:c r="Q3" s="53" t="str">
        <x:v>Reducing_Agent</x:v>
      </x:c>
      <x:c r="R3" s="53" t="str">
        <x:v>pH</x:v>
      </x:c>
      <x:c r="S3" s="53" t="str">
        <x:v>Temperature_C</x:v>
      </x:c>
      <x:c r="T3" s="53" t="str">
        <x:v>Time_h</x:v>
      </x:c>
      <x:c r="U3" s="53" t="str">
        <x:v>Mixing_or_Process</x:v>
      </x:c>
      <x:c r="V3" s="53" t="str">
        <x:v>Emission_Peak_nm</x:v>
      </x:c>
      <x:c r="W3" s="53" t="str">
        <x:v>Emission_Range_nm</x:v>
      </x:c>
      <x:c r="X3" s="53" t="str">
        <x:v>PLQY_pct</x:v>
      </x:c>
      <x:c r="Y3" s="53" t="str">
        <x:v>Absorption_or_LSPR_nm</x:v>
      </x:c>
      <x:c r="Z3" s="53" t="str">
        <x:v>Zeta_mV</x:v>
      </x:c>
      <x:c r="AA3" s="53" t="str">
        <x:v>Laser_nm</x:v>
      </x:c>
      <x:c r="AB3" s="53" t="str">
        <x:v>Laser_Power_W_cm2</x:v>
      </x:c>
      <x:c r="AC3" s="53" t="str">
        <x:v>PTT_Temperature_C</x:v>
      </x:c>
      <x:c r="AD3" s="53" t="str">
        <x:v>PTT_Time_min</x:v>
      </x:c>
      <x:c r="AE3" s="53" t="str">
        <x:v>Application</x:v>
      </x:c>
      <x:c r="AF3" s="53" t="str">
        <x:v>Key_Observation</x:v>
      </x:c>
      <x:c r="AG3" s="53" t="str">
        <x:v>Source_Locator</x:v>
      </x:c>
      <x:c r="AH3" s="53" t="str">
        <x:v>DOI_URL</x:v>
      </x:c>
      <x:c r="AI3" s="53" t="str">
        <x:v>Key_Field_Completeness_pct</x:v>
      </x:c>
      <x:c r="AJ3" s="53" t="str">
        <x:v>Training_Eligibility</x:v>
      </x:c>
      <x:c r="AK3" s="53" t="str">
        <x:v>Sequence_Status</x:v>
      </x:c>
      <x:c r="AL3" s="53" t="str">
        <x:v>QC_Flag</x:v>
      </x:c>
      <x:c r="AM3" s="53" t="str">
        <x:v>Research_Date</x:v>
      </x:c>
      <x:c r="AN3" s="53" t="str">
        <x:v>Source_Type</x:v>
      </x:c>
    </x:row>
    <x:row r="4" ht="19" customHeight="1">
      <x:c r="A4" s="20" t="str">
        <x:v>R001</x:v>
      </x:c>
      <x:c r="B4" s="20" t="str">
        <x:v>S01</x:v>
      </x:c>
      <x:c r="C4" s="20" t="str">
        <x:v>B1 PEPTIDE_AUNP_MECHANISM</x:v>
      </x:c>
      <x:c r="D4" s="20" t="str">
        <x:v>DIRECT</x:v>
      </x:c>
      <x:c r="E4" s="20" t="str">
        <x:v>gold_nanoparticle</x:v>
      </x:c>
      <x:c r="F4" s="20" t="str">
        <x:v>AAAKCK</x:v>
      </x:c>
      <x:c r="G4" s="20" t="str">
        <x:v>AAAKCK</x:v>
      </x:c>
      <x:c r="H4" s="20" t="str">
        <x:v>L</x:v>
      </x:c>
      <x:c r="I4" s="20" t="str">
        <x:v>None</x:v>
      </x:c>
      <x:c r="J4" s="20"/>
      <x:c r="K4" s="20"/>
      <x:c r="L4" s="20"/>
      <x:c r="M4" s="20"/>
      <x:c r="N4" s="20" t="str">
        <x:v>Mostly icosahedron/decahedron; some hexagonal plates</x:v>
      </x:c>
      <x:c r="O4" s="20" t="str">
        <x:v>HAuCl4</x:v>
      </x:c>
      <x:c r="P4" s="20" t="str">
        <x:v>7 mM peptide; 10 mM HAuCl4; 20 mM phosphate buffer</x:v>
      </x:c>
      <x:c r="Q4" s="20" t="str">
        <x:v>Peptide self-reduction</x:v>
      </x:c>
      <x:c r="R4" s="20" t="n">
        <x:v>4</x:v>
      </x:c>
      <x:c r="S4" s="20" t="n">
        <x:v>25</x:v>
      </x:c>
      <x:c r="T4" s="20"/>
      <x:c r="U4" s="20" t="str">
        <x:v>No stirring; room temperature</x:v>
      </x:c>
      <x:c r="V4" s="20"/>
      <x:c r="W4" s="20"/>
      <x:c r="X4" s="20"/>
      <x:c r="Y4" s="20"/>
      <x:c r="Z4" s="20"/>
      <x:c r="AA4" s="20"/>
      <x:c r="AB4" s="20"/>
      <x:c r="AC4" s="20"/>
      <x:c r="AD4" s="20"/>
      <x:c r="AE4" s="20" t="str">
        <x:v>Mechanistic</x:v>
      </x:c>
      <x:c r="AF4" s="20" t="str">
        <x:v>pH 4: 71.4% icosahedron/decahedron; size ranges 55–90, 50–100 and 65–125 nm for icosahedron/decahedron/plates</x:v>
      </x:c>
      <x:c r="AG4" s="20" t="str">
        <x:v>Main text p.5; Fig.6</x:v>
      </x:c>
      <x:c r="AH4" s="20" t="str">
        <x:v>https://doi.org/10.1021/acsomega.6b00140</x:v>
      </x:c>
      <x:c r="AI4" s="24" t="n">
        <x:f>ROUND(100*COUNTA(G4,J4,L4,R4,S4,T4,V4,X4,AA4,AC4)/10,0)</x:f>
        <x:v>30</x:v>
      </x:c>
      <x:c r="AJ4" s="20" t="str">
        <x:v>MECHANISTIC_ONLY</x:v>
      </x:c>
      <x:c r="AK4" s="20" t="str">
        <x:v>EXACT_FROM_UPLOADED_PRIMARY</x:v>
      </x:c>
      <x:c r="AL4" s="20" t="str">
        <x:v>Cross-regime peptide→gold mechanism; not an atomically precise AuNC training target.</x:v>
      </x:c>
      <x:c r="AM4" s="20" t="str">
        <x:v>2026-09-07</x:v>
      </x:c>
      <x:c r="AN4" s="20" t="str">
        <x:v>UPLOADED_PRIMARY_OR_REVIEW</x:v>
      </x:c>
    </x:row>
    <x:row r="5" ht="19" customHeight="1">
      <x:c r="A5" s="20" t="str">
        <x:v>R002</x:v>
      </x:c>
      <x:c r="B5" s="20" t="str">
        <x:v>S01</x:v>
      </x:c>
      <x:c r="C5" s="20" t="str">
        <x:v>B1 PEPTIDE_AUNP_MECHANISM</x:v>
      </x:c>
      <x:c r="D5" s="20" t="str">
        <x:v>DIRECT</x:v>
      </x:c>
      <x:c r="E5" s="20" t="str">
        <x:v>gold_nanoparticle</x:v>
      </x:c>
      <x:c r="F5" s="20" t="str">
        <x:v>AAAKCK</x:v>
      </x:c>
      <x:c r="G5" s="20" t="str">
        <x:v>AAAKCK</x:v>
      </x:c>
      <x:c r="H5" s="20" t="str">
        <x:v>L</x:v>
      </x:c>
      <x:c r="I5" s="20" t="str">
        <x:v>None</x:v>
      </x:c>
      <x:c r="J5" s="20"/>
      <x:c r="K5" s="20"/>
      <x:c r="L5" s="20"/>
      <x:c r="M5" s="20"/>
      <x:c r="N5" s="20" t="str">
        <x:v>Mixed; icosahedron/decahedron + bipyramids/spheres/plates</x:v>
      </x:c>
      <x:c r="O5" s="20" t="str">
        <x:v>HAuCl4</x:v>
      </x:c>
      <x:c r="P5" s="20" t="str">
        <x:v>7 mM peptide; 10 mM HAuCl4; 20 mM phosphate buffer</x:v>
      </x:c>
      <x:c r="Q5" s="20" t="str">
        <x:v>Peptide self-reduction</x:v>
      </x:c>
      <x:c r="R5" s="20" t="n">
        <x:v>6</x:v>
      </x:c>
      <x:c r="S5" s="20" t="n">
        <x:v>25</x:v>
      </x:c>
      <x:c r="T5" s="20"/>
      <x:c r="U5" s="20" t="str">
        <x:v>No stirring; room temperature</x:v>
      </x:c>
      <x:c r="V5" s="20"/>
      <x:c r="W5" s="20"/>
      <x:c r="X5" s="20"/>
      <x:c r="Y5" s="20"/>
      <x:c r="Z5" s="20"/>
      <x:c r="AA5" s="20"/>
      <x:c r="AB5" s="20"/>
      <x:c r="AC5" s="20"/>
      <x:c r="AD5" s="20"/>
      <x:c r="AE5" s="20" t="str">
        <x:v>Mechanistic</x:v>
      </x:c>
      <x:c r="AF5" s="20" t="str">
        <x:v>pH 6 reduces many size ranges vs pH 4; spherical/bipyramidal forms appear</x:v>
      </x:c>
      <x:c r="AG5" s="20" t="str">
        <x:v>Main text p.5; Fig.6</x:v>
      </x:c>
      <x:c r="AH5" s="20" t="str">
        <x:v>https://doi.org/10.1021/acsomega.6b00140</x:v>
      </x:c>
      <x:c r="AI5" s="24" t="n">
        <x:f>ROUND(100*COUNTA(G5,J5,L5,R5,S5,T5,V5,X5,AA5,AC5)/10,0)</x:f>
        <x:v>30</x:v>
      </x:c>
      <x:c r="AJ5" s="20" t="str">
        <x:v>MECHANISTIC_ONLY</x:v>
      </x:c>
      <x:c r="AK5" s="20" t="str">
        <x:v>EXACT_FROM_UPLOADED_PRIMARY</x:v>
      </x:c>
      <x:c r="AL5" s="20" t="str">
        <x:v>Cross-regime peptide→gold mechanism; not an atomically precise AuNC training target.</x:v>
      </x:c>
      <x:c r="AM5" s="20" t="str">
        <x:v>2026-09-07</x:v>
      </x:c>
      <x:c r="AN5" s="20" t="str">
        <x:v>UPLOADED_PRIMARY_OR_REVIEW</x:v>
      </x:c>
    </x:row>
    <x:row r="6" ht="19" customHeight="1">
      <x:c r="A6" s="20" t="str">
        <x:v>R003</x:v>
      </x:c>
      <x:c r="B6" s="20" t="str">
        <x:v>S01</x:v>
      </x:c>
      <x:c r="C6" s="20" t="str">
        <x:v>B1 PEPTIDE_AUNP_MECHANISM</x:v>
      </x:c>
      <x:c r="D6" s="20" t="str">
        <x:v>DIRECT</x:v>
      </x:c>
      <x:c r="E6" s="20" t="str">
        <x:v>gold_nanoparticle</x:v>
      </x:c>
      <x:c r="F6" s="20" t="str">
        <x:v>AAAKCK</x:v>
      </x:c>
      <x:c r="G6" s="20" t="str">
        <x:v>AAAKCK</x:v>
      </x:c>
      <x:c r="H6" s="20" t="str">
        <x:v>L</x:v>
      </x:c>
      <x:c r="I6" s="20" t="str">
        <x:v>None</x:v>
      </x:c>
      <x:c r="J6" s="20"/>
      <x:c r="K6" s="20"/>
      <x:c r="L6" s="20" t="n">
        <x:v>18</x:v>
      </x:c>
      <x:c r="M6" s="20"/>
      <x:c r="N6" s="20" t="str">
        <x:v>Predominantly spherical / low shape polydispersity</x:v>
      </x:c>
      <x:c r="O6" s="20" t="str">
        <x:v>HAuCl4</x:v>
      </x:c>
      <x:c r="P6" s="20" t="str">
        <x:v>7 mM peptide; 10 mM HAuCl4; 20 mM phosphate buffer</x:v>
      </x:c>
      <x:c r="Q6" s="20" t="str">
        <x:v>Peptide self-reduction</x:v>
      </x:c>
      <x:c r="R6" s="20" t="n">
        <x:v>9</x:v>
      </x:c>
      <x:c r="S6" s="20" t="n">
        <x:v>25</x:v>
      </x:c>
      <x:c r="T6" s="20"/>
      <x:c r="U6" s="20" t="str">
        <x:v>No stirring; room temperature</x:v>
      </x:c>
      <x:c r="V6" s="20"/>
      <x:c r="W6" s="20"/>
      <x:c r="X6" s="20"/>
      <x:c r="Y6" s="20"/>
      <x:c r="Z6" s="20"/>
      <x:c r="AA6" s="20"/>
      <x:c r="AB6" s="20"/>
      <x:c r="AC6" s="20"/>
      <x:c r="AD6" s="20"/>
      <x:c r="AE6" s="20" t="str">
        <x:v>Mechanistic</x:v>
      </x:c>
      <x:c r="AF6" s="20" t="str">
        <x:v>pH 9 produced low shape polydispersity with predominant ~18 nm particles</x:v>
      </x:c>
      <x:c r="AG6" s="20" t="str">
        <x:v>Main text p.5; Fig.6F</x:v>
      </x:c>
      <x:c r="AH6" s="20" t="str">
        <x:v>https://doi.org/10.1021/acsomega.6b00140</x:v>
      </x:c>
      <x:c r="AI6" s="24" t="n">
        <x:f>ROUND(100*COUNTA(G6,J6,L6,R6,S6,T6,V6,X6,AA6,AC6)/10,0)</x:f>
        <x:v>40</x:v>
      </x:c>
      <x:c r="AJ6" s="20" t="str">
        <x:v>MECHANISTIC_ONLY</x:v>
      </x:c>
      <x:c r="AK6" s="20" t="str">
        <x:v>EXACT_FROM_UPLOADED_PRIMARY</x:v>
      </x:c>
      <x:c r="AL6" s="20" t="str">
        <x:v>Cross-regime peptide→gold mechanism; not an atomically precise AuNC training target.</x:v>
      </x:c>
      <x:c r="AM6" s="20" t="str">
        <x:v>2026-09-07</x:v>
      </x:c>
      <x:c r="AN6" s="20" t="str">
        <x:v>UPLOADED_PRIMARY_OR_REVIEW</x:v>
      </x:c>
    </x:row>
    <x:row r="7" ht="19" customHeight="1">
      <x:c r="A7" s="20" t="str">
        <x:v>R004</x:v>
      </x:c>
      <x:c r="B7" s="20" t="str">
        <x:v>S01</x:v>
      </x:c>
      <x:c r="C7" s="20" t="str">
        <x:v>B1 PEPTIDE_AUNP_MECHANISM</x:v>
      </x:c>
      <x:c r="D7" s="20" t="str">
        <x:v>DIRECT</x:v>
      </x:c>
      <x:c r="E7" s="20" t="str">
        <x:v>gold_nanoparticle</x:v>
      </x:c>
      <x:c r="F7" s="20" t="str">
        <x:v>AAARCR</x:v>
      </x:c>
      <x:c r="G7" s="20" t="str">
        <x:v>AAARCR</x:v>
      </x:c>
      <x:c r="H7" s="20" t="str">
        <x:v>L</x:v>
      </x:c>
      <x:c r="I7" s="20" t="str">
        <x:v>None</x:v>
      </x:c>
      <x:c r="J7" s="20"/>
      <x:c r="K7" s="20"/>
      <x:c r="L7" s="20" t="n">
        <x:v>79</x:v>
      </x:c>
      <x:c r="M7" s="20"/>
      <x:c r="N7" s="20" t="str">
        <x:v>Low-polydispersity particles</x:v>
      </x:c>
      <x:c r="O7" s="20" t="str">
        <x:v>HAuCl4</x:v>
      </x:c>
      <x:c r="P7" s="20" t="str">
        <x:v>Same base protocol as alkaline peptide experiments</x:v>
      </x:c>
      <x:c r="Q7" s="20" t="str">
        <x:v>Peptide self-reduction</x:v>
      </x:c>
      <x:c r="R7" s="20" t="n">
        <x:v>9</x:v>
      </x:c>
      <x:c r="S7" s="20" t="n">
        <x:v>25</x:v>
      </x:c>
      <x:c r="T7" s="20"/>
      <x:c r="U7" s="20" t="str">
        <x:v>No stirring; room temperature</x:v>
      </x:c>
      <x:c r="V7" s="20"/>
      <x:c r="W7" s="20"/>
      <x:c r="X7" s="20"/>
      <x:c r="Y7" s="20" t="n">
        <x:v>536</x:v>
      </x:c>
      <x:c r="Z7" s="20" t="n">
        <x:v>30.4</x:v>
      </x:c>
      <x:c r="AA7" s="20"/>
      <x:c r="AB7" s="20"/>
      <x:c r="AC7" s="20"/>
      <x:c r="AD7" s="20"/>
      <x:c r="AE7" s="20" t="str">
        <x:v>Mechanistic</x:v>
      </x:c>
      <x:c r="AF7" s="20" t="str">
        <x:v>Alkaline pH favored AAARCR synthesis; mean diameter 79±6 nm reported for pH 9–10</x:v>
      </x:c>
      <x:c r="AG7" s="20" t="str">
        <x:v>Main text p.7–8; Fig.11</x:v>
      </x:c>
      <x:c r="AH7" s="20" t="str">
        <x:v>https://doi.org/10.1021/acsomega.6b00140</x:v>
      </x:c>
      <x:c r="AI7" s="24" t="n">
        <x:f>ROUND(100*COUNTA(G7,J7,L7,R7,S7,T7,V7,X7,AA7,AC7)/10,0)</x:f>
        <x:v>40</x:v>
      </x:c>
      <x:c r="AJ7" s="20" t="str">
        <x:v>MECHANISTIC_ONLY</x:v>
      </x:c>
      <x:c r="AK7" s="20" t="str">
        <x:v>EXACT_FROM_UPLOADED_PRIMARY</x:v>
      </x:c>
      <x:c r="AL7" s="20" t="str">
        <x:v>Cross-regime peptide→gold mechanism; not an atomically precise AuNC training target.</x:v>
      </x:c>
      <x:c r="AM7" s="20" t="str">
        <x:v>2026-09-07</x:v>
      </x:c>
      <x:c r="AN7" s="20" t="str">
        <x:v>UPLOADED_PRIMARY_OR_REVIEW</x:v>
      </x:c>
    </x:row>
    <x:row r="8" ht="19" customHeight="1">
      <x:c r="A8" s="20" t="str">
        <x:v>R005</x:v>
      </x:c>
      <x:c r="B8" s="20" t="str">
        <x:v>S01</x:v>
      </x:c>
      <x:c r="C8" s="20" t="str">
        <x:v>B1 PEPTIDE_AUNP_MECHANISM</x:v>
      </x:c>
      <x:c r="D8" s="20" t="str">
        <x:v>DIRECT</x:v>
      </x:c>
      <x:c r="E8" s="20" t="str">
        <x:v>gold_nanoparticle</x:v>
      </x:c>
      <x:c r="F8" s="20" t="str">
        <x:v>AAARCR</x:v>
      </x:c>
      <x:c r="G8" s="20" t="str">
        <x:v>AAARCR</x:v>
      </x:c>
      <x:c r="H8" s="20" t="str">
        <x:v>L</x:v>
      </x:c>
      <x:c r="I8" s="20" t="str">
        <x:v>None</x:v>
      </x:c>
      <x:c r="J8" s="20"/>
      <x:c r="K8" s="20"/>
      <x:c r="L8" s="20" t="n">
        <x:v>79</x:v>
      </x:c>
      <x:c r="M8" s="20"/>
      <x:c r="N8" s="20" t="str">
        <x:v>Low-polydispersity particles</x:v>
      </x:c>
      <x:c r="O8" s="20" t="str">
        <x:v>HAuCl4</x:v>
      </x:c>
      <x:c r="P8" s="20" t="str">
        <x:v>Same base protocol as alkaline peptide experiments</x:v>
      </x:c>
      <x:c r="Q8" s="20" t="str">
        <x:v>Peptide self-reduction</x:v>
      </x:c>
      <x:c r="R8" s="20" t="n">
        <x:v>10</x:v>
      </x:c>
      <x:c r="S8" s="20" t="n">
        <x:v>25</x:v>
      </x:c>
      <x:c r="T8" s="20"/>
      <x:c r="U8" s="20" t="str">
        <x:v>No stirring; room temperature</x:v>
      </x:c>
      <x:c r="V8" s="20"/>
      <x:c r="W8" s="20"/>
      <x:c r="X8" s="20"/>
      <x:c r="Y8" s="20" t="n">
        <x:v>536</x:v>
      </x:c>
      <x:c r="Z8" s="20" t="n">
        <x:v>33.2</x:v>
      </x:c>
      <x:c r="AA8" s="20"/>
      <x:c r="AB8" s="20"/>
      <x:c r="AC8" s="20"/>
      <x:c r="AD8" s="20"/>
      <x:c r="AE8" s="20" t="str">
        <x:v>Mechanistic</x:v>
      </x:c>
      <x:c r="AF8" s="20" t="str">
        <x:v>Narrow SPR ~536 nm; mean diameter 79±6 nm; positive zeta potential</x:v>
      </x:c>
      <x:c r="AG8" s="20" t="str">
        <x:v>Main text p.7–8; Fig.11</x:v>
      </x:c>
      <x:c r="AH8" s="20" t="str">
        <x:v>https://doi.org/10.1021/acsomega.6b00140</x:v>
      </x:c>
      <x:c r="AI8" s="24" t="n">
        <x:f>ROUND(100*COUNTA(G8,J8,L8,R8,S8,T8,V8,X8,AA8,AC8)/10,0)</x:f>
        <x:v>40</x:v>
      </x:c>
      <x:c r="AJ8" s="20" t="str">
        <x:v>MECHANISTIC_ONLY</x:v>
      </x:c>
      <x:c r="AK8" s="20" t="str">
        <x:v>EXACT_FROM_UPLOADED_PRIMARY</x:v>
      </x:c>
      <x:c r="AL8" s="20" t="str">
        <x:v>Cross-regime peptide→gold mechanism; not an atomically precise AuNC training target.</x:v>
      </x:c>
      <x:c r="AM8" s="20" t="str">
        <x:v>2026-09-07</x:v>
      </x:c>
      <x:c r="AN8" s="20" t="str">
        <x:v>UPLOADED_PRIMARY_OR_REVIEW</x:v>
      </x:c>
    </x:row>
    <x:row r="9" ht="19" customHeight="1">
      <x:c r="A9" s="20" t="str">
        <x:v>R006</x:v>
      </x:c>
      <x:c r="B9" s="20" t="str">
        <x:v>S01</x:v>
      </x:c>
      <x:c r="C9" s="20" t="str">
        <x:v>B1 PEPTIDE_AUNP_MECHANISM</x:v>
      </x:c>
      <x:c r="D9" s="20" t="str">
        <x:v>DIRECT</x:v>
      </x:c>
      <x:c r="E9" s="20" t="str">
        <x:v>gold_nanoparticle</x:v>
      </x:c>
      <x:c r="F9" s="20" t="str">
        <x:v>AAAACA</x:v>
      </x:c>
      <x:c r="G9" s="20" t="str">
        <x:v>AAAACA</x:v>
      </x:c>
      <x:c r="H9" s="20" t="str">
        <x:v>L</x:v>
      </x:c>
      <x:c r="I9" s="20" t="str">
        <x:v>PEG10 required</x:v>
      </x:c>
      <x:c r="J9" s="20"/>
      <x:c r="K9" s="20"/>
      <x:c r="L9" s="20"/>
      <x:c r="M9" s="20"/>
      <x:c r="N9" s="20" t="str">
        <x:v>GNP formation</x:v>
      </x:c>
      <x:c r="O9" s="20" t="str">
        <x:v>HAuCl4</x:v>
      </x:c>
      <x:c r="P9" s="20" t="str">
        <x:v>PEG10 present</x:v>
      </x:c>
      <x:c r="Q9" s="20" t="str">
        <x:v>Peptide + PEG-assisted</x:v>
      </x:c>
      <x:c r="R9" s="20" t="n">
        <x:v>8</x:v>
      </x:c>
      <x:c r="S9" s="20" t="n">
        <x:v>25</x:v>
      </x:c>
      <x:c r="T9" s="20"/>
      <x:c r="U9" s="20" t="str">
        <x:v>Room temperature</x:v>
      </x:c>
      <x:c r="V9" s="20"/>
      <x:c r="W9" s="20"/>
      <x:c r="X9" s="20"/>
      <x:c r="Y9" s="20"/>
      <x:c r="Z9" s="20"/>
      <x:c r="AA9" s="20"/>
      <x:c r="AB9" s="20"/>
      <x:c r="AC9" s="20"/>
      <x:c r="AD9" s="20"/>
      <x:c r="AE9" s="20" t="str">
        <x:v>Mechanistic</x:v>
      </x:c>
      <x:c r="AF9" s="20" t="str">
        <x:v>Neutral peptide required PEG10; GNP synthesis at pH 8 and 11</x:v>
      </x:c>
      <x:c r="AG9" s="20" t="str">
        <x:v>Main text p.8 + SI</x:v>
      </x:c>
      <x:c r="AH9" s="20" t="str">
        <x:v>https://doi.org/10.1021/acsomega.6b00140</x:v>
      </x:c>
      <x:c r="AI9" s="24" t="n">
        <x:f>ROUND(100*COUNTA(G9,J9,L9,R9,S9,T9,V9,X9,AA9,AC9)/10,0)</x:f>
        <x:v>30</x:v>
      </x:c>
      <x:c r="AJ9" s="20" t="str">
        <x:v>MECHANISTIC_ONLY</x:v>
      </x:c>
      <x:c r="AK9" s="20" t="str">
        <x:v>EXACT_FROM_UPLOADED_PRIMARY</x:v>
      </x:c>
      <x:c r="AL9" s="20" t="str">
        <x:v>Cross-regime peptide→gold mechanism; not an atomically precise AuNC training target.</x:v>
      </x:c>
      <x:c r="AM9" s="20" t="str">
        <x:v>2026-09-07</x:v>
      </x:c>
      <x:c r="AN9" s="20" t="str">
        <x:v>UPLOADED_PRIMARY_OR_REVIEW</x:v>
      </x:c>
    </x:row>
    <x:row r="10" ht="19" customHeight="1">
      <x:c r="A10" s="20" t="str">
        <x:v>R007</x:v>
      </x:c>
      <x:c r="B10" s="20" t="str">
        <x:v>S01</x:v>
      </x:c>
      <x:c r="C10" s="20" t="str">
        <x:v>B1 PEPTIDE_AUNP_MECHANISM</x:v>
      </x:c>
      <x:c r="D10" s="20" t="str">
        <x:v>DIRECT</x:v>
      </x:c>
      <x:c r="E10" s="20" t="str">
        <x:v>gold_nanoparticle</x:v>
      </x:c>
      <x:c r="F10" s="20" t="str">
        <x:v>AAAECE</x:v>
      </x:c>
      <x:c r="G10" s="20" t="str">
        <x:v>AAAECE</x:v>
      </x:c>
      <x:c r="H10" s="20" t="str">
        <x:v>L</x:v>
      </x:c>
      <x:c r="I10" s="20" t="str">
        <x:v>PEG10 required</x:v>
      </x:c>
      <x:c r="J10" s="20"/>
      <x:c r="K10" s="20"/>
      <x:c r="L10" s="20"/>
      <x:c r="M10" s="20"/>
      <x:c r="N10" s="20" t="str">
        <x:v>GNP formation</x:v>
      </x:c>
      <x:c r="O10" s="20" t="str">
        <x:v>HAuCl4</x:v>
      </x:c>
      <x:c r="P10" s="20" t="str">
        <x:v>PEG10 present</x:v>
      </x:c>
      <x:c r="Q10" s="20" t="str">
        <x:v>Peptide + PEG-assisted</x:v>
      </x:c>
      <x:c r="R10" s="20" t="n">
        <x:v>7</x:v>
      </x:c>
      <x:c r="S10" s="20" t="n">
        <x:v>80</x:v>
      </x:c>
      <x:c r="T10" s="20"/>
      <x:c r="U10" s="20" t="str">
        <x:v>Heating required</x:v>
      </x:c>
      <x:c r="V10" s="20"/>
      <x:c r="W10" s="20"/>
      <x:c r="X10" s="20"/>
      <x:c r="Y10" s="20"/>
      <x:c r="Z10" s="20"/>
      <x:c r="AA10" s="20"/>
      <x:c r="AB10" s="20"/>
      <x:c r="AC10" s="20"/>
      <x:c r="AD10" s="20"/>
      <x:c r="AE10" s="20" t="str">
        <x:v>Mechanistic</x:v>
      </x:c>
      <x:c r="AF10" s="20" t="str">
        <x:v>Acidic peptide required PEG10 and 80°C; synthesis observed at pH 7 and 11</x:v>
      </x:c>
      <x:c r="AG10" s="20" t="str">
        <x:v>Main text p.8 + SI</x:v>
      </x:c>
      <x:c r="AH10" s="20" t="str">
        <x:v>https://doi.org/10.1021/acsomega.6b00140</x:v>
      </x:c>
      <x:c r="AI10" s="24" t="n">
        <x:f>ROUND(100*COUNTA(G10,J10,L10,R10,S10,T10,V10,X10,AA10,AC10)/10,0)</x:f>
        <x:v>30</x:v>
      </x:c>
      <x:c r="AJ10" s="20" t="str">
        <x:v>MECHANISTIC_ONLY</x:v>
      </x:c>
      <x:c r="AK10" s="20" t="str">
        <x:v>EXACT_FROM_UPLOADED_PRIMARY</x:v>
      </x:c>
      <x:c r="AL10" s="20" t="str">
        <x:v>Cross-regime peptide→gold mechanism; not an atomically precise AuNC training target.</x:v>
      </x:c>
      <x:c r="AM10" s="20" t="str">
        <x:v>2026-09-07</x:v>
      </x:c>
      <x:c r="AN10" s="20" t="str">
        <x:v>UPLOADED_PRIMARY_OR_REVIEW</x:v>
      </x:c>
    </x:row>
    <x:row r="11" ht="19" customHeight="1">
      <x:c r="A11" s="20" t="str">
        <x:v>R008</x:v>
      </x:c>
      <x:c r="B11" s="20" t="str">
        <x:v>S01</x:v>
      </x:c>
      <x:c r="C11" s="20" t="str">
        <x:v>B1 PEPTIDE_AUNP_MECHANISM</x:v>
      </x:c>
      <x:c r="D11" s="20" t="str">
        <x:v>DIRECT</x:v>
      </x:c>
      <x:c r="E11" s="20" t="str">
        <x:v>gold_nanoparticle</x:v>
      </x:c>
      <x:c r="F11" s="20" t="str">
        <x:v>Glutathione (GSH)</x:v>
      </x:c>
      <x:c r="G11" s="20" t="str">
        <x:v>γ-ECG</x:v>
      </x:c>
      <x:c r="H11" s="20" t="str">
        <x:v>L</x:v>
      </x:c>
      <x:c r="I11" s="20" t="str">
        <x:v>PEG10 required</x:v>
      </x:c>
      <x:c r="J11" s="20"/>
      <x:c r="K11" s="20"/>
      <x:c r="L11" s="20"/>
      <x:c r="M11" s="20"/>
      <x:c r="N11" s="20" t="str">
        <x:v>GNP formation</x:v>
      </x:c>
      <x:c r="O11" s="20" t="str">
        <x:v>HAuCl4</x:v>
      </x:c>
      <x:c r="P11" s="20" t="str">
        <x:v>PEG10 present</x:v>
      </x:c>
      <x:c r="Q11" s="20" t="str">
        <x:v>Peptide + PEG-assisted</x:v>
      </x:c>
      <x:c r="R11" s="20" t="n">
        <x:v>11</x:v>
      </x:c>
      <x:c r="S11" s="20" t="n">
        <x:v>80</x:v>
      </x:c>
      <x:c r="T11" s="20"/>
      <x:c r="U11" s="20" t="str">
        <x:v>Heating required</x:v>
      </x:c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 t="str">
        <x:v>Mechanistic</x:v>
      </x:c>
      <x:c r="AF11" s="20" t="str">
        <x:v>GSH required PEG10 + 80°C and produced GNPs only at pH 11 in this study</x:v>
      </x:c>
      <x:c r="AG11" s="20" t="str">
        <x:v>Main text p.8 + SI</x:v>
      </x:c>
      <x:c r="AH11" s="20" t="str">
        <x:v>https://doi.org/10.1021/acsomega.6b00140</x:v>
      </x:c>
      <x:c r="AI11" s="24" t="n">
        <x:f>ROUND(100*COUNTA(G11,J11,L11,R11,S11,T11,V11,X11,AA11,AC11)/10,0)</x:f>
        <x:v>30</x:v>
      </x:c>
      <x:c r="AJ11" s="20" t="str">
        <x:v>MECHANISTIC_ONLY</x:v>
      </x:c>
      <x:c r="AK11" s="20" t="str">
        <x:v>EXACT_FROM_UPLOADED_PRIMARY</x:v>
      </x:c>
      <x:c r="AL11" s="20" t="str">
        <x:v>Cross-regime peptide→gold mechanism; not an atomically precise AuNC training target.</x:v>
      </x:c>
      <x:c r="AM11" s="20" t="str">
        <x:v>2026-09-07</x:v>
      </x:c>
      <x:c r="AN11" s="20" t="str">
        <x:v>UPLOADED_PRIMARY_OR_REVIEW</x:v>
      </x:c>
    </x:row>
    <x:row r="12" ht="19" customHeight="1">
      <x:c r="A12" s="20" t="str">
        <x:v>R009</x:v>
      </x:c>
      <x:c r="B12" s="20" t="str">
        <x:v>S02</x:v>
      </x:c>
      <x:c r="C12" s="20" t="str">
        <x:v>B1 PEPTIDE_AUNP_MECHANISM</x:v>
      </x:c>
      <x:c r="D12" s="20" t="str">
        <x:v>DIRECT</x:v>
      </x:c>
      <x:c r="E12" s="20" t="str">
        <x:v>gold_bipyramid</x:v>
      </x:c>
      <x:c r="F12" s="20" t="str">
        <x:v>D-Cys-Phe</x:v>
      </x:c>
      <x:c r="G12" s="20" t="str">
        <x:v>CF</x:v>
      </x:c>
      <x:c r="H12" s="20" t="str">
        <x:v>D</x:v>
      </x:c>
      <x:c r="I12" s="20" t="str">
        <x:v>Chiral D peptide; SH-PEG surface stabilization</x:v>
      </x:c>
      <x:c r="J12" s="20"/>
      <x:c r="K12" s="20"/>
      <x:c r="L12" s="20"/>
      <x:c r="M12" s="20"/>
      <x:c r="N12" s="20" t="str">
        <x:v>Sea-cucumber-like spiked GBP; ~200×50 nm</x:v>
      </x:c>
      <x:c r="O12" s="20" t="str">
        <x:v>HAuCl4</x:v>
      </x:c>
      <x:c r="P12" s="20" t="str">
        <x:v>Seed-mediated growth with Cys-Phe</x:v>
      </x:c>
      <x:c r="Q12" s="20" t="str">
        <x:v>Ascorbic acid</x:v>
      </x:c>
      <x:c r="R12" s="20"/>
      <x:c r="S12" s="20"/>
      <x:c r="T12" s="20"/>
      <x:c r="U12" s="20" t="str">
        <x:v>~100 nm Au NBP seeds; aqueous growth</x:v>
      </x:c>
      <x:c r="V12" s="20"/>
      <x:c r="W12" s="20"/>
      <x:c r="X12" s="20"/>
      <x:c r="Y12" s="20" t="n">
        <x:v>536</x:v>
      </x:c>
      <x:c r="Z12" s="20"/>
      <x:c r="AA12" s="20" t="n">
        <x:v>808</x:v>
      </x:c>
      <x:c r="AB12" s="20" t="n">
        <x:v>0.8</x:v>
      </x:c>
      <x:c r="AC12" s="20" t="str">
        <x:v>&gt;45</x:v>
      </x:c>
      <x:c r="AD12" s="20" t="n">
        <x:v>5</x:v>
      </x:c>
      <x:c r="AE12" s="20" t="str">
        <x:v>Antibacterial PTT</x:v>
      </x:c>
      <x:c r="AF12" s="20" t="str">
        <x:v>D-form gave stronger bacterial binding and higher PTT response than L-form</x:v>
      </x:c>
      <x:c r="AG12" s="20" t="str">
        <x:v>Main text pp.2–4</x:v>
      </x:c>
      <x:c r="AH12" s="20" t="str">
        <x:v>https://doi.org/10.1039/d2sc03443c</x:v>
      </x:c>
      <x:c r="AI12" s="24" t="n">
        <x:f>ROUND(100*COUNTA(G12,J12,L12,R12,S12,T12,V12,X12,AA12,AC12)/10,0)</x:f>
        <x:v>30</x:v>
      </x:c>
      <x:c r="AJ12" s="20" t="str">
        <x:v>MECHANISTIC_ONLY</x:v>
      </x:c>
      <x:c r="AK12" s="20" t="str">
        <x:v>EXACT_FROM_UPLOADED_PRIMARY</x:v>
      </x:c>
      <x:c r="AL12" s="20" t="str">
        <x:v>Cross-regime peptide→gold mechanism; not an atomically precise AuNC training target.</x:v>
      </x:c>
      <x:c r="AM12" s="20" t="str">
        <x:v>2026-09-07</x:v>
      </x:c>
      <x:c r="AN12" s="20" t="str">
        <x:v>UPLOADED_PRIMARY_OR_REVIEW</x:v>
      </x:c>
    </x:row>
    <x:row r="13" ht="19" customHeight="1">
      <x:c r="A13" s="20" t="str">
        <x:v>R010</x:v>
      </x:c>
      <x:c r="B13" s="20" t="str">
        <x:v>S02</x:v>
      </x:c>
      <x:c r="C13" s="20" t="str">
        <x:v>B1 PEPTIDE_AUNP_MECHANISM</x:v>
      </x:c>
      <x:c r="D13" s="20" t="str">
        <x:v>DIRECT</x:v>
      </x:c>
      <x:c r="E13" s="20" t="str">
        <x:v>gold_bipyramid</x:v>
      </x:c>
      <x:c r="F13" s="20" t="str">
        <x:v>L-Cys-Phe</x:v>
      </x:c>
      <x:c r="G13" s="20" t="str">
        <x:v>CF</x:v>
      </x:c>
      <x:c r="H13" s="20" t="str">
        <x:v>L</x:v>
      </x:c>
      <x:c r="I13" s="20" t="str">
        <x:v>Chiral L peptide; SH-PEG surface stabilization</x:v>
      </x:c>
      <x:c r="J13" s="20"/>
      <x:c r="K13" s="20"/>
      <x:c r="L13" s="20"/>
      <x:c r="M13" s="20"/>
      <x:c r="N13" s="20" t="str">
        <x:v>Sea-cucumber-like spiked GBP; ~200×50 nm</x:v>
      </x:c>
      <x:c r="O13" s="20" t="str">
        <x:v>HAuCl4</x:v>
      </x:c>
      <x:c r="P13" s="20" t="str">
        <x:v>Seed-mediated growth with Cys-Phe</x:v>
      </x:c>
      <x:c r="Q13" s="20" t="str">
        <x:v>Ascorbic acid</x:v>
      </x:c>
      <x:c r="R13" s="20"/>
      <x:c r="S13" s="20"/>
      <x:c r="T13" s="20"/>
      <x:c r="U13" s="20" t="str">
        <x:v>~100 nm Au NBP seeds; aqueous growth</x:v>
      </x:c>
      <x:c r="V13" s="20"/>
      <x:c r="W13" s="20"/>
      <x:c r="X13" s="20"/>
      <x:c r="Y13" s="20" t="n">
        <x:v>536</x:v>
      </x:c>
      <x:c r="Z13" s="20"/>
      <x:c r="AA13" s="20" t="n">
        <x:v>808</x:v>
      </x:c>
      <x:c r="AB13" s="20" t="n">
        <x:v>0.8</x:v>
      </x:c>
      <x:c r="AC13" s="20" t="str">
        <x:v>&gt;45</x:v>
      </x:c>
      <x:c r="AD13" s="20" t="n">
        <x:v>5</x:v>
      </x:c>
      <x:c r="AE13" s="20" t="str">
        <x:v>Antibacterial PTT</x:v>
      </x:c>
      <x:c r="AF13" s="20" t="str">
        <x:v>L-form forms mirror-chiral GBP and has lower bacterial affinity than D-form</x:v>
      </x:c>
      <x:c r="AG13" s="20" t="str">
        <x:v>Main text pp.2–4</x:v>
      </x:c>
      <x:c r="AH13" s="20" t="str">
        <x:v>https://doi.org/10.1039/d2sc03443c</x:v>
      </x:c>
      <x:c r="AI13" s="24" t="n">
        <x:f>ROUND(100*COUNTA(G13,J13,L13,R13,S13,T13,V13,X13,AA13,AC13)/10,0)</x:f>
        <x:v>30</x:v>
      </x:c>
      <x:c r="AJ13" s="20" t="str">
        <x:v>MECHANISTIC_ONLY</x:v>
      </x:c>
      <x:c r="AK13" s="20" t="str">
        <x:v>EXACT_FROM_UPLOADED_PRIMARY</x:v>
      </x:c>
      <x:c r="AL13" s="20" t="str">
        <x:v>Cross-regime peptide→gold mechanism; not an atomically precise AuNC training target.</x:v>
      </x:c>
      <x:c r="AM13" s="20" t="str">
        <x:v>2026-09-07</x:v>
      </x:c>
      <x:c r="AN13" s="20" t="str">
        <x:v>UPLOADED_PRIMARY_OR_REVIEW</x:v>
      </x:c>
    </x:row>
    <x:row r="14" ht="19" customHeight="1">
      <x:c r="A14" s="20" t="str">
        <x:v>R011</x:v>
      </x:c>
      <x:c r="B14" s="20" t="str">
        <x:v>S03</x:v>
      </x:c>
      <x:c r="C14" s="20" t="str">
        <x:v>B1 PEPTIDE_AUNP_MECHANISM</x:v>
      </x:c>
      <x:c r="D14" s="20" t="str">
        <x:v>DIRECT</x:v>
      </x:c>
      <x:c r="E14" s="20" t="str">
        <x:v>gold_superstructure</x:v>
      </x:c>
      <x:c r="F14" s="20" t="str">
        <x:v>C18-(PEPAuM-ox)2</x:v>
      </x:c>
      <x:c r="G14" s="20" t="str">
        <x:v>AYSSGAPPMoxPPF</x:v>
      </x:c>
      <x:c r="H14" s="20" t="str">
        <x:v>L</x:v>
      </x:c>
      <x:c r="I14" s="20" t="str">
        <x:v>C18 tail; methionine oxidized to sulfoxide</x:v>
      </x:c>
      <x:c r="J14" s="20"/>
      <x:c r="K14" s="20"/>
      <x:c r="L14" s="20"/>
      <x:c r="M14" s="20"/>
      <x:c r="N14" s="20" t="str">
        <x:v>Single-helical superstructure; rod-like AuNP 16.6×9.6 nm</x:v>
      </x:c>
      <x:c r="O14" s="20" t="str">
        <x:v>Gold salt</x:v>
      </x:c>
      <x:c r="P14" s="20" t="str">
        <x:v>Peptide conjugate + assembly buffer</x:v>
      </x:c>
      <x:c r="Q14" s="20" t="str">
        <x:v>Reducing agent used</x:v>
      </x:c>
      <x:c r="R14" s="20"/>
      <x:c r="S14" s="20"/>
      <x:c r="T14" s="20" t="n">
        <x:v>15</x:v>
      </x:c>
      <x:c r="U14" s="20" t="str">
        <x:v>In-situ growth on peptide fibers</x:v>
      </x:c>
      <x:c r="V14" s="20"/>
      <x:c r="W14" s="20"/>
      <x:c r="X14" s="20"/>
      <x:c r="Y14" s="20"/>
      <x:c r="Z14" s="20"/>
      <x:c r="AA14" s="20"/>
      <x:c r="AB14" s="20"/>
      <x:c r="AC14" s="20"/>
      <x:c r="AD14" s="20"/>
      <x:c r="AE14" s="20" t="str">
        <x:v>Chiral assembly</x:v>
      </x:c>
      <x:c r="AF14" s="20" t="str">
        <x:v>Methionine oxidation alone switches product toward single helices under otherwise nearly identical synthesis conditions</x:v>
      </x:c>
      <x:c r="AG14" s="20" t="str">
        <x:v>Main text p.2; Fig.1–2</x:v>
      </x:c>
      <x:c r="AH14" s="20" t="str">
        <x:v>https://doi.org/10.1021/jacs.6b07322</x:v>
      </x:c>
      <x:c r="AI14" s="24" t="n">
        <x:f>ROUND(100*COUNTA(G14,J14,L14,R14,S14,T14,V14,X14,AA14,AC14)/10,0)</x:f>
        <x:v>20</x:v>
      </x:c>
      <x:c r="AJ14" s="20" t="str">
        <x:v>MECHANISTIC_ONLY</x:v>
      </x:c>
      <x:c r="AK14" s="20" t="str">
        <x:v>EXACT_FROM_UPLOADED_PRIMARY</x:v>
      </x:c>
      <x:c r="AL14" s="20" t="str">
        <x:v>Cross-regime peptide→gold mechanism; not an atomically precise AuNC training target.</x:v>
      </x:c>
      <x:c r="AM14" s="20" t="str">
        <x:v>2026-09-07</x:v>
      </x:c>
      <x:c r="AN14" s="20" t="str">
        <x:v>UPLOADED_PRIMARY_OR_REVIEW</x:v>
      </x:c>
    </x:row>
    <x:row r="15" ht="19" customHeight="1">
      <x:c r="A15" s="20" t="str">
        <x:v>R012</x:v>
      </x:c>
      <x:c r="B15" s="20" t="str">
        <x:v>S03</x:v>
      </x:c>
      <x:c r="C15" s="20" t="str">
        <x:v>B1 PEPTIDE_AUNP_MECHANISM</x:v>
      </x:c>
      <x:c r="D15" s="20" t="str">
        <x:v>DIRECT</x:v>
      </x:c>
      <x:c r="E15" s="20" t="str">
        <x:v>gold_superstructure</x:v>
      </x:c>
      <x:c r="F15" s="20" t="str">
        <x:v>C18-(PEPAu)2</x:v>
      </x:c>
      <x:c r="G15" s="20" t="str">
        <x:v>AYSSGAPPMPPF</x:v>
      </x:c>
      <x:c r="H15" s="20" t="str">
        <x:v>L</x:v>
      </x:c>
      <x:c r="I15" s="20" t="str">
        <x:v>C18 tail; unoxidized methionine</x:v>
      </x:c>
      <x:c r="J15" s="20"/>
      <x:c r="K15" s="20"/>
      <x:c r="L15" s="20"/>
      <x:c r="M15" s="20"/>
      <x:c r="N15" s="20" t="str">
        <x:v>Double-helical superstructure</x:v>
      </x:c>
      <x:c r="O15" s="20" t="str">
        <x:v>Gold salt</x:v>
      </x:c>
      <x:c r="P15" s="20" t="str">
        <x:v>Peptide conjugate + assembly buffer</x:v>
      </x:c>
      <x:c r="Q15" s="20" t="str">
        <x:v>Reducing agent used</x:v>
      </x:c>
      <x:c r="R15" s="20"/>
      <x:c r="S15" s="20"/>
      <x:c r="T15" s="20"/>
      <x:c r="U15" s="20" t="str">
        <x:v>In-situ growth on peptide fibers</x:v>
      </x:c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 t="str">
        <x:v>Chiral assembly</x:v>
      </x:c>
      <x:c r="AF15" s="20" t="str">
        <x:v>Unoxidized conjugate directs double-helical assembly; serves as paired comparator to oxidized peptide</x:v>
      </x:c>
      <x:c r="AG15" s="20" t="str">
        <x:v>Main text pp.1–2</x:v>
      </x:c>
      <x:c r="AH15" s="20" t="str">
        <x:v>https://doi.org/10.1021/jacs.6b07322</x:v>
      </x:c>
      <x:c r="AI15" s="24" t="n">
        <x:f>ROUND(100*COUNTA(G15,J15,L15,R15,S15,T15,V15,X15,AA15,AC15)/10,0)</x:f>
        <x:v>10</x:v>
      </x:c>
      <x:c r="AJ15" s="20" t="str">
        <x:v>MECHANISTIC_ONLY</x:v>
      </x:c>
      <x:c r="AK15" s="20" t="str">
        <x:v>EXACT_FROM_UPLOADED_PRIMARY</x:v>
      </x:c>
      <x:c r="AL15" s="20" t="str">
        <x:v>Cross-regime peptide→gold mechanism; not an atomically precise AuNC training target.</x:v>
      </x:c>
      <x:c r="AM15" s="20" t="str">
        <x:v>2026-09-07</x:v>
      </x:c>
      <x:c r="AN15" s="20" t="str">
        <x:v>UPLOADED_PRIMARY_OR_REVIEW</x:v>
      </x:c>
    </x:row>
    <x:row r="16" ht="19" customHeight="1">
      <x:c r="A16" s="20" t="str">
        <x:v>R013</x:v>
      </x:c>
      <x:c r="B16" s="20" t="str">
        <x:v>S04</x:v>
      </x:c>
      <x:c r="C16" s="20" t="str">
        <x:v>B1 PEPTIDE_AUNP_MECHANISM</x:v>
      </x:c>
      <x:c r="D16" s="20" t="str">
        <x:v>DIRECT</x:v>
      </x:c>
      <x:c r="E16" s="20" t="str">
        <x:v>gold_superstructure</x:v>
      </x:c>
      <x:c r="F16" s="20" t="str">
        <x:v>C12-L-PEPAu</x:v>
      </x:c>
      <x:c r="G16" s="20" t="str">
        <x:v>AYSSGAPPMPPF</x:v>
      </x:c>
      <x:c r="H16" s="20" t="str">
        <x:v>L</x:v>
      </x:c>
      <x:c r="I16" s="20" t="str">
        <x:v>C12 acyl tail</x:v>
      </x:c>
      <x:c r="J16" s="20"/>
      <x:c r="K16" s="20"/>
      <x:c r="L16" s="20" t="n">
        <x:v>5.74</x:v>
      </x:c>
      <x:c r="M16" s="20"/>
      <x:c r="N16" s="20" t="str">
        <x:v>Left-handed double helix</x:v>
      </x:c>
      <x:c r="O16" s="20" t="str">
        <x:v>Gold precursor</x:v>
      </x:c>
      <x:c r="P16" s="20" t="str">
        <x:v>Mixed with HEPES buffer</x:v>
      </x:c>
      <x:c r="Q16" s="20"/>
      <x:c r="R16" s="20"/>
      <x:c r="S16" s="20"/>
      <x:c r="T16" s="20"/>
      <x:c r="U16" s="20" t="str">
        <x:v>Peptide self-assembly + Au growth</x:v>
      </x:c>
      <x:c r="V16" s="20"/>
      <x:c r="W16" s="20"/>
      <x:c r="X16" s="20"/>
      <x:c r="Y16" s="20"/>
      <x:c r="Z16" s="20"/>
      <x:c r="AA16" s="20"/>
      <x:c r="AB16" s="20"/>
      <x:c r="AC16" s="20"/>
      <x:c r="AD16" s="20"/>
      <x:c r="AE16" s="20" t="str">
        <x:v>Chiral plasmonics</x:v>
      </x:c>
      <x:c r="AF16" s="20" t="str">
        <x:v>L-peptide gives left-handed helices; initial particles 5.74±0.75 nm</x:v>
      </x:c>
      <x:c r="AG16" s="20" t="str">
        <x:v>Main text pp.1–2</x:v>
      </x:c>
      <x:c r="AH16" s="20" t="str">
        <x:v>https://doi.org/10.1021/nl4013776</x:v>
      </x:c>
      <x:c r="AI16" s="24" t="n">
        <x:f>ROUND(100*COUNTA(G16,J16,L16,R16,S16,T16,V16,X16,AA16,AC16)/10,0)</x:f>
        <x:v>20</x:v>
      </x:c>
      <x:c r="AJ16" s="20" t="str">
        <x:v>MECHANISTIC_ONLY</x:v>
      </x:c>
      <x:c r="AK16" s="20" t="str">
        <x:v>EXACT_FROM_UPLOADED_PRIMARY</x:v>
      </x:c>
      <x:c r="AL16" s="20" t="str">
        <x:v>Cross-regime peptide→gold mechanism; not an atomically precise AuNC training target.</x:v>
      </x:c>
      <x:c r="AM16" s="20" t="str">
        <x:v>2026-09-07</x:v>
      </x:c>
      <x:c r="AN16" s="20" t="str">
        <x:v>UPLOADED_PRIMARY_OR_REVIEW</x:v>
      </x:c>
    </x:row>
    <x:row r="17" ht="19" customHeight="1">
      <x:c r="A17" s="20" t="str">
        <x:v>R014</x:v>
      </x:c>
      <x:c r="B17" s="20" t="str">
        <x:v>S04</x:v>
      </x:c>
      <x:c r="C17" s="20" t="str">
        <x:v>B1 PEPTIDE_AUNP_MECHANISM</x:v>
      </x:c>
      <x:c r="D17" s="20" t="str">
        <x:v>DIRECT</x:v>
      </x:c>
      <x:c r="E17" s="20" t="str">
        <x:v>gold_superstructure</x:v>
      </x:c>
      <x:c r="F17" s="20" t="str">
        <x:v>C12-D-PEPAu</x:v>
      </x:c>
      <x:c r="G17" s="20" t="str">
        <x:v>AYSSGAPPMPPF</x:v>
      </x:c>
      <x:c r="H17" s="20" t="str">
        <x:v>D</x:v>
      </x:c>
      <x:c r="I17" s="20" t="str">
        <x:v>C12 acyl tail</x:v>
      </x:c>
      <x:c r="J17" s="20"/>
      <x:c r="K17" s="20"/>
      <x:c r="L17" s="20" t="n">
        <x:v>5.25</x:v>
      </x:c>
      <x:c r="M17" s="20"/>
      <x:c r="N17" s="20" t="str">
        <x:v>Right-handed double helix</x:v>
      </x:c>
      <x:c r="O17" s="20" t="str">
        <x:v>Gold precursor</x:v>
      </x:c>
      <x:c r="P17" s="20" t="str">
        <x:v>Mixed with HEPES buffer</x:v>
      </x:c>
      <x:c r="Q17" s="20"/>
      <x:c r="R17" s="20"/>
      <x:c r="S17" s="20"/>
      <x:c r="T17" s="20"/>
      <x:c r="U17" s="20" t="str">
        <x:v>Peptide self-assembly + Au growth</x:v>
      </x:c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 t="str">
        <x:v>Chiral plasmonics</x:v>
      </x:c>
      <x:c r="AF17" s="20" t="str">
        <x:v>D-peptide gives right-handed helices; initial particles 5.25±0.79 nm</x:v>
      </x:c>
      <x:c r="AG17" s="20" t="str">
        <x:v>Main text pp.1–2</x:v>
      </x:c>
      <x:c r="AH17" s="20" t="str">
        <x:v>https://doi.org/10.1021/nl4013776</x:v>
      </x:c>
      <x:c r="AI17" s="24" t="n">
        <x:f>ROUND(100*COUNTA(G17,J17,L17,R17,S17,T17,V17,X17,AA17,AC17)/10,0)</x:f>
        <x:v>20</x:v>
      </x:c>
      <x:c r="AJ17" s="20" t="str">
        <x:v>MECHANISTIC_ONLY</x:v>
      </x:c>
      <x:c r="AK17" s="20" t="str">
        <x:v>EXACT_FROM_UPLOADED_PRIMARY</x:v>
      </x:c>
      <x:c r="AL17" s="20" t="str">
        <x:v>Cross-regime peptide→gold mechanism; not an atomically precise AuNC training target.</x:v>
      </x:c>
      <x:c r="AM17" s="20" t="str">
        <x:v>2026-09-07</x:v>
      </x:c>
      <x:c r="AN17" s="20" t="str">
        <x:v>UPLOADED_PRIMARY_OR_REVIEW</x:v>
      </x:c>
    </x:row>
    <x:row r="18" ht="19" customHeight="1">
      <x:c r="A18" s="20" t="str">
        <x:v>R015</x:v>
      </x:c>
      <x:c r="B18" s="20" t="str">
        <x:v>S14</x:v>
      </x:c>
      <x:c r="C18" s="20" t="str">
        <x:v>A1 DIRECT_PEPTIDE_ATOMIC_AUNC</x:v>
      </x:c>
      <x:c r="D18" s="20" t="str">
        <x:v>DIRECT</x:v>
      </x:c>
      <x:c r="E18" s="20" t="str">
        <x:v>atomically_precise_AuNC</x:v>
      </x:c>
      <x:c r="F18" s="20" t="str">
        <x:v>Glutathione (SG)</x:v>
      </x:c>
      <x:c r="G18" s="20" t="str">
        <x:v>γ-ECG</x:v>
      </x:c>
      <x:c r="H18" s="20" t="str">
        <x:v>L</x:v>
      </x:c>
      <x:c r="I18" s="20" t="str">
        <x:v>Thiolate ligand</x:v>
      </x:c>
      <x:c r="J18" s="20" t="n">
        <x:v>22</x:v>
      </x:c>
      <x:c r="K18" s="20" t="n">
        <x:v>18</x:v>
      </x:c>
      <x:c r="L18" s="20" t="n">
        <x:v>1.5</x:v>
      </x:c>
      <x:c r="M18" s="20" t="n">
        <x:v>2.01</x:v>
      </x:c>
      <x:c r="N18" s="20" t="str">
        <x:v>Atomically precise Au22(SG)18</x:v>
      </x:c>
      <x:c r="O18" s="20" t="str">
        <x:v>HAuCl4</x:v>
      </x:c>
      <x:c r="P18" s="20" t="str">
        <x:v>20 mM HAuCl4 12.5 mL + 50 mM GSH 7.5 mL in 180 mL water</x:v>
      </x:c>
      <x:c r="Q18" s="20" t="str">
        <x:v>NaBH4</x:v>
      </x:c>
      <x:c r="R18" s="20" t="n">
        <x:v>12</x:v>
      </x:c>
      <x:c r="S18" s="20" t="n">
        <x:v>25</x:v>
      </x:c>
      <x:c r="T18" s="20" t="n">
        <x:v>0.5</x:v>
      </x:c>
      <x:c r="U18" s="20" t="str">
        <x:v>500 rpm after NaBH4; then acidification</x:v>
      </x:c>
      <x:c r="V18" s="20" t="n">
        <x:v>925</x:v>
      </x:c>
      <x:c r="W18" s="20" t="str">
        <x:v>925–1300 tail</x:v>
      </x:c>
      <x:c r="X18" s="20" t="n">
        <x:v>0.16</x:v>
      </x:c>
      <x:c r="Y18" s="20" t="n">
        <x:v>515</x:v>
      </x:c>
      <x:c r="Z18" s="20"/>
      <x:c r="AA18" s="20" t="n">
        <x:v>808</x:v>
      </x:c>
      <x:c r="AB18" s="20"/>
      <x:c r="AC18" s="20"/>
      <x:c r="AD18" s="20"/>
      <x:c r="AE18" s="20" t="str">
        <x:v>NIR-II imaging / bioactivity</x:v>
      </x:c>
      <x:c r="AF18" s="20" t="str">
        <x:v>Atomic-precision Au22; pH later shifted to 2.5 and sealed/stirred 8 h for size focusing/purification</x:v>
      </x:c>
      <x:c r="AG18" s="20" t="str">
        <x:v>Results p.2 + Methods p.13</x:v>
      </x:c>
      <x:c r="AH18" s="20" t="str">
        <x:v>https://doi.org/10.1126/sciadv.adh7828</x:v>
      </x:c>
      <x:c r="AI18" s="24" t="n">
        <x:f>ROUND(100*COUNTA(G18,J18,L18,R18,S18,T18,V18,X18,AA18,AC18)/10,0)</x:f>
        <x:v>90</x:v>
      </x:c>
      <x:c r="AJ18" s="20" t="str">
        <x:v>TRAIN_CORE</x:v>
      </x:c>
      <x:c r="AK18" s="20" t="str">
        <x:v>EXACT_FROM_UPLOADED_PRIMARY</x:v>
      </x:c>
      <x:c r="AL18" s="20" t="str">
        <x:v>Atomic record; keep same-paper records grouped in validation.</x:v>
      </x:c>
      <x:c r="AM18" s="20" t="str">
        <x:v>2026-09-07</x:v>
      </x:c>
      <x:c r="AN18" s="20" t="str">
        <x:v>UPLOADED_PRIMARY_OR_REVIEW</x:v>
      </x:c>
    </x:row>
    <x:row r="19" ht="19" customHeight="1">
      <x:c r="A19" s="20" t="str">
        <x:v>R016</x:v>
      </x:c>
      <x:c r="B19" s="20" t="str">
        <x:v>S14</x:v>
      </x:c>
      <x:c r="C19" s="20" t="str">
        <x:v>A1 DIRECT_PEPTIDE_ATOMIC_AUNC</x:v>
      </x:c>
      <x:c r="D19" s="20" t="str">
        <x:v>DIRECT</x:v>
      </x:c>
      <x:c r="E19" s="20" t="str">
        <x:v>atomically_precise_AuNC</x:v>
      </x:c>
      <x:c r="F19" s="20" t="str">
        <x:v>Glutathione (SG)</x:v>
      </x:c>
      <x:c r="G19" s="20" t="str">
        <x:v>γ-ECG</x:v>
      </x:c>
      <x:c r="H19" s="20" t="str">
        <x:v>L</x:v>
      </x:c>
      <x:c r="I19" s="20" t="str">
        <x:v>Single Cu atom doping</x:v>
      </x:c>
      <x:c r="J19" s="20" t="n">
        <x:v>21</x:v>
      </x:c>
      <x:c r="K19" s="20" t="n">
        <x:v>18</x:v>
      </x:c>
      <x:c r="L19" s="20" t="n">
        <x:v>1.5</x:v>
      </x:c>
      <x:c r="M19" s="20"/>
      <x:c r="N19" s="20" t="str">
        <x:v>Au21Cu1(SG)18</x:v>
      </x:c>
      <x:c r="O19" s="20" t="str">
        <x:v>HAuCl4 + Cu2+</x:v>
      </x:c>
      <x:c r="P19" s="20" t="str">
        <x:v>Same Au22 method; Cu2+ added</x:v>
      </x:c>
      <x:c r="Q19" s="20" t="str">
        <x:v>NaBH4</x:v>
      </x:c>
      <x:c r="R19" s="20" t="n">
        <x:v>12</x:v>
      </x:c>
      <x:c r="S19" s="20" t="n">
        <x:v>25</x:v>
      </x:c>
      <x:c r="T19" s="20" t="n">
        <x:v>8.5</x:v>
      </x:c>
      <x:c r="U19" s="20" t="str">
        <x:v>500 rpm 30 min; pH 2.5; sealed 200 rpm 8 h</x:v>
      </x:c>
      <x:c r="V19" s="20"/>
      <x:c r="W19" s="20"/>
      <x:c r="X19" s="20"/>
      <x:c r="Y19" s="20"/>
      <x:c r="Z19" s="20"/>
      <x:c r="AA19" s="20" t="n">
        <x:v>808</x:v>
      </x:c>
      <x:c r="AB19" s="20"/>
      <x:c r="AC19" s="20"/>
      <x:c r="AD19" s="20"/>
      <x:c r="AE19" s="20" t="str">
        <x:v>NIR-II imaging / nanozyme</x:v>
      </x:c>
      <x:c r="AF19" s="20" t="str">
        <x:v>Cu single-atom substitution lowers bandgap 1.33→1.28 eV and strongly increases enzyme-mimetic activity</x:v>
      </x:c>
      <x:c r="AG19" s="20" t="str">
        <x:v>Results pp.1–2 + Methods p.13</x:v>
      </x:c>
      <x:c r="AH19" s="20" t="str">
        <x:v>https://doi.org/10.1126/sciadv.adh7828</x:v>
      </x:c>
      <x:c r="AI19" s="24" t="n">
        <x:f>ROUND(100*COUNTA(G19,J19,L19,R19,S19,T19,V19,X19,AA19,AC19)/10,0)</x:f>
        <x:v>70</x:v>
      </x:c>
      <x:c r="AJ19" s="20" t="str">
        <x:v>TRAIN_CORE</x:v>
      </x:c>
      <x:c r="AK19" s="20" t="str">
        <x:v>EXACT_FROM_UPLOADED_PRIMARY</x:v>
      </x:c>
      <x:c r="AL19" s="20" t="str">
        <x:v>Atomic record; keep same-paper records grouped in validation.</x:v>
      </x:c>
      <x:c r="AM19" s="20" t="str">
        <x:v>2026-09-07</x:v>
      </x:c>
      <x:c r="AN19" s="20" t="str">
        <x:v>UPLOADED_PRIMARY_OR_REVIEW</x:v>
      </x:c>
    </x:row>
    <x:row r="20" ht="19" customHeight="1">
      <x:c r="A20" s="20" t="str">
        <x:v>R017</x:v>
      </x:c>
      <x:c r="B20" s="20" t="str">
        <x:v>S10</x:v>
      </x:c>
      <x:c r="C20" s="20" t="str">
        <x:v>A1 DIRECT_PEPTIDE_ATOMIC_AUNC</x:v>
      </x:c>
      <x:c r="D20" s="20" t="str">
        <x:v>DIRECT</x:v>
      </x:c>
      <x:c r="E20" s="20" t="str">
        <x:v>atomically_precise_AuNC</x:v>
      </x:c>
      <x:c r="F20" s="20" t="str">
        <x:v>Glutathione (SG)</x:v>
      </x:c>
      <x:c r="G20" s="20" t="str">
        <x:v>γ-ECG</x:v>
      </x:c>
      <x:c r="H20" s="20" t="str">
        <x:v>L</x:v>
      </x:c>
      <x:c r="I20" s="20" t="str">
        <x:v>Thiolate ligand</x:v>
      </x:c>
      <x:c r="J20" s="20" t="n">
        <x:v>25</x:v>
      </x:c>
      <x:c r="K20" s="20" t="n">
        <x:v>18</x:v>
      </x:c>
      <x:c r="L20" s="20" t="str">
        <x:v>&lt;2</x:v>
      </x:c>
      <x:c r="M20" s="20" t="n">
        <x:v>3.2</x:v>
      </x:c>
      <x:c r="N20" s="20" t="str">
        <x:v>Au25(SG)18; 13-Au core + six Au2(SG)3 shell motifs</x:v>
      </x:c>
      <x:c r="O20" s="20" t="str">
        <x:v>Not fully specified in main paper</x:v>
      </x:c>
      <x:c r="P20" s="20" t="str">
        <x:v>Main paper refers to prior method / SI</x:v>
      </x:c>
      <x:c r="Q20" s="20" t="str">
        <x:v>Not fully specified</x:v>
      </x:c>
      <x:c r="R20" s="20"/>
      <x:c r="S20" s="20"/>
      <x:c r="T20" s="20"/>
      <x:c r="U20" s="20" t="str">
        <x:v>See Supporting Information</x:v>
      </x:c>
      <x:c r="V20" s="20"/>
      <x:c r="W20" s="20" t="str">
        <x:v>1100–1350</x:v>
      </x:c>
      <x:c r="X20" s="20"/>
      <x:c r="Y20" s="20"/>
      <x:c r="Z20" s="20"/>
      <x:c r="AA20" s="20"/>
      <x:c r="AB20" s="20"/>
      <x:c r="AC20" s="20"/>
      <x:c r="AD20" s="20"/>
      <x:c r="AE20" s="20" t="str">
        <x:v>NIR-II imaging</x:v>
      </x:c>
      <x:c r="AF20" s="20" t="str">
        <x:v>Atomic-precision Au25 with strong NIR-II emission; exact synthesis must be taken from SI/primary synthesis method</x:v>
      </x:c>
      <x:c r="AG20" s="20" t="str">
        <x:v>Main text pp.1–2; Experimental points to SI</x:v>
      </x:c>
      <x:c r="AH20" s="20" t="str">
        <x:v>https://doi.org/10.1002/adma.201901015</x:v>
      </x:c>
      <x:c r="AI20" s="24" t="n">
        <x:f>ROUND(100*COUNTA(G20,J20,L20,R20,S20,T20,V20,X20,AA20,AC20)/10,0)</x:f>
        <x:v>30</x:v>
      </x:c>
      <x:c r="AJ20" s="20" t="str">
        <x:v>QC_HOLD</x:v>
      </x:c>
      <x:c r="AK20" s="20" t="str">
        <x:v>EXACT_LIGAND_ID</x:v>
      </x:c>
      <x:c r="AL20" s="20" t="str">
        <x:v>Atomic Au25(SG)18, but exact synthesis details require Supporting Information / prior method.</x:v>
      </x:c>
      <x:c r="AM20" s="20" t="str">
        <x:v>2026-09-07</x:v>
      </x:c>
      <x:c r="AN20" s="20" t="str">
        <x:v>UPLOADED_PRIMARY_OR_REVIEW</x:v>
      </x:c>
    </x:row>
    <x:row r="21" ht="19" customHeight="1">
      <x:c r="A21" s="20" t="str">
        <x:v>R018</x:v>
      </x:c>
      <x:c r="B21" s="20" t="str">
        <x:v>S11</x:v>
      </x:c>
      <x:c r="C21" s="20" t="str">
        <x:v>C1 AUNC_PTT_BENCHMARK</x:v>
      </x:c>
      <x:c r="D21" s="20" t="str">
        <x:v>DIRECT</x:v>
      </x:c>
      <x:c r="E21" s="20" t="str">
        <x:v>atomically_precise_AuNC</x:v>
      </x:c>
      <x:c r="F21" s="20" t="str">
        <x:v>Phosphorylcholine-functionalized Au25</x:v>
      </x:c>
      <x:c r="G21" s="20" t="str">
        <x:v>N/A</x:v>
      </x:c>
      <x:c r="H21" s="20" t="str">
        <x:v>N/A</x:v>
      </x:c>
      <x:c r="I21" s="20" t="str">
        <x:v>PC surface coating</x:v>
      </x:c>
      <x:c r="J21" s="20" t="n">
        <x:v>25</x:v>
      </x:c>
      <x:c r="K21" s="20"/>
      <x:c r="L21" s="20" t="str">
        <x:v>~2</x:v>
      </x:c>
      <x:c r="M21" s="20"/>
      <x:c r="N21" s="20" t="str">
        <x:v>Molecular Au25 cluster</x:v>
      </x:c>
      <x:c r="O21" s="20" t="str">
        <x:v>Au25 precursor/system</x:v>
      </x:c>
      <x:c r="P21" s="20" t="str">
        <x:v>25 mg/mL AuPC aqueous solution</x:v>
      </x:c>
      <x:c r="Q21" s="20" t="str">
        <x:v>N/A</x:v>
      </x:c>
      <x:c r="R21" s="20"/>
      <x:c r="S21" s="20"/>
      <x:c r="T21" s="20"/>
      <x:c r="U21" s="20" t="str">
        <x:v>Benchmark material</x:v>
      </x:c>
      <x:c r="V21" s="20" t="n">
        <x:v>1090</x:v>
      </x:c>
      <x:c r="W21" s="20" t="str">
        <x:v>900–1500</x:v>
      </x:c>
      <x:c r="X21" s="20" t="n">
        <x:v>0.38</x:v>
      </x:c>
      <x:c r="Y21" s="20"/>
      <x:c r="Z21" s="20"/>
      <x:c r="AA21" s="20" t="n">
        <x:v>808</x:v>
      </x:c>
      <x:c r="AB21" s="20" t="n">
        <x:v>0.3</x:v>
      </x:c>
      <x:c r="AC21" s="20" t="n">
        <x:v>70</x:v>
      </x:c>
      <x:c r="AD21" s="20" t="n">
        <x:v>10</x:v>
      </x:c>
      <x:c r="AE21" s="20" t="str">
        <x:v>Cancer PTT benchmark</x:v>
      </x:c>
      <x:c r="AF21" s="20" t="str">
        <x:v>In vitro: ~70°C from room temperature within 10 min under 808 nm, 0.3 W/cm²</x:v>
      </x:c>
      <x:c r="AG21" s="20" t="str">
        <x:v>Main text p.4; Fig.4</x:v>
      </x:c>
      <x:c r="AH21" s="20" t="str">
        <x:v>https://doi.org/10.1073/pnas.2318265121</x:v>
      </x:c>
      <x:c r="AI21" s="24" t="n">
        <x:f>ROUND(100*COUNTA(G21,J21,L21,R21,S21,T21,V21,X21,AA21,AC21)/10,0)</x:f>
        <x:v>70</x:v>
      </x:c>
      <x:c r="AJ21" s="20" t="str">
        <x:v>BENCHMARK_ONLY</x:v>
      </x:c>
      <x:c r="AK21" s="20" t="str">
        <x:v>NOT_APPLICABLE</x:v>
      </x:c>
      <x:c r="AL21" s="20" t="str">
        <x:v>Non-peptide AuNC biomedical/PTT benchmark; do not train peptide-sequence model.</x:v>
      </x:c>
      <x:c r="AM21" s="20" t="str">
        <x:v>2026-09-07</x:v>
      </x:c>
      <x:c r="AN21" s="20" t="str">
        <x:v>UPLOADED_PRIMARY_OR_REVIEW</x:v>
      </x:c>
    </x:row>
    <x:row r="22" ht="19" customHeight="1">
      <x:c r="A22" s="20" t="str">
        <x:v>R019</x:v>
      </x:c>
      <x:c r="B22" s="20" t="str">
        <x:v>S11</x:v>
      </x:c>
      <x:c r="C22" s="20" t="str">
        <x:v>C1 AUNC_PTT_BENCHMARK</x:v>
      </x:c>
      <x:c r="D22" s="20" t="str">
        <x:v>DIRECT</x:v>
      </x:c>
      <x:c r="E22" s="20" t="str">
        <x:v>atomically_precise_AuNC</x:v>
      </x:c>
      <x:c r="F22" s="20" t="str">
        <x:v>Phosphorylcholine-functionalized Au25</x:v>
      </x:c>
      <x:c r="G22" s="20" t="str">
        <x:v>N/A</x:v>
      </x:c>
      <x:c r="H22" s="20" t="str">
        <x:v>N/A</x:v>
      </x:c>
      <x:c r="I22" s="20" t="str">
        <x:v>PC surface coating</x:v>
      </x:c>
      <x:c r="J22" s="20" t="n">
        <x:v>25</x:v>
      </x:c>
      <x:c r="K22" s="20"/>
      <x:c r="L22" s="20" t="str">
        <x:v>~2</x:v>
      </x:c>
      <x:c r="M22" s="20"/>
      <x:c r="N22" s="20" t="str">
        <x:v>Molecular Au25 cluster</x:v>
      </x:c>
      <x:c r="O22" s="20" t="str">
        <x:v>Au25 precursor/system</x:v>
      </x:c>
      <x:c r="P22" s="20" t="str">
        <x:v>20–40 µL of 25 mg/mL intratumorally</x:v>
      </x:c>
      <x:c r="Q22" s="20" t="str">
        <x:v>N/A</x:v>
      </x:c>
      <x:c r="R22" s="20"/>
      <x:c r="S22" s="20"/>
      <x:c r="T22" s="20"/>
      <x:c r="U22" s="20" t="str">
        <x:v>4T1 tumor, intratumoral injection</x:v>
      </x:c>
      <x:c r="V22" s="20" t="n">
        <x:v>1090</x:v>
      </x:c>
      <x:c r="W22" s="20" t="str">
        <x:v>900–1500</x:v>
      </x:c>
      <x:c r="X22" s="20" t="n">
        <x:v>0.38</x:v>
      </x:c>
      <x:c r="Y22" s="20"/>
      <x:c r="Z22" s="20"/>
      <x:c r="AA22" s="20" t="n">
        <x:v>808</x:v>
      </x:c>
      <x:c r="AB22" s="20" t="n">
        <x:v>0.3</x:v>
      </x:c>
      <x:c r="AC22" s="20" t="n">
        <x:v>60</x:v>
      </x:c>
      <x:c r="AD22" s="20" t="n">
        <x:v>30</x:v>
      </x:c>
      <x:c r="AE22" s="20" t="str">
        <x:v>Cancer PTT benchmark</x:v>
      </x:c>
      <x:c r="AF22" s="20" t="str">
        <x:v>In vivo: ~53°C at 3 min, rising to ~60°C; 94.4% 60-day relative survival reported</x:v>
      </x:c>
      <x:c r="AG22" s="20" t="str">
        <x:v>Main text pp.4–6; Fig.5</x:v>
      </x:c>
      <x:c r="AH22" s="20" t="str">
        <x:v>https://doi.org/10.1073/pnas.2318265121</x:v>
      </x:c>
      <x:c r="AI22" s="24" t="n">
        <x:f>ROUND(100*COUNTA(G22,J22,L22,R22,S22,T22,V22,X22,AA22,AC22)/10,0)</x:f>
        <x:v>70</x:v>
      </x:c>
      <x:c r="AJ22" s="20" t="str">
        <x:v>BENCHMARK_ONLY</x:v>
      </x:c>
      <x:c r="AK22" s="20" t="str">
        <x:v>NOT_APPLICABLE</x:v>
      </x:c>
      <x:c r="AL22" s="20" t="str">
        <x:v>Non-peptide AuNC biomedical/PTT benchmark; do not train peptide-sequence model.</x:v>
      </x:c>
      <x:c r="AM22" s="20" t="str">
        <x:v>2026-09-07</x:v>
      </x:c>
      <x:c r="AN22" s="20" t="str">
        <x:v>UPLOADED_PRIMARY_OR_REVIEW</x:v>
      </x:c>
    </x:row>
    <x:row r="23" ht="19" customHeight="1">
      <x:c r="A23" s="20" t="str">
        <x:v>R020</x:v>
      </x:c>
      <x:c r="B23" s="20" t="str">
        <x:v>S13</x:v>
      </x:c>
      <x:c r="C23" s="20" t="str">
        <x:v>C2 AUNC_BIOMEDICAL_BENCHMARK</x:v>
      </x:c>
      <x:c r="D23" s="20" t="str">
        <x:v>DIRECT</x:v>
      </x:c>
      <x:c r="E23" s="20" t="str">
        <x:v>atomically_precise_AuNC</x:v>
      </x:c>
      <x:c r="F23" s="20" t="str">
        <x:v>Phosphorylcholine-functionalized Au25</x:v>
      </x:c>
      <x:c r="G23" s="20" t="str">
        <x:v>N/A</x:v>
      </x:c>
      <x:c r="H23" s="20" t="str">
        <x:v>N/A</x:v>
      </x:c>
      <x:c r="I23" s="20" t="str">
        <x:v>PC surface coating</x:v>
      </x:c>
      <x:c r="J23" s="20" t="n">
        <x:v>25</x:v>
      </x:c>
      <x:c r="K23" s="20"/>
      <x:c r="L23" s="20"/>
      <x:c r="M23" s="20"/>
      <x:c r="N23" s="20" t="str">
        <x:v>Au25-PC molecular cluster</x:v>
      </x:c>
      <x:c r="O23" s="20" t="str">
        <x:v>Au25 precursor/system</x:v>
      </x:c>
      <x:c r="P23" s="20" t="str">
        <x:v>Surface-functionalized with PC</x:v>
      </x:c>
      <x:c r="Q23" s="20" t="str">
        <x:v>N/A</x:v>
      </x:c>
      <x:c r="R23" s="20"/>
      <x:c r="S23" s="20"/>
      <x:c r="T23" s="20"/>
      <x:c r="U23" s="20" t="str">
        <x:v>Subcutaneous injection</x:v>
      </x:c>
      <x:c r="V23" s="20"/>
      <x:c r="W23" s="20" t="str">
        <x:v>1000–3000 imaging window</x:v>
      </x:c>
      <x:c r="X23" s="20"/>
      <x:c r="Y23" s="20"/>
      <x:c r="Z23" s="20"/>
      <x:c r="AA23" s="20"/>
      <x:c r="AB23" s="20"/>
      <x:c r="AC23" s="20"/>
      <x:c r="AD23" s="20"/>
      <x:c r="AE23" s="20" t="str">
        <x:v>Lymph-node NIR-II imaging</x:v>
      </x:c>
      <x:c r="AF23" s="20" t="str">
        <x:v>Super-stealth behavior; optimal LN imaging ~0.5–1 h with rapid renal clearance</x:v>
      </x:c>
      <x:c r="AG23" s="20" t="str">
        <x:v>Abstract / main text p.1</x:v>
      </x:c>
      <x:c r="AH23" s="20" t="str">
        <x:v>https://doi.org/10.1038/s41467-022-33341-6</x:v>
      </x:c>
      <x:c r="AI23" s="24" t="n">
        <x:f>ROUND(100*COUNTA(G23,J23,L23,R23,S23,T23,V23,X23,AA23,AC23)/10,0)</x:f>
        <x:v>20</x:v>
      </x:c>
      <x:c r="AJ23" s="20" t="str">
        <x:v>BENCHMARK_ONLY</x:v>
      </x:c>
      <x:c r="AK23" s="20" t="str">
        <x:v>NOT_APPLICABLE</x:v>
      </x:c>
      <x:c r="AL23" s="20" t="str">
        <x:v>Non-peptide AuNC biomedical/PTT benchmark; do not train peptide-sequence model.</x:v>
      </x:c>
      <x:c r="AM23" s="20" t="str">
        <x:v>2026-09-07</x:v>
      </x:c>
      <x:c r="AN23" s="20" t="str">
        <x:v>UPLOADED_PRIMARY_OR_REVIEW</x:v>
      </x:c>
    </x:row>
    <x:row r="24" ht="19" customHeight="1">
      <x:c r="A24" s="20" t="str">
        <x:v>R021</x:v>
      </x:c>
      <x:c r="B24" s="20" t="str">
        <x:v>S12</x:v>
      </x:c>
      <x:c r="C24" s="20" t="str">
        <x:v>D1 METHOD_REFERENCE</x:v>
      </x:c>
      <x:c r="D24" s="20" t="str">
        <x:v>REVIEW-DERIVED</x:v>
      </x:c>
      <x:c r="E24" s="20" t="str">
        <x:v>atomically_precise_AuNC</x:v>
      </x:c>
      <x:c r="F24" s="20" t="str">
        <x:v>Glutathione (GSH)</x:v>
      </x:c>
      <x:c r="G24" s="20" t="str">
        <x:v>γ-ECG</x:v>
      </x:c>
      <x:c r="H24" s="20" t="str">
        <x:v>L</x:v>
      </x:c>
      <x:c r="I24" s="20" t="str">
        <x:v>Review table entry</x:v>
      </x:c>
      <x:c r="J24" s="20" t="n">
        <x:v>25</x:v>
      </x:c>
      <x:c r="K24" s="20" t="n">
        <x:v>18</x:v>
      </x:c>
      <x:c r="L24" s="20"/>
      <x:c r="M24" s="20"/>
      <x:c r="N24" s="20" t="str">
        <x:v>Au25(GSH)18</x:v>
      </x:c>
      <x:c r="O24" s="20" t="str">
        <x:v>N/A</x:v>
      </x:c>
      <x:c r="P24" s="20" t="str">
        <x:v>Review-derived optical entry</x:v>
      </x:c>
      <x:c r="Q24" s="20" t="str">
        <x:v>N/A</x:v>
      </x:c>
      <x:c r="R24" s="20"/>
      <x:c r="S24" s="20"/>
      <x:c r="T24" s="20"/>
      <x:c r="U24" s="20" t="str">
        <x:v>Primary paper required</x:v>
      </x:c>
      <x:c r="V24" s="20" t="n">
        <x:v>1120</x:v>
      </x:c>
      <x:c r="W24" s="20" t="str">
        <x:v>900–1500</x:v>
      </x:c>
      <x:c r="X24" s="20" t="n">
        <x:v>0.13</x:v>
      </x:c>
      <x:c r="Y24" s="20"/>
      <x:c r="Z24" s="20"/>
      <x:c r="AA24" s="20" t="n">
        <x:v>808</x:v>
      </x:c>
      <x:c r="AB24" s="20"/>
      <x:c r="AC24" s="20"/>
      <x:c r="AD24" s="20"/>
      <x:c r="AE24" s="20" t="str">
        <x:v>Imaging benchmark</x:v>
      </x:c>
      <x:c r="AF24" s="20" t="str">
        <x:v>Review table lists Au25(GSH)18 with NIR-II emission and low PLQY; primary paper must be extracted before training</x:v>
      </x:c>
      <x:c r="AG24" s="20" t="str">
        <x:v>Chem. Rev. Table 1</x:v>
      </x:c>
      <x:c r="AH24" s="20" t="str">
        <x:v>https://doi.org/10.1021/acs.chemrev.4c00835</x:v>
      </x:c>
      <x:c r="AI24" s="24" t="n">
        <x:f>ROUND(100*COUNTA(G24,J24,L24,R24,S24,T24,V24,X24,AA24,AC24)/10,0)</x:f>
        <x:v>50</x:v>
      </x:c>
      <x:c r="AJ24" s="20" t="str">
        <x:v>REVIEW_LEAD</x:v>
      </x:c>
      <x:c r="AK24" s="20" t="str">
        <x:v>REVIEW_DERIVED</x:v>
      </x:c>
      <x:c r="AL24" s="20" t="str">
        <x:v>Primary paper must be extracted before model training.</x:v>
      </x:c>
      <x:c r="AM24" s="20" t="str">
        <x:v>2026-09-07</x:v>
      </x:c>
      <x:c r="AN24" s="20" t="str">
        <x:v>UPLOADED_PRIMARY_OR_REVIEW</x:v>
      </x:c>
    </x:row>
    <x:row r="25" ht="19" customHeight="1">
      <x:c r="A25" s="20" t="str">
        <x:v>R022</x:v>
      </x:c>
      <x:c r="B25" s="20" t="str">
        <x:v>S12</x:v>
      </x:c>
      <x:c r="C25" s="20" t="str">
        <x:v>D1 METHOD_REFERENCE</x:v>
      </x:c>
      <x:c r="D25" s="20" t="str">
        <x:v>REVIEW-DERIVED</x:v>
      </x:c>
      <x:c r="E25" s="20" t="str">
        <x:v>atomically_precise_AuNC</x:v>
      </x:c>
      <x:c r="F25" s="20" t="str">
        <x:v>4-mercaptobenzoic acid (MBA)</x:v>
      </x:c>
      <x:c r="G25" s="20" t="str">
        <x:v>N/A</x:v>
      </x:c>
      <x:c r="H25" s="20" t="str">
        <x:v>N/A</x:v>
      </x:c>
      <x:c r="I25" s="20" t="str">
        <x:v>Review table entry</x:v>
      </x:c>
      <x:c r="J25" s="20" t="n">
        <x:v>44</x:v>
      </x:c>
      <x:c r="K25" s="20" t="n">
        <x:v>26</x:v>
      </x:c>
      <x:c r="L25" s="20"/>
      <x:c r="M25" s="20"/>
      <x:c r="N25" s="20" t="str">
        <x:v>Au44(MBA)26</x:v>
      </x:c>
      <x:c r="O25" s="20" t="str">
        <x:v>N/A</x:v>
      </x:c>
      <x:c r="P25" s="20" t="str">
        <x:v>Review-derived optical/PTT entry</x:v>
      </x:c>
      <x:c r="Q25" s="20" t="str">
        <x:v>N/A</x:v>
      </x:c>
      <x:c r="R25" s="20"/>
      <x:c r="S25" s="20"/>
      <x:c r="T25" s="20"/>
      <x:c r="U25" s="20" t="str">
        <x:v>Primary paper required</x:v>
      </x:c>
      <x:c r="V25" s="20" t="n">
        <x:v>1080</x:v>
      </x:c>
      <x:c r="W25" s="20" t="str">
        <x:v>~1080 and 1280</x:v>
      </x:c>
      <x:c r="X25" s="20" t="n">
        <x:v>4.5</x:v>
      </x:c>
      <x:c r="Y25" s="20"/>
      <x:c r="Z25" s="20"/>
      <x:c r="AA25" s="20" t="n">
        <x:v>808</x:v>
      </x:c>
      <x:c r="AB25" s="20"/>
      <x:c r="AC25" s="20"/>
      <x:c r="AD25" s="20"/>
      <x:c r="AE25" s="20" t="str">
        <x:v>PTT / theranostics</x:v>
      </x:c>
      <x:c r="AF25" s="20" t="str">
        <x:v>Review identifies Au44(MBA)26 as high-PCE PTT-capable cluster; not peptide-templated and must remain a benchmark</x:v>
      </x:c>
      <x:c r="AG25" s="20" t="str">
        <x:v>Chem. Rev. Table 1 + PTT section</x:v>
      </x:c>
      <x:c r="AH25" s="20" t="str">
        <x:v>https://doi.org/10.1021/acs.chemrev.4c00835</x:v>
      </x:c>
      <x:c r="AI25" s="24" t="n">
        <x:f>ROUND(100*COUNTA(G25,J25,L25,R25,S25,T25,V25,X25,AA25,AC25)/10,0)</x:f>
        <x:v>50</x:v>
      </x:c>
      <x:c r="AJ25" s="20" t="str">
        <x:v>REVIEW_LEAD</x:v>
      </x:c>
      <x:c r="AK25" s="20" t="str">
        <x:v>REVIEW_DERIVED</x:v>
      </x:c>
      <x:c r="AL25" s="20" t="str">
        <x:v>Primary paper must be extracted before model training.</x:v>
      </x:c>
      <x:c r="AM25" s="20" t="str">
        <x:v>2026-09-07</x:v>
      </x:c>
      <x:c r="AN25" s="20" t="str">
        <x:v>UPLOADED_PRIMARY_OR_REVIEW</x:v>
      </x:c>
    </x:row>
    <x:row r="26" ht="19" customHeight="1">
      <x:c r="A26" s="20" t="str">
        <x:v>R023</x:v>
      </x:c>
      <x:c r="B26" s="20" t="str">
        <x:v>W01</x:v>
      </x:c>
      <x:c r="C26" s="20" t="str">
        <x:v>A2 DIRECT_PEPTIDE_NONPRECISE_AUNC</x:v>
      </x:c>
      <x:c r="D26" s="20" t="str">
        <x:v>DIRECT</x:v>
      </x:c>
      <x:c r="E26" s="20" t="str">
        <x:v>ultrasmall_AuNC_unknown_nuclearity</x:v>
      </x:c>
      <x:c r="F26" s="20" t="str">
        <x:v>SV polypeptide — blue AuNC</x:v>
      </x:c>
      <x:c r="G26" s="20" t="str">
        <x:v>CCYGGPKKKRKVG</x:v>
      </x:c>
      <x:c r="H26" s="20" t="str">
        <x:v>L</x:v>
      </x:c>
      <x:c r="I26" s="20" t="str">
        <x:v>NH2- / -COOH</x:v>
      </x:c>
      <x:c r="J26" s="20"/>
      <x:c r="K26" s="20"/>
      <x:c r="L26" s="20" t="str">
        <x:v>&lt;2</x:v>
      </x:c>
      <x:c r="M26" s="20"/>
      <x:c r="N26" s="20" t="str">
        <x:v>Blue-emitting peptide-templated AuNC</x:v>
      </x:c>
      <x:c r="O26" s="20" t="str">
        <x:v>HAuCl4</x:v>
      </x:c>
      <x:c r="P26" s="20" t="str">
        <x:v>Same SV peptide; synthesis conditions optimized separately from red product</x:v>
      </x:c>
      <x:c r="Q26" s="20" t="str">
        <x:v>Peptide-templated / conditions dependent</x:v>
      </x:c>
      <x:c r="R26" s="20"/>
      <x:c r="S26" s="20"/>
      <x:c r="T26" s="20"/>
      <x:c r="U26" s="20" t="str">
        <x:v>Light, pH, Au:peptide ratio, time and temperature were optimization variables</x:v>
      </x:c>
      <x:c r="V26" s="20" t="n">
        <x:v>405</x:v>
      </x:c>
      <x:c r="W26" s="20" t="str">
        <x:v>λex 320 / λem 405</x:v>
      </x:c>
      <x:c r="X26" s="20"/>
      <x:c r="Y26" s="20"/>
      <x:c r="Z26" s="20"/>
      <x:c r="AA26" s="20"/>
      <x:c r="AB26" s="20"/>
      <x:c r="AC26" s="20"/>
      <x:c r="AD26" s="20"/>
      <x:c r="AE26" s="20" t="str">
        <x:v>Cell-nucleus multimodal imaging</x:v>
      </x:c>
      <x:c r="AF26" s="20" t="str">
        <x:v>The same exact peptide produced a blue AuNC under one synthesis condition set and a red AuNC under another, proving synthesis context is indispensable.</x:v>
      </x:c>
      <x:c r="AG26" s="20" t="str">
        <x:v>ACS Applied Bio Materials abstract + SI listing</x:v>
      </x:c>
      <x:c r="AH26" s="20" t="str">
        <x:v>https://doi.org/10.1021/acsabm.9b01078</x:v>
      </x:c>
      <x:c r="AI26" s="24" t="n">
        <x:f>ROUND(100*COUNTA(G26,J26,L26,R26,S26,T26,V26,X26,AA26,AC26)/10,0)</x:f>
        <x:v>30</x:v>
      </x:c>
      <x:c r="AJ26" s="20" t="str">
        <x:v>QC_HOLD</x:v>
      </x:c>
      <x:c r="AK26" s="20" t="str">
        <x:v>EXACT_FROM_PRIMARY</x:v>
      </x:c>
      <x:c r="AL26" s="20" t="str">
        <x:v>Exact numerical synthesis condition set still needs full main-text/SI extraction.</x:v>
      </x:c>
      <x:c r="AM26" s="20" t="str">
        <x:v>2026-09-07</x:v>
      </x:c>
      <x:c r="AN26" s="20" t="str">
        <x:v>WEB_PRIMARY</x:v>
      </x:c>
    </x:row>
    <x:row r="27" ht="19" customHeight="1">
      <x:c r="A27" s="20" t="str">
        <x:v>R024</x:v>
      </x:c>
      <x:c r="B27" s="20" t="str">
        <x:v>W01</x:v>
      </x:c>
      <x:c r="C27" s="20" t="str">
        <x:v>A2 DIRECT_PEPTIDE_NONPRECISE_AUNC</x:v>
      </x:c>
      <x:c r="D27" s="20" t="str">
        <x:v>DIRECT</x:v>
      </x:c>
      <x:c r="E27" s="20" t="str">
        <x:v>ultrasmall_AuNC_unknown_nuclearity</x:v>
      </x:c>
      <x:c r="F27" s="20" t="str">
        <x:v>SV polypeptide — red AuNC</x:v>
      </x:c>
      <x:c r="G27" s="20" t="str">
        <x:v>CCYGGPKKKRKVG</x:v>
      </x:c>
      <x:c r="H27" s="20" t="str">
        <x:v>L</x:v>
      </x:c>
      <x:c r="I27" s="20" t="str">
        <x:v>NH2- / -COOH</x:v>
      </x:c>
      <x:c r="J27" s="20"/>
      <x:c r="K27" s="20"/>
      <x:c r="L27" s="20" t="str">
        <x:v>&lt;2</x:v>
      </x:c>
      <x:c r="M27" s="20"/>
      <x:c r="N27" s="20" t="str">
        <x:v>Red-emitting peptide-templated AuNC</x:v>
      </x:c>
      <x:c r="O27" s="20" t="str">
        <x:v>HAuCl4</x:v>
      </x:c>
      <x:c r="P27" s="20" t="str">
        <x:v>Same SV peptide; synthesis conditions optimized separately from blue product</x:v>
      </x:c>
      <x:c r="Q27" s="20" t="str">
        <x:v>Peptide-templated / conditions dependent</x:v>
      </x:c>
      <x:c r="R27" s="20"/>
      <x:c r="S27" s="20"/>
      <x:c r="T27" s="20"/>
      <x:c r="U27" s="20" t="str">
        <x:v>Light, pH, Au:peptide ratio, time and temperature were optimization variables</x:v>
      </x:c>
      <x:c r="V27" s="20" t="n">
        <x:v>657</x:v>
      </x:c>
      <x:c r="W27" s="20" t="str">
        <x:v>λex 560 / λem 657</x:v>
      </x:c>
      <x:c r="X27" s="20"/>
      <x:c r="Y27" s="20"/>
      <x:c r="Z27" s="20"/>
      <x:c r="AA27" s="20"/>
      <x:c r="AB27" s="20"/>
      <x:c r="AC27" s="20"/>
      <x:c r="AD27" s="20"/>
      <x:c r="AE27" s="20" t="str">
        <x:v>Cell-nucleus multimodal imaging</x:v>
      </x:c>
      <x:c r="AF27" s="20" t="str">
        <x:v>Paired with R023: identical peptide sequence can yield sharply different optical outcomes when the synthesis environment changes.</x:v>
      </x:c>
      <x:c r="AG27" s="20" t="str">
        <x:v>ACS Applied Bio Materials abstract + SI listing</x:v>
      </x:c>
      <x:c r="AH27" s="20" t="str">
        <x:v>https://doi.org/10.1021/acsabm.9b01078</x:v>
      </x:c>
      <x:c r="AI27" s="24" t="n">
        <x:f>ROUND(100*COUNTA(G27,J27,L27,R27,S27,T27,V27,X27,AA27,AC27)/10,0)</x:f>
        <x:v>30</x:v>
      </x:c>
      <x:c r="AJ27" s="20" t="str">
        <x:v>QC_HOLD</x:v>
      </x:c>
      <x:c r="AK27" s="20" t="str">
        <x:v>EXACT_FROM_PRIMARY</x:v>
      </x:c>
      <x:c r="AL27" s="20" t="str">
        <x:v>Exact numerical synthesis condition set still needs full main-text/SI extraction.</x:v>
      </x:c>
      <x:c r="AM27" s="20" t="str">
        <x:v>2026-09-07</x:v>
      </x:c>
      <x:c r="AN27" s="20" t="str">
        <x:v>WEB_PRIMARY</x:v>
      </x:c>
    </x:row>
    <x:row r="28" ht="19" customHeight="1">
      <x:c r="A28" s="20" t="str">
        <x:v>R025</x:v>
      </x:c>
      <x:c r="B28" s="20" t="str">
        <x:v>W02</x:v>
      </x:c>
      <x:c r="C28" s="20" t="str">
        <x:v>A2 DIRECT_PEPTIDE_NONPRECISE_AUNC</x:v>
      </x:c>
      <x:c r="D28" s="20" t="str">
        <x:v>DIRECT</x:v>
      </x:c>
      <x:c r="E28" s="20" t="str">
        <x:v>ultrasmall_AuNC_unknown_nuclearity</x:v>
      </x:c>
      <x:c r="F28" s="20" t="str">
        <x:v>Cyclodecapeptide-templated AuNC</x:v>
      </x:c>
      <x:c r="G28" s="20" t="str">
        <x:v>Cyclodecapeptide: 1 Tyr + 2 Cys; exact sequence pending</x:v>
      </x:c>
      <x:c r="H28" s="20" t="str">
        <x:v>L</x:v>
      </x:c>
      <x:c r="I28" s="20" t="str">
        <x:v>Cyclic peptide</x:v>
      </x:c>
      <x:c r="J28" s="20"/>
      <x:c r="K28" s="20"/>
      <x:c r="L28" s="20"/>
      <x:c r="M28" s="20"/>
      <x:c r="N28" s="20" t="str">
        <x:v>Red-fluorescent CP-AuNC</x:v>
      </x:c>
      <x:c r="O28" s="20" t="str">
        <x:v>HAuCl4</x:v>
      </x:c>
      <x:c r="P28" s="20" t="str">
        <x:v>100 µL 25 mM HAuCl4 + 1 mL 2 mM cyclodecapeptide</x:v>
      </x:c>
      <x:c r="Q28" s="20" t="str">
        <x:v>Peptide biomineralization / alkaline condition</x:v>
      </x:c>
      <x:c r="R28" s="20"/>
      <x:c r="S28" s="20" t="n">
        <x:v>37</x:v>
      </x:c>
      <x:c r="T28" s="20" t="n">
        <x:v>15</x:v>
      </x:c>
      <x:c r="U28" s="20" t="str">
        <x:v>Vigorous stirring; NaOH 75 µL 0.5 M added after 2 min; sealed 37°C</x:v>
      </x:c>
      <x:c r="V28" s="20"/>
      <x:c r="W28" s="20" t="str">
        <x:v>Red fluorescence; exact peak to extract</x:v>
      </x:c>
      <x:c r="X28" s="20"/>
      <x:c r="Y28" s="20"/>
      <x:c r="Z28" s="20"/>
      <x:c r="AA28" s="20"/>
      <x:c r="AB28" s="20"/>
      <x:c r="AC28" s="20"/>
      <x:c r="AD28" s="20"/>
      <x:c r="AE28" s="20" t="str">
        <x:v>Dual fluorescence/MR imaging after Gd3+ functionalization</x:v>
      </x:c>
      <x:c r="AF28" s="20" t="str">
        <x:v>Direct designed cyclic peptide acts as AuNC template and later Gd3+ chelator; exact peptide sequence must be recovered from structure figure/SI.</x:v>
      </x:c>
      <x:c r="AG28" s="20" t="str">
        <x:v>RSC Supporting Information synthesis</x:v>
      </x:c>
      <x:c r="AH28" s="20" t="str">
        <x:v>https://doi.org/10.1039/C3TB20440E</x:v>
      </x:c>
      <x:c r="AI28" s="24" t="n">
        <x:f>ROUND(100*COUNTA(G28,J28,L28,R28,S28,T28,V28,X28,AA28,AC28)/10,0)</x:f>
        <x:v>30</x:v>
      </x:c>
      <x:c r="AJ28" s="20" t="str">
        <x:v>QC_HOLD</x:v>
      </x:c>
      <x:c r="AK28" s="20" t="str">
        <x:v>INCOMPLETE_SEQUENCE</x:v>
      </x:c>
      <x:c r="AL28" s="20" t="str">
        <x:v>Exact cyclodecapeptide sequence not recovered from searchable text.</x:v>
      </x:c>
      <x:c r="AM28" s="20" t="str">
        <x:v>2026-09-07</x:v>
      </x:c>
      <x:c r="AN28" s="20" t="str">
        <x:v>WEB_PRIMARY+SI</x:v>
      </x:c>
    </x:row>
    <x:row r="29" ht="19" customHeight="1">
      <x:c r="A29" s="20" t="str">
        <x:v>R026</x:v>
      </x:c>
      <x:c r="B29" s="20" t="str">
        <x:v>W03</x:v>
      </x:c>
      <x:c r="C29" s="20" t="str">
        <x:v>A1 DIRECT_PEPTIDE_ATOMIC_AUNC</x:v>
      </x:c>
      <x:c r="D29" s="20" t="str">
        <x:v>DIRECT</x:v>
      </x:c>
      <x:c r="E29" s="20" t="str">
        <x:v>atomically_precise_AuNC</x:v>
      </x:c>
      <x:c r="F29" s="20" t="str">
        <x:v>CCYJNP5 peptide</x:v>
      </x:c>
      <x:c r="G29" s="20" t="str">
        <x:v>CCYLQLQAEER</x:v>
      </x:c>
      <x:c r="H29" s="20" t="str">
        <x:v>L</x:v>
      </x:c>
      <x:c r="I29" s="20" t="str">
        <x:v>C-terminal amide (-NH2)</x:v>
      </x:c>
      <x:c r="J29" s="20" t="n">
        <x:v>21</x:v>
      </x:c>
      <x:c r="K29" s="20"/>
      <x:c r="L29" s="20" t="n">
        <x:v>2</x:v>
      </x:c>
      <x:c r="M29" s="20"/>
      <x:c r="N29" s="20" t="str">
        <x:v>Peptide-conjugated Au21 nanocluster</x:v>
      </x:c>
      <x:c r="O29" s="20" t="str">
        <x:v>HAuCl4</x:v>
      </x:c>
      <x:c r="P29" s="20" t="str">
        <x:v>1 mL 4.428 mM HAuCl4 + 1 mL CCYJNP5; optimized peptide:HAuCl4 = 1:1</x:v>
      </x:c>
      <x:c r="Q29" s="20" t="str">
        <x:v>Peptide self-reduction via Tyr under alkaline pH</x:v>
      </x:c>
      <x:c r="R29" s="20" t="n">
        <x:v>11.5</x:v>
      </x:c>
      <x:c r="S29" s="20" t="n">
        <x:v>25</x:v>
      </x:c>
      <x:c r="T29" s="20" t="n">
        <x:v>18</x:v>
      </x:c>
      <x:c r="U29" s="20" t="str">
        <x:v>Magnetic stirring; 130 µL 1 M NaOH; dialysis MWCO 8000 for 12 h</x:v>
      </x:c>
      <x:c r="V29" s="20" t="n">
        <x:v>640</x:v>
      </x:c>
      <x:c r="W29" s="20" t="str">
        <x:v>λex 380 / λem 640</x:v>
      </x:c>
      <x:c r="X29" s="20" t="n">
        <x:v>2.86</x:v>
      </x:c>
      <x:c r="Y29" s="20"/>
      <x:c r="Z29" s="20"/>
      <x:c r="AA29" s="20"/>
      <x:c r="AB29" s="20"/>
      <x:c r="AC29" s="20"/>
      <x:c r="AD29" s="20"/>
      <x:c r="AE29" s="20" t="str">
        <x:v>FGFR2-targeted tumor-cell imaging</x:v>
      </x:c>
      <x:c r="AF29" s="20" t="str">
        <x:v>MALDI-TOF indicated 21 Au atoms; CCY motif is required for strong fluorescence; ~33% Au(I) at surface.</x:v>
      </x:c>
      <x:c r="AG29" s="20" t="str">
        <x:v>RSC Adv. main text, Methods + Results</x:v>
      </x:c>
      <x:c r="AH29" s="20" t="str">
        <x:v>https://doi.org/10.1039/C5RA20113F</x:v>
      </x:c>
      <x:c r="AI29" s="24" t="n">
        <x:f>ROUND(100*COUNTA(G29,J29,L29,R29,S29,T29,V29,X29,AA29,AC29)/10,0)</x:f>
        <x:v>80</x:v>
      </x:c>
      <x:c r="AJ29" s="20" t="str">
        <x:v>TRAIN_CORE</x:v>
      </x:c>
      <x:c r="AK29" s="20" t="str">
        <x:v>EXACT_FROM_PRIMARY</x:v>
      </x:c>
      <x:c r="AL29" s="20" t="str">
        <x:v>High-value atomic sequence+synthesis+optical record. Group with all same-paper variants in validation.</x:v>
      </x:c>
      <x:c r="AM29" s="20" t="str">
        <x:v>2026-09-07</x:v>
      </x:c>
      <x:c r="AN29" s="20" t="str">
        <x:v>WEB_PRIMARY</x:v>
      </x:c>
    </x:row>
    <x:row r="30" ht="19" customHeight="1">
      <x:c r="A30" s="20" t="str">
        <x:v>R027</x:v>
      </x:c>
      <x:c r="B30" s="20" t="str">
        <x:v>W04</x:v>
      </x:c>
      <x:c r="C30" s="20" t="str">
        <x:v>A1 DIRECT_PEPTIDE_ATOMIC_AUNC</x:v>
      </x:c>
      <x:c r="D30" s="20" t="str">
        <x:v>DIRECT</x:v>
      </x:c>
      <x:c r="E30" s="20" t="str">
        <x:v>atomically_precise_AuNC</x:v>
      </x:c>
      <x:c r="F30" s="20" t="str">
        <x:v>Integrin-targeting peptide Au cluster</x:v>
      </x:c>
      <x:c r="G30" s="20" t="str">
        <x:v>CONFLICT: CGPDGRDGRDGPDGR (Materials) | CCGPDGRDGRDGRDGR (Results)</x:v>
      </x:c>
      <x:c r="H30" s="20" t="str">
        <x:v>L</x:v>
      </x:c>
      <x:c r="I30" s="20" t="str">
        <x:v>N- and C-termini reported NH2-/ -COOH</x:v>
      </x:c>
      <x:c r="J30" s="20" t="n">
        <x:v>7</x:v>
      </x:c>
      <x:c r="K30" s="20" t="n">
        <x:v>5</x:v>
      </x:c>
      <x:c r="L30" s="20" t="n">
        <x:v>2.85</x:v>
      </x:c>
      <x:c r="M30" s="20"/>
      <x:c r="N30" s="20" t="str">
        <x:v>Au7Peptide5 inferred from MALDI-TOF</x:v>
      </x:c>
      <x:c r="O30" s="20" t="str">
        <x:v>HAuCl4</x:v>
      </x:c>
      <x:c r="P30" s="20" t="str">
        <x:v>6 mg peptide in 1 mL water + 40 µL 25 mM HAuCl4</x:v>
      </x:c>
      <x:c r="Q30" s="20" t="str">
        <x:v>Peptide biomimetic mineralization; NaOH-assisted</x:v>
      </x:c>
      <x:c r="R30" s="20"/>
      <x:c r="S30" s="20" t="n">
        <x:v>55</x:v>
      </x:c>
      <x:c r="T30" s="20" t="n">
        <x:v>12</x:v>
      </x:c>
      <x:c r="U30" s="20" t="str">
        <x:v>5 min after Au addition: 200 µL 0.5 M NaOH; MWCO 3 kDa purification</x:v>
      </x:c>
      <x:c r="V30" s="20" t="n">
        <x:v>420</x:v>
      </x:c>
      <x:c r="W30" s="20" t="str">
        <x:v>λex 330 / λem 420</x:v>
      </x:c>
      <x:c r="X30" s="20"/>
      <x:c r="Y30" s="20"/>
      <x:c r="Z30" s="20"/>
      <x:c r="AA30" s="20"/>
      <x:c r="AB30" s="20"/>
      <x:c r="AC30" s="20"/>
      <x:c r="AD30" s="20"/>
      <x:c r="AE30" s="20" t="str">
        <x:v>Tumor-selective enzyme-like catalysis / apoptosis</x:v>
      </x:c>
      <x:c r="AF30" s="20" t="str">
        <x:v>MALDI peaks assigned Au7SxNay; Au7Peptide5 inferred. HRTEM-derived ~2.85±0.55 nm may be beam-affected.</x:v>
      </x:c>
      <x:c r="AG30" s="20" t="str">
        <x:v>Nanomaterials Methods 2.1–2.3 and Results 3.1</x:v>
      </x:c>
      <x:c r="AH30" s="20" t="str">
        <x:v>https://doi.org/10.3390/nano8121040</x:v>
      </x:c>
      <x:c r="AI30" s="24" t="n">
        <x:f>ROUND(100*COUNTA(G30,J30,L30,R30,S30,T30,V30,X30,AA30,AC30)/10,0)</x:f>
        <x:v>60</x:v>
      </x:c>
      <x:c r="AJ30" s="20" t="str">
        <x:v>QC_HOLD</x:v>
      </x:c>
      <x:c r="AK30" s="20" t="str">
        <x:v>SOURCE_CONFLICT</x:v>
      </x:c>
      <x:c r="AL30" s="20" t="str">
        <x:v>Critical sequence inconsistency inside the primary article; verify typeset PDF/author correction before encoding sequence.</x:v>
      </x:c>
      <x:c r="AM30" s="20" t="str">
        <x:v>2026-09-07</x:v>
      </x:c>
      <x:c r="AN30" s="20" t="str">
        <x:v>WEB_PRIMARY</x:v>
      </x:c>
    </x:row>
    <x:row r="31" ht="19" customHeight="1">
      <x:c r="A31" s="20" t="str">
        <x:v>R028</x:v>
      </x:c>
      <x:c r="B31" s="20" t="str">
        <x:v>W05</x:v>
      </x:c>
      <x:c r="C31" s="20" t="str">
        <x:v>A1 DIRECT_PEPTIDE_ATOMIC_AUNC</x:v>
      </x:c>
      <x:c r="D31" s="20" t="str">
        <x:v>DIRECT</x:v>
      </x:c>
      <x:c r="E31" s="20" t="str">
        <x:v>atomically_precise_AuNC</x:v>
      </x:c>
      <x:c r="F31" s="20" t="str">
        <x:v>Sv peptide</x:v>
      </x:c>
      <x:c r="G31" s="20" t="str">
        <x:v>CCYGGPKKKRKPG</x:v>
      </x:c>
      <x:c r="H31" s="20" t="str">
        <x:v>L</x:v>
      </x:c>
      <x:c r="I31" s="20" t="str">
        <x:v>NH2- / -COOH</x:v>
      </x:c>
      <x:c r="J31" s="20" t="n">
        <x:v>25</x:v>
      </x:c>
      <x:c r="K31" s="20" t="n">
        <x:v>9</x:v>
      </x:c>
      <x:c r="L31" s="20"/>
      <x:c r="M31" s="20"/>
      <x:c r="N31" s="20" t="str">
        <x:v>Au25Sv9</x:v>
      </x:c>
      <x:c r="O31" s="20" t="str">
        <x:v>HAuCl4</x:v>
      </x:c>
      <x:c r="P31" s="20" t="str">
        <x:v>Original study reports designed tridecapeptide Sv; exact protocol requires final primary extraction</x:v>
      </x:c>
      <x:c r="Q31" s="20" t="str">
        <x:v>Peptide-templated</x:v>
      </x:c>
      <x:c r="R31" s="20" t="n">
        <x:v>10</x:v>
      </x:c>
      <x:c r="S31" s="20"/>
      <x:c r="T31" s="20" t="n">
        <x:v>15</x:v>
      </x:c>
      <x:c r="U31" s="20" t="str">
        <x:v>Sealed/dark protocol reported in source family; verify exact reagent quantities before training synthesis model</x:v>
      </x:c>
      <x:c r="V31" s="20" t="n">
        <x:v>645</x:v>
      </x:c>
      <x:c r="W31" s="20" t="str">
        <x:v>Red fluorescence; emission peak ~645</x:v>
      </x:c>
      <x:c r="X31" s="20"/>
      <x:c r="Y31" s="20"/>
      <x:c r="Z31" s="20"/>
      <x:c r="AA31" s="20"/>
      <x:c r="AB31" s="20"/>
      <x:c r="AC31" s="20"/>
      <x:c r="AD31" s="20"/>
      <x:c r="AE31" s="20" t="str">
        <x:v>Chronic lymphocytic leukemia therapy</x:v>
      </x:c>
      <x:c r="AF31" s="20" t="str">
        <x:v>Atomic Au25Sv9 binds/inhibits thioredoxin reductase 1 and increases oxidative stress in CLL cells.</x:v>
      </x:c>
      <x:c r="AG31" s="20" t="str">
        <x:v>Science Bulletin primary article / PubMed</x:v>
      </x:c>
      <x:c r="AH31" s="20" t="str">
        <x:v>https://doi.org/10.1016/j.scib.2017.03.024</x:v>
      </x:c>
      <x:c r="AI31" s="24" t="n">
        <x:f>ROUND(100*COUNTA(G31,J31,L31,R31,S31,T31,V31,X31,AA31,AC31)/10,0)</x:f>
        <x:v>50</x:v>
      </x:c>
      <x:c r="AJ31" s="20" t="str">
        <x:v>TRAIN_STRUCTURE_ONLY</x:v>
      </x:c>
      <x:c r="AK31" s="20" t="str">
        <x:v>EXACT_FROM_2017_PRIMARY</x:v>
      </x:c>
      <x:c r="AL31" s="20" t="str">
        <x:v>Do not merge with 2020 SV variant CCYGGPKKKRKVG; sequence-cluster leakage risk is high.</x:v>
      </x:c>
      <x:c r="AM31" s="20" t="str">
        <x:v>2026-09-07</x:v>
      </x:c>
      <x:c r="AN31" s="20" t="str">
        <x:v>WEB_PRIMARY</x:v>
      </x:c>
    </x:row>
    <x:row r="32" ht="19" customHeight="1">
      <x:c r="A32" s="20" t="str">
        <x:v>R029</x:v>
      </x:c>
      <x:c r="B32" s="20" t="str">
        <x:v>W06</x:v>
      </x:c>
      <x:c r="C32" s="20" t="str">
        <x:v>A2 DIRECT_PEPTIDE_NONPRECISE_AUNC</x:v>
      </x:c>
      <x:c r="D32" s="20" t="str">
        <x:v>DIRECT</x:v>
      </x:c>
      <x:c r="E32" s="20" t="str">
        <x:v>ultrasmall_AuNC_unknown_nuclearity</x:v>
      </x:c>
      <x:c r="F32" s="20" t="str">
        <x:v>DGEAGC oligopeptide</x:v>
      </x:c>
      <x:c r="G32" s="20" t="str">
        <x:v>DGEAGC</x:v>
      </x:c>
      <x:c r="H32" s="20" t="str">
        <x:v>L</x:v>
      </x:c>
      <x:c r="I32" s="20" t="str">
        <x:v>None</x:v>
      </x:c>
      <x:c r="J32" s="20"/>
      <x:c r="K32" s="20"/>
      <x:c r="L32" s="20" t="n">
        <x:v>1.3</x:v>
      </x:c>
      <x:c r="M32" s="20"/>
      <x:c r="N32" s="20" t="str">
        <x:v>Monodispersed ultrasmall peptide-protected AuNC</x:v>
      </x:c>
      <x:c r="O32" s="20" t="str">
        <x:v>HAuCl4</x:v>
      </x:c>
      <x:c r="P32" s="20" t="str">
        <x:v>68 µL HAuCl4 0.2 g/mL + 1.0 mL peptide 50 mg/mL + 17.6 mL water</x:v>
      </x:c>
      <x:c r="Q32" s="20" t="str">
        <x:v>Thermal reduction</x:v>
      </x:c>
      <x:c r="R32" s="20"/>
      <x:c r="S32" s="20" t="n">
        <x:v>70</x:v>
      </x:c>
      <x:c r="T32" s="20" t="n">
        <x:v>2</x:v>
      </x:c>
      <x:c r="U32" s="20" t="str">
        <x:v>Vigorous stirring RT 5 min, then 70°C for 2 h; PAGE purification used for characterization</x:v>
      </x:c>
      <x:c r="V32" s="20" t="n">
        <x:v>600</x:v>
      </x:c>
      <x:c r="W32" s="20" t="str">
        <x:v>λex 400 / λem 600</x:v>
      </x:c>
      <x:c r="X32" s="20"/>
      <x:c r="Y32" s="20" t="n">
        <x:v>400</x:v>
      </x:c>
      <x:c r="Z32" s="20"/>
      <x:c r="AA32" s="20"/>
      <x:c r="AB32" s="20"/>
      <x:c r="AC32" s="20"/>
      <x:c r="AD32" s="20"/>
      <x:c r="AE32" s="20" t="str">
        <x:v>Peroxidase mimic / cell imaging</x:v>
      </x:c>
      <x:c r="AF32" s="20" t="str">
        <x:v>Straightforward one-pot sequence+synthesis+size+optical record; article introduction contains a DGECGC typo but Methods specify DGEAGC.</x:v>
      </x:c>
      <x:c r="AG32" s="20" t="str">
        <x:v>Molecules 2023 Methods 3.1/3.3 + Results 2.1</x:v>
      </x:c>
      <x:c r="AH32" s="20" t="str">
        <x:v>https://doi.org/10.3390/molecules28010070</x:v>
      </x:c>
      <x:c r="AI32" s="24" t="n">
        <x:f>ROUND(100*COUNTA(G32,J32,L32,R32,S32,T32,V32,X32,AA32,AC32)/10,0)</x:f>
        <x:v>50</x:v>
      </x:c>
      <x:c r="AJ32" s="20" t="str">
        <x:v>TRAIN_OPTICAL_SIZE</x:v>
      </x:c>
      <x:c r="AK32" s="20" t="str">
        <x:v>EXACT_FROM_METHODS</x:v>
      </x:c>
      <x:c r="AL32" s="20" t="str">
        <x:v>Use DGEAGC from Materials/Methods; record introduction typo DGECGC in QC log.</x:v>
      </x:c>
      <x:c r="AM32" s="20" t="str">
        <x:v>2026-09-07</x:v>
      </x:c>
      <x:c r="AN32" s="20" t="str">
        <x:v>WEB_PRIMARY</x:v>
      </x:c>
    </x:row>
    <x:row r="33" ht="19" customHeight="1">
      <x:c r="A33" s="20" t="str">
        <x:v>R030</x:v>
      </x:c>
      <x:c r="B33" s="20" t="str">
        <x:v>W07</x:v>
      </x:c>
      <x:c r="C33" s="20" t="str">
        <x:v>A2 DIRECT_PEPTIDE_NONPRECISE_AUNC</x:v>
      </x:c>
      <x:c r="D33" s="20" t="str">
        <x:v>DIRECT</x:v>
      </x:c>
      <x:c r="E33" s="20" t="str">
        <x:v>ultrasmall_AuNC_unknown_nuclearity</x:v>
      </x:c>
      <x:c r="F33" s="20" t="str">
        <x:v>Cyclic RGD peptide</x:v>
      </x:c>
      <x:c r="G33" s="20" t="str">
        <x:v>c(RGD) / c(RGDyE) family; exact sequence requires SI verification</x:v>
      </x:c>
      <x:c r="H33" s="20" t="str">
        <x:v>L</x:v>
      </x:c>
      <x:c r="I33" s="20" t="str">
        <x:v>Cyclic peptide</x:v>
      </x:c>
      <x:c r="J33" s="20"/>
      <x:c r="K33" s="20"/>
      <x:c r="L33" s="20"/>
      <x:c r="M33" s="20"/>
      <x:c r="N33" s="20" t="str">
        <x:v>RGD-conjugated AuNC</x:v>
      </x:c>
      <x:c r="O33" s="20" t="str">
        <x:v>Chloraurate</x:v>
      </x:c>
      <x:c r="P33" s="20" t="str">
        <x:v>Cyclic RGD used as both reducing and protecting agent</x:v>
      </x:c>
      <x:c r="Q33" s="20" t="str">
        <x:v>Peptide self-reduction under alkaline condition</x:v>
      </x:c>
      <x:c r="R33" s="20"/>
      <x:c r="S33" s="20" t="n">
        <x:v>25</x:v>
      </x:c>
      <x:c r="T33" s="20" t="n">
        <x:v>0.25</x:v>
      </x:c>
      <x:c r="U33" s="20" t="str">
        <x:v>Direct alkaline synthesis; complete in 15 min at room temperature</x:v>
      </x:c>
      <x:c r="V33" s="20"/>
      <x:c r="W33" s="20" t="str">
        <x:v>Fluorescent; exact λ from full paper/SI to extract</x:v>
      </x:c>
      <x:c r="X33" s="20"/>
      <x:c r="Y33" s="20"/>
      <x:c r="Z33" s="20"/>
      <x:c r="AA33" s="20"/>
      <x:c r="AB33" s="20"/>
      <x:c r="AC33" s="20"/>
      <x:c r="AD33" s="20"/>
      <x:c r="AE33" s="20" t="str">
        <x:v>αvβ3-positive melanoma A375 imaging</x:v>
      </x:c>
      <x:c r="AF33" s="20" t="str">
        <x:v>Very fast direct peptide-AuNC synthesis; exact cyclic peptide identity/condition optimization resides in SI.</x:v>
      </x:c>
      <x:c r="AG33" s="20" t="str">
        <x:v>Bioconjugate Chemistry abstract + SI description</x:v>
      </x:c>
      <x:c r="AH33" s="20" t="str">
        <x:v>https://doi.org/10.1021/bc500505c</x:v>
      </x:c>
      <x:c r="AI33" s="24" t="n">
        <x:f>ROUND(100*COUNTA(G33,J33,L33,R33,S33,T33,V33,X33,AA33,AC33)/10,0)</x:f>
        <x:v>30</x:v>
      </x:c>
      <x:c r="AJ33" s="20" t="str">
        <x:v>QC_HOLD</x:v>
      </x:c>
      <x:c r="AK33" s="20" t="str">
        <x:v>PARTIAL_SEQUENCE</x:v>
      </x:c>
      <x:c r="AL33" s="20" t="str">
        <x:v>Acquire SI/full text before model training.</x:v>
      </x:c>
      <x:c r="AM33" s="20" t="str">
        <x:v>2026-09-07</x:v>
      </x:c>
      <x:c r="AN33" s="20" t="str">
        <x:v>WEB_PRIMARY</x:v>
      </x:c>
    </x:row>
    <x:row r="34" ht="19" customHeight="1">
      <x:c r="A34" s="20" t="str">
        <x:v>R031</x:v>
      </x:c>
      <x:c r="B34" s="20" t="str">
        <x:v>W08</x:v>
      </x:c>
      <x:c r="C34" s="20" t="str">
        <x:v>C1 AUNC_PTT_BENCHMARK</x:v>
      </x:c>
      <x:c r="D34" s="20" t="str">
        <x:v>DIRECT</x:v>
      </x:c>
      <x:c r="E34" s="20" t="str">
        <x:v>ultrasmall_AuNC_unknown_nuclearity</x:v>
      </x:c>
      <x:c r="F34" s="20" t="str">
        <x:v>LHRH analogue-functionalized AuNC</x:v>
      </x:c>
      <x:c r="G34" s="20" t="str">
        <x:v>LHRHa; exact sequence pending primary full text</x:v>
      </x:c>
      <x:c r="H34" s="20" t="str">
        <x:v>L</x:v>
      </x:c>
      <x:c r="I34" s="20" t="str">
        <x:v>Post-synthesis peptide functionalization</x:v>
      </x:c>
      <x:c r="J34" s="20"/>
      <x:c r="K34" s="20"/>
      <x:c r="L34" s="20"/>
      <x:c r="M34" s="20"/>
      <x:c r="N34" s="20" t="str">
        <x:v>PEI-modified AuNC + LHRHa nanosystem</x:v>
      </x:c>
      <x:c r="O34" s="20"/>
      <x:c r="P34" s="20" t="str">
        <x:v>PEI-AuNC combined with LHRH analogue</x:v>
      </x:c>
      <x:c r="Q34" s="20"/>
      <x:c r="R34" s="20"/>
      <x:c r="S34" s="20"/>
      <x:c r="T34" s="20"/>
      <x:c r="U34" s="20" t="str">
        <x:v>Post-functionalized targeting nanosystem</x:v>
      </x:c>
      <x:c r="V34" s="20"/>
      <x:c r="W34" s="20"/>
      <x:c r="X34" s="20"/>
      <x:c r="Y34" s="20"/>
      <x:c r="Z34" s="20"/>
      <x:c r="AA34" s="20"/>
      <x:c r="AB34" s="20"/>
      <x:c r="AC34" s="20"/>
      <x:c r="AD34" s="20"/>
      <x:c r="AE34" s="20" t="str">
        <x:v>Targeted prostate-cancer FL/CT + PTT</x:v>
      </x:c>
      <x:c r="AF34" s="20" t="str">
        <x:v>Useful peptide-functionalized AuNC PTT benchmark, but not a peptide-templated atomic-nuclearity training record.</x:v>
      </x:c>
      <x:c r="AG34" s="20" t="str">
        <x:v>J. Mater. Chem. B abstract</x:v>
      </x:c>
      <x:c r="AH34" s="20" t="str">
        <x:v>https://doi.org/10.1039/D2TB00531J</x:v>
      </x:c>
      <x:c r="AI34" s="24" t="n">
        <x:f>ROUND(100*COUNTA(G34,J34,L34,R34,S34,T34,V34,X34,AA34,AC34)/10,0)</x:f>
        <x:v>10</x:v>
      </x:c>
      <x:c r="AJ34" s="20" t="str">
        <x:v>BENCHMARK_ONLY</x:v>
      </x:c>
      <x:c r="AK34" s="20" t="str">
        <x:v>INCOMPLETE_SEQUENCE</x:v>
      </x:c>
      <x:c r="AL34" s="20" t="str">
        <x:v>Need exact LHRHa identity and laser/PCE/heating data from full primary paper.</x:v>
      </x:c>
      <x:c r="AM34" s="20" t="str">
        <x:v>2026-09-07</x:v>
      </x:c>
      <x:c r="AN34" s="20" t="str">
        <x:v>WEB_PRIMARY</x:v>
      </x:c>
    </x:row>
    <x:row r="35" ht="19" customHeight="1">
      <x:c r="A35" s="20" t="str">
        <x:v>R032</x:v>
      </x:c>
      <x:c r="B35" s="20" t="str">
        <x:v>W09</x:v>
      </x:c>
      <x:c r="C35" s="20" t="str">
        <x:v>A2 DIRECT_PEPTIDE_NONPRECISE_AUNC</x:v>
      </x:c>
      <x:c r="D35" s="20" t="str">
        <x:v>DIRECT</x:v>
      </x:c>
      <x:c r="E35" s="20" t="str">
        <x:v>ultrasmall_AuNC_unknown_nuclearity</x:v>
      </x:c>
      <x:c r="F35" s="20" t="str">
        <x:v>CMMMMM peptide</x:v>
      </x:c>
      <x:c r="G35" s="20" t="str">
        <x:v>CMMMMM</x:v>
      </x:c>
      <x:c r="H35" s="20" t="str">
        <x:v>L</x:v>
      </x:c>
      <x:c r="I35" s="20" t="str">
        <x:v>None</x:v>
      </x:c>
      <x:c r="J35" s="20"/>
      <x:c r="K35" s="20"/>
      <x:c r="L35" s="20"/>
      <x:c r="M35" s="20"/>
      <x:c r="N35" s="20" t="str">
        <x:v>Peptide-coated fluorescent AuNC</x:v>
      </x:c>
      <x:c r="O35" s="20" t="str">
        <x:v>Gold precursor; exact SI protocol pending</x:v>
      </x:c>
      <x:c r="P35" s="20" t="str">
        <x:v>Screened peptide synthesis</x:v>
      </x:c>
      <x:c r="Q35" s="20"/>
      <x:c r="R35" s="20"/>
      <x:c r="S35" s="20"/>
      <x:c r="T35" s="20"/>
      <x:c r="U35" s="20" t="str">
        <x:v>Exact synthesis conditions in Supporting Information</x:v>
      </x:c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 t="str">
        <x:v>Protein/serum discrimination</x:v>
      </x:c>
      <x:c r="AF35" s="20" t="str">
        <x:v>CMMMMM-AuNC fluorescence intensity was 230% higher than CYYYYY comparator; &gt;90% fluorescence remained after 60 min UV vs &lt;30% for CYYYYY.</x:v>
      </x:c>
      <x:c r="AG35" s="20" t="str">
        <x:v>Analytical Chemistry abstract</x:v>
      </x:c>
      <x:c r="AH35" s="20" t="str">
        <x:v>https://doi.org/10.1021/acs.analchem.9b03463</x:v>
      </x:c>
      <x:c r="AI35" s="24" t="n">
        <x:f>ROUND(100*COUNTA(G35,J35,L35,R35,S35,T35,V35,X35,AA35,AC35)/10,0)</x:f>
        <x:v>10</x:v>
      </x:c>
      <x:c r="AJ35" s="20" t="str">
        <x:v>QC_HOLD</x:v>
      </x:c>
      <x:c r="AK35" s="20" t="str">
        <x:v>EXACT_FROM_PRIMARY</x:v>
      </x:c>
      <x:c r="AL35" s="20" t="str">
        <x:v>Strong sequence-effect pair, but exact synthesis variables must be extracted before training.</x:v>
      </x:c>
      <x:c r="AM35" s="20" t="str">
        <x:v>2026-09-07</x:v>
      </x:c>
      <x:c r="AN35" s="20" t="str">
        <x:v>WEB_PRIMARY</x:v>
      </x:c>
    </x:row>
    <x:row r="36" ht="19" customHeight="1">
      <x:c r="A36" s="20" t="str">
        <x:v>R033</x:v>
      </x:c>
      <x:c r="B36" s="20" t="str">
        <x:v>W09</x:v>
      </x:c>
      <x:c r="C36" s="20" t="str">
        <x:v>A2 DIRECT_PEPTIDE_NONPRECISE_AUNC</x:v>
      </x:c>
      <x:c r="D36" s="20" t="str">
        <x:v>DIRECT</x:v>
      </x:c>
      <x:c r="E36" s="20" t="str">
        <x:v>ultrasmall_AuNC_unknown_nuclearity</x:v>
      </x:c>
      <x:c r="F36" s="20" t="str">
        <x:v>CYYYYY comparator</x:v>
      </x:c>
      <x:c r="G36" s="20" t="str">
        <x:v>CYYYYY</x:v>
      </x:c>
      <x:c r="H36" s="20" t="str">
        <x:v>L</x:v>
      </x:c>
      <x:c r="I36" s="20" t="str">
        <x:v>None</x:v>
      </x:c>
      <x:c r="J36" s="20"/>
      <x:c r="K36" s="20"/>
      <x:c r="L36" s="20"/>
      <x:c r="M36" s="20"/>
      <x:c r="N36" s="20" t="str">
        <x:v>Comparator peptide-coated AuNC</x:v>
      </x:c>
      <x:c r="O36" s="20" t="str">
        <x:v>Gold precursor; exact SI protocol pending</x:v>
      </x:c>
      <x:c r="P36" s="20" t="str">
        <x:v>Comparator peptide synthesis</x:v>
      </x:c>
      <x:c r="Q36" s="20"/>
      <x:c r="R36" s="20"/>
      <x:c r="S36" s="20"/>
      <x:c r="T36" s="20"/>
      <x:c r="U36" s="20" t="str">
        <x:v>Exact synthesis conditions in Supporting Information</x:v>
      </x:c>
      <x:c r="V36" s="20"/>
      <x:c r="W36" s="20"/>
      <x:c r="X36" s="20"/>
      <x:c r="Y36" s="20"/>
      <x:c r="Z36" s="20"/>
      <x:c r="AA36" s="20"/>
      <x:c r="AB36" s="20"/>
      <x:c r="AC36" s="20"/>
      <x:c r="AD36" s="20"/>
      <x:c r="AE36" s="20" t="str">
        <x:v>Comparator for fluorescence/stability</x:v>
      </x:c>
      <x:c r="AF36" s="20" t="str">
        <x:v>Matched comparator to CMMMMM; lower fluorescence and markedly poorer UV photostability.</x:v>
      </x:c>
      <x:c r="AG36" s="20" t="str">
        <x:v>Analytical Chemistry abstract</x:v>
      </x:c>
      <x:c r="AH36" s="20" t="str">
        <x:v>https://doi.org/10.1021/acs.analchem.9b03463</x:v>
      </x:c>
      <x:c r="AI36" s="24" t="n">
        <x:f>ROUND(100*COUNTA(G36,J36,L36,R36,S36,T36,V36,X36,AA36,AC36)/10,0)</x:f>
        <x:v>10</x:v>
      </x:c>
      <x:c r="AJ36" s="20" t="str">
        <x:v>QC_HOLD</x:v>
      </x:c>
      <x:c r="AK36" s="20" t="str">
        <x:v>EXACT_FROM_PRIMARY</x:v>
      </x:c>
      <x:c r="AL36" s="20" t="str">
        <x:v>Paired comparator is highly informative once SI synthesis variables are obtained.</x:v>
      </x:c>
      <x:c r="AM36" s="20" t="str">
        <x:v>2026-09-07</x:v>
      </x:c>
      <x:c r="AN36" s="20" t="str">
        <x:v>WEB_PRIMARY</x:v>
      </x:c>
    </x:row>
    <x:row r="37" ht="19" customHeight="1">
      <x:c r="A37" s="20" t="str">
        <x:v>R034</x:v>
      </x:c>
      <x:c r="B37" s="20" t="str">
        <x:v>W17</x:v>
      </x:c>
      <x:c r="C37" s="20" t="str">
        <x:v>A2 DIRECT_PEPTIDE_NONPRECISE_AUNC</x:v>
      </x:c>
      <x:c r="D37" s="20" t="str">
        <x:v>DIRECT</x:v>
      </x:c>
      <x:c r="E37" s="20" t="str">
        <x:v>ultrasmall_AuNC_unknown_nuclearity</x:v>
      </x:c>
      <x:c r="F37" s="20" t="str">
        <x:v>Blue-YCY AuNC</x:v>
      </x:c>
      <x:c r="G37" s="20" t="str">
        <x:v>YCY</x:v>
      </x:c>
      <x:c r="H37" s="20" t="str">
        <x:v>L</x:v>
      </x:c>
      <x:c r="I37" s="20" t="str">
        <x:v>Blue fraction / supernatant</x:v>
      </x:c>
      <x:c r="J37" s="20"/>
      <x:c r="K37" s="20"/>
      <x:c r="L37" s="20" t="n">
        <x:v>1.8</x:v>
      </x:c>
      <x:c r="M37" s="20"/>
      <x:c r="N37" s="20" t="str">
        <x:v>Blue fluorescent peptide AuNC</x:v>
      </x:c>
      <x:c r="O37" s="20" t="str">
        <x:v>HAuCl4</x:v>
      </x:c>
      <x:c r="P37" s="20" t="str">
        <x:v>0.5 mL peptide 25 mM + 0.5 mL HAuCl4·3H2O 25 mM</x:v>
      </x:c>
      <x:c r="Q37" s="20" t="str">
        <x:v>Peptide-assisted alkaline thermal synthesis</x:v>
      </x:c>
      <x:c r="R37" s="20" t="n">
        <x:v>10</x:v>
      </x:c>
      <x:c r="S37" s="20" t="n">
        <x:v>70</x:v>
      </x:c>
      <x:c r="T37" s="20" t="n">
        <x:v>8.25</x:v>
      </x:c>
      <x:c r="U37" s="20" t="str">
        <x:v>Stir 15 min at 70°C; adjust pH 10 with 1 M NaOH; continue 70°C 8 h; centrifuge 16,000×g 10 min; blue product in supernatant</x:v>
      </x:c>
      <x:c r="V37" s="20" t="n">
        <x:v>415</x:v>
      </x:c>
      <x:c r="W37" s="20" t="str">
        <x:v>λex 325 / λem 415</x:v>
      </x:c>
      <x:c r="X37" s="20" t="n">
        <x:v>1.2</x:v>
      </x:c>
      <x:c r="Y37" s="20"/>
      <x:c r="Z37" s="20"/>
      <x:c r="AA37" s="20"/>
      <x:c r="AB37" s="20"/>
      <x:c r="AC37" s="20"/>
      <x:c r="AD37" s="20"/>
      <x:c r="AE37" s="20" t="str">
        <x:v>Optical/sensing platform</x:v>
      </x:c>
      <x:c r="AF37" s="20" t="str">
        <x:v>Exact same synthesis platform as SCY comparator; provides a controlled sequence comparison with Tyr-Cys-Tyr.</x:v>
      </x:c>
      <x:c r="AG37" s="20" t="str">
        <x:v>Molecules 2024 Methods + characterization</x:v>
      </x:c>
      <x:c r="AH37" s="20" t="str">
        <x:v>https://doi.org/10.3390/molecules29112416</x:v>
      </x:c>
      <x:c r="AI37" s="24" t="n">
        <x:f>ROUND(100*COUNTA(G37,J37,L37,R37,S37,T37,V37,X37,AA37,AC37)/10,0)</x:f>
        <x:v>70</x:v>
      </x:c>
      <x:c r="AJ37" s="20" t="str">
        <x:v>TRAIN_OPTICAL_SIZE</x:v>
      </x:c>
      <x:c r="AK37" s="20" t="str">
        <x:v>EXACT_FROM_PRIMARY</x:v>
      </x:c>
      <x:c r="AL37" s="20" t="str">
        <x:v>Direct same-paper sequence comparison. Group all W17 records together during validation.</x:v>
      </x:c>
      <x:c r="AM37" s="20" t="str">
        <x:v>2026-09-07</x:v>
      </x:c>
      <x:c r="AN37" s="20" t="str">
        <x:v>WEB_PRIMARY</x:v>
      </x:c>
    </x:row>
    <x:row r="38" ht="19" customHeight="1">
      <x:c r="A38" s="20" t="str">
        <x:v>R035</x:v>
      </x:c>
      <x:c r="B38" s="20" t="str">
        <x:v>W17</x:v>
      </x:c>
      <x:c r="C38" s="20" t="str">
        <x:v>A2 DIRECT_PEPTIDE_NONPRECISE_AUNC</x:v>
      </x:c>
      <x:c r="D38" s="20" t="str">
        <x:v>DIRECT</x:v>
      </x:c>
      <x:c r="E38" s="20" t="str">
        <x:v>ultrasmall_AuNC_unknown_nuclearity</x:v>
      </x:c>
      <x:c r="F38" s="20" t="str">
        <x:v>Blue-SCY AuNC</x:v>
      </x:c>
      <x:c r="G38" s="20" t="str">
        <x:v>SCY</x:v>
      </x:c>
      <x:c r="H38" s="20" t="str">
        <x:v>L</x:v>
      </x:c>
      <x:c r="I38" s="20" t="str">
        <x:v>Blue fraction / supernatant</x:v>
      </x:c>
      <x:c r="J38" s="20"/>
      <x:c r="K38" s="20"/>
      <x:c r="L38" s="20" t="n">
        <x:v>1.7</x:v>
      </x:c>
      <x:c r="M38" s="20"/>
      <x:c r="N38" s="20" t="str">
        <x:v>Blue fluorescent peptide AuNC</x:v>
      </x:c>
      <x:c r="O38" s="20" t="str">
        <x:v>HAuCl4</x:v>
      </x:c>
      <x:c r="P38" s="20" t="str">
        <x:v>0.5 mL peptide 25 mM + 0.5 mL HAuCl4·3H2O 25 mM</x:v>
      </x:c>
      <x:c r="Q38" s="20" t="str">
        <x:v>Peptide-assisted alkaline thermal synthesis</x:v>
      </x:c>
      <x:c r="R38" s="20" t="n">
        <x:v>10</x:v>
      </x:c>
      <x:c r="S38" s="20" t="n">
        <x:v>70</x:v>
      </x:c>
      <x:c r="T38" s="20" t="n">
        <x:v>8.25</x:v>
      </x:c>
      <x:c r="U38" s="20" t="str">
        <x:v>Stir 15 min at 70°C; adjust pH 10 with 1 M NaOH; continue 70°C 8 h; centrifuge 16,000×g 10 min; blue product in supernatant</x:v>
      </x:c>
      <x:c r="V38" s="20" t="n">
        <x:v>415</x:v>
      </x:c>
      <x:c r="W38" s="20" t="str">
        <x:v>λex 325 / λem 415</x:v>
      </x:c>
      <x:c r="X38" s="20" t="n">
        <x:v>1.5</x:v>
      </x:c>
      <x:c r="Y38" s="20"/>
      <x:c r="Z38" s="20"/>
      <x:c r="AA38" s="20"/>
      <x:c r="AB38" s="20"/>
      <x:c r="AC38" s="20"/>
      <x:c r="AD38" s="20"/>
      <x:c r="AE38" s="20" t="str">
        <x:v>Optical/sensing platform</x:v>
      </x:c>
      <x:c r="AF38" s="20" t="str">
        <x:v>SCY provides a matched one-residue substitution comparison against YCY under the same synthesis workflow.</x:v>
      </x:c>
      <x:c r="AG38" s="20" t="str">
        <x:v>Molecules 2024 Methods + characterization</x:v>
      </x:c>
      <x:c r="AH38" s="20" t="str">
        <x:v>https://doi.org/10.3390/molecules29112416</x:v>
      </x:c>
      <x:c r="AI38" s="24" t="n">
        <x:f>ROUND(100*COUNTA(G38,J38,L38,R38,S38,T38,V38,X38,AA38,AC38)/10,0)</x:f>
        <x:v>70</x:v>
      </x:c>
      <x:c r="AJ38" s="20" t="str">
        <x:v>TRAIN_OPTICAL_SIZE</x:v>
      </x:c>
      <x:c r="AK38" s="20" t="str">
        <x:v>EXACT_FROM_PRIMARY</x:v>
      </x:c>
      <x:c r="AL38" s="20" t="str">
        <x:v>Direct same-paper sequence comparison. Group all W17 records together during validation.</x:v>
      </x:c>
      <x:c r="AM38" s="20" t="str">
        <x:v>2026-09-07</x:v>
      </x:c>
      <x:c r="AN38" s="20" t="str">
        <x:v>WEB_PRIMARY</x:v>
      </x:c>
    </x:row>
    <x:row r="39" ht="19" customHeight="1">
      <x:c r="A39" s="20" t="str">
        <x:v>R036</x:v>
      </x:c>
      <x:c r="B39" s="20" t="str">
        <x:v>W17</x:v>
      </x:c>
      <x:c r="C39" s="20" t="str">
        <x:v>A2 DIRECT_PEPTIDE_NONPRECISE_AUNC</x:v>
      </x:c>
      <x:c r="D39" s="20" t="str">
        <x:v>DIRECT</x:v>
      </x:c>
      <x:c r="E39" s="20" t="str">
        <x:v>ultrasmall_AuNC_unknown_nuclearity</x:v>
      </x:c>
      <x:c r="F39" s="20" t="str">
        <x:v>Red-YCY AuNC</x:v>
      </x:c>
      <x:c r="G39" s="20" t="str">
        <x:v>YCY</x:v>
      </x:c>
      <x:c r="H39" s="20" t="str">
        <x:v>L</x:v>
      </x:c>
      <x:c r="I39" s="20" t="str">
        <x:v>Red fraction / precipitate; recovered with 10% acetic acid:DMSO 1:1</x:v>
      </x:c>
      <x:c r="J39" s="20"/>
      <x:c r="K39" s="20"/>
      <x:c r="L39" s="20" t="n">
        <x:v>1.8</x:v>
      </x:c>
      <x:c r="M39" s="20"/>
      <x:c r="N39" s="20" t="str">
        <x:v>Red fluorescent peptide AuNC</x:v>
      </x:c>
      <x:c r="O39" s="20" t="str">
        <x:v>HAuCl4</x:v>
      </x:c>
      <x:c r="P39" s="20" t="str">
        <x:v>0.5 mL peptide 25 mM + 0.5 mL HAuCl4·3H2O 25 mM</x:v>
      </x:c>
      <x:c r="Q39" s="20" t="str">
        <x:v>Peptide-assisted alkaline thermal synthesis</x:v>
      </x:c>
      <x:c r="R39" s="20" t="n">
        <x:v>10</x:v>
      </x:c>
      <x:c r="S39" s="20" t="n">
        <x:v>70</x:v>
      </x:c>
      <x:c r="T39" s="20" t="n">
        <x:v>8.25</x:v>
      </x:c>
      <x:c r="U39" s="20" t="str">
        <x:v>Same synthesis as Blue-YCY; red product isolated from precipitate after centrifugation and redissolved/purified</x:v>
      </x:c>
      <x:c r="V39" s="20" t="n">
        <x:v>670</x:v>
      </x:c>
      <x:c r="W39" s="20" t="str">
        <x:v>λem 670; excitation not entered pending direct verification</x:v>
      </x:c>
      <x:c r="X39" s="20" t="n">
        <x:v>0.8</x:v>
      </x:c>
      <x:c r="Y39" s="20"/>
      <x:c r="Z39" s="20"/>
      <x:c r="AA39" s="20"/>
      <x:c r="AB39" s="20"/>
      <x:c r="AC39" s="20"/>
      <x:c r="AD39" s="20"/>
      <x:c r="AE39" s="20" t="str">
        <x:v>Optical/sensing platform</x:v>
      </x:c>
      <x:c r="AF39" s="20" t="str">
        <x:v>Same YCY sequence and batch workflow yields a distinct red fraction, reinforcing the need to encode fractionation/process state in addition to sequence.</x:v>
      </x:c>
      <x:c r="AG39" s="20" t="str">
        <x:v>Molecules 2024 Methods + characterization</x:v>
      </x:c>
      <x:c r="AH39" s="20" t="str">
        <x:v>https://doi.org/10.3390/molecules29112416</x:v>
      </x:c>
      <x:c r="AI39" s="24" t="n">
        <x:f>ROUND(100*COUNTA(G39,J39,L39,R39,S39,T39,V39,X39,AA39,AC39)/10,0)</x:f>
        <x:v>70</x:v>
      </x:c>
      <x:c r="AJ39" s="20" t="str">
        <x:v>TRAIN_OPTICAL_SIZE</x:v>
      </x:c>
      <x:c r="AK39" s="20" t="str">
        <x:v>EXACT_FROM_PRIMARY</x:v>
      </x:c>
      <x:c r="AL39" s="20" t="str">
        <x:v>Do not collapse with Blue-YCY; process/fraction label is an explanatory variable.</x:v>
      </x:c>
      <x:c r="AM39" s="20" t="str">
        <x:v>2026-09-07</x:v>
      </x:c>
      <x:c r="AN39" s="20" t="str">
        <x:v>WEB_PRIMARY</x:v>
      </x:c>
    </x:row>
    <x:row r="40" ht="19" customHeight="1">
      <x:c r="A40" s="20" t="str">
        <x:v>R037</x:v>
      </x:c>
      <x:c r="B40" s="20" t="str">
        <x:v>W15</x:v>
      </x:c>
      <x:c r="C40" s="20" t="str">
        <x:v>A2 DIRECT_PEPTIDE_NONPRECISE_AUNC</x:v>
      </x:c>
      <x:c r="D40" s="20" t="str">
        <x:v>DIRECT</x:v>
      </x:c>
      <x:c r="E40" s="20" t="str">
        <x:v>ultrasmall_AuNC_unknown_nuclearity</x:v>
      </x:c>
      <x:c r="F40" s="20" t="str">
        <x:v>PKA-substrate peptide AuNC</x:v>
      </x:c>
      <x:c r="G40" s="20" t="str">
        <x:v>CCYLRRASLG</x:v>
      </x:c>
      <x:c r="H40" s="20" t="str">
        <x:v>L</x:v>
      </x:c>
      <x:c r="I40" s="20" t="str">
        <x:v>None</x:v>
      </x:c>
      <x:c r="J40" s="20"/>
      <x:c r="K40" s="20"/>
      <x:c r="L40" s="20"/>
      <x:c r="M40" s="20"/>
      <x:c r="N40" s="20" t="str">
        <x:v>Fluorescent peptide-templated AuNC</x:v>
      </x:c>
      <x:c r="O40" s="20" t="str">
        <x:v>HAuCl4</x:v>
      </x:c>
      <x:c r="P40" s="20" t="str">
        <x:v>376 µL peptide 1.06 mM + 16 µL HAuCl4 25 mM</x:v>
      </x:c>
      <x:c r="Q40" s="20" t="str">
        <x:v>Peptide self-reduction under alkaline condition</x:v>
      </x:c>
      <x:c r="R40" s="20" t="n">
        <x:v>9</x:v>
      </x:c>
      <x:c r="S40" s="20"/>
      <x:c r="T40" s="20" t="n">
        <x:v>13</x:v>
      </x:c>
      <x:c r="U40" s="20" t="str">
        <x:v>Vigorous stirring; 8 µL 0.5 M NaOH added within 30 s; sealed and kept dark 13 h; 3 kDa ultrafiltration</x:v>
      </x:c>
      <x:c r="V40" s="20"/>
      <x:c r="W40" s="20" t="str">
        <x:v>Exact excitation/emission held pending main-paper cross-check</x:v>
      </x:c>
      <x:c r="X40" s="20" t="n">
        <x:v>14.6</x:v>
      </x:c>
      <x:c r="Y40" s="20"/>
      <x:c r="Z40" s="20"/>
      <x:c r="AA40" s="20"/>
      <x:c r="AB40" s="20"/>
      <x:c r="AC40" s="20"/>
      <x:c r="AD40" s="20"/>
      <x:c r="AE40" s="20" t="str">
        <x:v>Protein kinase activity probe</x:v>
      </x:c>
      <x:c r="AF40" s="20" t="str">
        <x:v>Excellent exact sequence+synthesis+QY record from the primary Supporting Information.</x:v>
      </x:c>
      <x:c r="AG40" s="20" t="str">
        <x:v>RSC Supporting Information</x:v>
      </x:c>
      <x:c r="AH40" s="20" t="str">
        <x:v>https://doi.org/10.1039/C5CC02280K</x:v>
      </x:c>
      <x:c r="AI40" s="24" t="n">
        <x:f>ROUND(100*COUNTA(G40,J40,L40,R40,S40,T40,V40,X40,AA40,AC40)/10,0)</x:f>
        <x:v>40</x:v>
      </x:c>
      <x:c r="AJ40" s="20" t="str">
        <x:v>TRAIN_OPTICAL_QY</x:v>
      </x:c>
      <x:c r="AK40" s="20" t="str">
        <x:v>EXACT_FROM_PRIMARY_SI</x:v>
      </x:c>
      <x:c r="AL40" s="20" t="str">
        <x:v>Keep excitation/emission blank until directly reconciled because secondary sources disagree.</x:v>
      </x:c>
      <x:c r="AM40" s="20" t="str">
        <x:v>2026-09-07</x:v>
      </x:c>
      <x:c r="AN40" s="20" t="str">
        <x:v>WEB_PRIMARY+SI</x:v>
      </x:c>
    </x:row>
    <x:row r="41" ht="19" customHeight="1">
      <x:c r="A41" s="20" t="str">
        <x:v>R038</x:v>
      </x:c>
      <x:c r="B41" s="20" t="str">
        <x:v>W16</x:v>
      </x:c>
      <x:c r="C41" s="20" t="str">
        <x:v>AUXILIARY AG_DOPED_PEPTIDE_AUNC</x:v>
      </x:c>
      <x:c r="D41" s="20" t="str">
        <x:v>DIRECT</x:v>
      </x:c>
      <x:c r="E41" s="20" t="str">
        <x:v>Ag_doped_AuNC</x:v>
      </x:c>
      <x:c r="F41" s="20" t="str">
        <x:v>DCG-stabilized Ag-doped AuNC</x:v>
      </x:c>
      <x:c r="G41" s="20" t="str">
        <x:v>DCG</x:v>
      </x:c>
      <x:c r="H41" s="20" t="str">
        <x:v>L</x:v>
      </x:c>
      <x:c r="I41" s="20" t="str">
        <x:v>Asp-Cys-Gly</x:v>
      </x:c>
      <x:c r="J41" s="20"/>
      <x:c r="K41" s="20"/>
      <x:c r="L41" s="20"/>
      <x:c r="M41" s="20"/>
      <x:c r="N41" s="20" t="str">
        <x:v>Red fluorescent Ag-doped gold nanocluster</x:v>
      </x:c>
      <x:c r="O41" s="20" t="str">
        <x:v>HAuCl4 + Ag source</x:v>
      </x:c>
      <x:c r="P41" s="20" t="str">
        <x:v>Tripeptide acts as reducing/stabilizing ligand; exact full condition set pending extraction</x:v>
      </x:c>
      <x:c r="Q41" s="20" t="str">
        <x:v>Tripeptide-assisted synthesis</x:v>
      </x:c>
      <x:c r="R41" s="20"/>
      <x:c r="S41" s="20"/>
      <x:c r="T41" s="20"/>
      <x:c r="U41" s="20" t="str">
        <x:v>Primary article reports peptide-stabilized Ag-doped AuNCs</x:v>
      </x:c>
      <x:c r="V41" s="20"/>
      <x:c r="W41" s="20" t="str">
        <x:v>Red fluorescence</x:v>
      </x:c>
      <x:c r="X41" s="20" t="n">
        <x:v>18</x:v>
      </x:c>
      <x:c r="Y41" s="20"/>
      <x:c r="Z41" s="20"/>
      <x:c r="AA41" s="20"/>
      <x:c r="AB41" s="20"/>
      <x:c r="AC41" s="20"/>
      <x:c r="AD41" s="20"/>
      <x:c r="AE41" s="20" t="str">
        <x:v>Photodynamic therapy / bioimaging</x:v>
      </x:c>
      <x:c r="AF41" s="20" t="str">
        <x:v>Adjacent therapeutic nanocluster domain; QY value is review-derived and must not train the pure-Au core model.</x:v>
      </x:c>
      <x:c r="AG41" s="20" t="str">
        <x:v>Primary article + secondary QY mapping</x:v>
      </x:c>
      <x:c r="AH41" s="20" t="str">
        <x:v>https://doi.org/10.1021/acssuschemeng.2c04857</x:v>
      </x:c>
      <x:c r="AI41" s="24" t="n">
        <x:f>ROUND(100*COUNTA(G41,J41,L41,R41,S41,T41,V41,X41,AA41,AC41)/10,0)</x:f>
        <x:v>20</x:v>
      </x:c>
      <x:c r="AJ41" s="20" t="str">
        <x:v>AUXILIARY_ONLY</x:v>
      </x:c>
      <x:c r="AK41" s="20" t="str">
        <x:v>EXACT_SEQUENCE_QY_SECONDARY</x:v>
      </x:c>
      <x:c r="AL41" s="20" t="str">
        <x:v>Ag doping changes the material domain; separate model/transfer feature only.</x:v>
      </x:c>
      <x:c r="AM41" s="20" t="str">
        <x:v>2026-09-07</x:v>
      </x:c>
      <x:c r="AN41" s="20" t="str">
        <x:v>WEB_PRIMARY+SECONDARY_VALUE</x:v>
      </x:c>
    </x:row>
    <x:row r="42" ht="19" customHeight="1">
      <x:c r="A42" s="20" t="str">
        <x:v>R039</x:v>
      </x:c>
      <x:c r="B42" s="20" t="str">
        <x:v>W16</x:v>
      </x:c>
      <x:c r="C42" s="20" t="str">
        <x:v>AUXILIARY AG_DOPED_PEPTIDE_AUNC</x:v>
      </x:c>
      <x:c r="D42" s="20" t="str">
        <x:v>DIRECT</x:v>
      </x:c>
      <x:c r="E42" s="20" t="str">
        <x:v>Ag_doped_AuNC</x:v>
      </x:c>
      <x:c r="F42" s="20" t="str">
        <x:v>DCS-stabilized Ag-doped AuNC</x:v>
      </x:c>
      <x:c r="G42" s="20" t="str">
        <x:v>DCS</x:v>
      </x:c>
      <x:c r="H42" s="20" t="str">
        <x:v>L</x:v>
      </x:c>
      <x:c r="I42" s="20" t="str">
        <x:v>Asp-Cys-Ser</x:v>
      </x:c>
      <x:c r="J42" s="20"/>
      <x:c r="K42" s="20"/>
      <x:c r="L42" s="20"/>
      <x:c r="M42" s="20"/>
      <x:c r="N42" s="20" t="str">
        <x:v>Red fluorescent Ag-doped gold nanocluster</x:v>
      </x:c>
      <x:c r="O42" s="20" t="str">
        <x:v>HAuCl4 + Ag source</x:v>
      </x:c>
      <x:c r="P42" s="20" t="str">
        <x:v>Tripeptide acts as reducing/stabilizing ligand; exact full condition set pending extraction</x:v>
      </x:c>
      <x:c r="Q42" s="20" t="str">
        <x:v>Tripeptide-assisted synthesis</x:v>
      </x:c>
      <x:c r="R42" s="20"/>
      <x:c r="S42" s="20"/>
      <x:c r="T42" s="20"/>
      <x:c r="U42" s="20" t="str">
        <x:v>Primary article reports peptide-stabilized Ag-doped AuNCs</x:v>
      </x:c>
      <x:c r="V42" s="20"/>
      <x:c r="W42" s="20" t="str">
        <x:v>Red fluorescence</x:v>
      </x:c>
      <x:c r="X42" s="20" t="n">
        <x:v>16</x:v>
      </x:c>
      <x:c r="Y42" s="20"/>
      <x:c r="Z42" s="20"/>
      <x:c r="AA42" s="20"/>
      <x:c r="AB42" s="20"/>
      <x:c r="AC42" s="20"/>
      <x:c r="AD42" s="20"/>
      <x:c r="AE42" s="20" t="str">
        <x:v>Photodynamic therapy / bioimaging</x:v>
      </x:c>
      <x:c r="AF42" s="20" t="str">
        <x:v>Matched DCG/DCS sequence comparison, but in an Ag-doped AuNC domain and PDT rather than PTT.</x:v>
      </x:c>
      <x:c r="AG42" s="20" t="str">
        <x:v>Primary article + secondary QY mapping</x:v>
      </x:c>
      <x:c r="AH42" s="20" t="str">
        <x:v>https://doi.org/10.1021/acssuschemeng.2c04857</x:v>
      </x:c>
      <x:c r="AI42" s="24" t="n">
        <x:f>ROUND(100*COUNTA(G42,J42,L42,R42,S42,T42,V42,X42,AA42,AC42)/10,0)</x:f>
        <x:v>20</x:v>
      </x:c>
      <x:c r="AJ42" s="20" t="str">
        <x:v>AUXILIARY_ONLY</x:v>
      </x:c>
      <x:c r="AK42" s="20" t="str">
        <x:v>EXACT_SEQUENCE_QY_SECONDARY</x:v>
      </x:c>
      <x:c r="AL42" s="20" t="str">
        <x:v>Do not mix with pure peptide-AuNC targets.</x:v>
      </x:c>
      <x:c r="AM42" s="20" t="str">
        <x:v>2026-09-07</x:v>
      </x:c>
      <x:c r="AN42" s="20" t="str">
        <x:v>WEB_PRIMARY+SECONDARY_VALUE</x:v>
      </x:c>
    </x:row>
    <x:row r="43" ht="19" customHeight="1">
      <x:c r="A43" s="20" t="str">
        <x:v>R040</x:v>
      </x:c>
      <x:c r="B43" s="20" t="str">
        <x:v>W10</x:v>
      </x:c>
      <x:c r="C43" s="20" t="str">
        <x:v>A2 DIRECT_PEPTIDE_NONPRECISE_AUNC</x:v>
      </x:c>
      <x:c r="D43" s="20" t="str">
        <x:v>DIRECT</x:v>
      </x:c>
      <x:c r="E43" s="20" t="str">
        <x:v>ultrasmall_AuNC_unknown_nuclearity</x:v>
      </x:c>
      <x:c r="F43" s="20" t="str">
        <x:v>Motif-panel peptide 1</x:v>
      </x:c>
      <x:c r="G43" s="20" t="str">
        <x:v>KFFAAKCCYKFFAAKCCYKFFAAK</x:v>
      </x:c>
      <x:c r="H43" s="20" t="str">
        <x:v>L</x:v>
      </x:c>
      <x:c r="I43" s="20" t="str">
        <x:v>Repeated KFFAAK/CCY architecture</x:v>
      </x:c>
      <x:c r="J43" s="20"/>
      <x:c r="K43" s="20"/>
      <x:c r="L43" s="20"/>
      <x:c r="M43" s="20"/>
      <x:c r="N43" s="20" t="str">
        <x:v>Peptide-coupled AuNC panel</x:v>
      </x:c>
      <x:c r="O43" s="20" t="str">
        <x:v>Gold precursor</x:v>
      </x:c>
      <x:c r="P43" s="20" t="str">
        <x:v>Exact per-sequence condition/outcome mapping pending full-text extraction</x:v>
      </x:c>
      <x:c r="Q43" s="20" t="str">
        <x:v>Peptide motif-coupled one-step synthesis</x:v>
      </x:c>
      <x:c r="R43" s="20"/>
      <x:c r="S43" s="20"/>
      <x:c r="T43" s="20"/>
      <x:c r="U43" s="20" t="str">
        <x:v>Seven-sequence motif library; per-sequence quantitative outcomes pending</x:v>
      </x:c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 t="str">
        <x:v>Sequence-motif study</x:v>
      </x:c>
      <x:c r="AF43" s="20" t="str">
        <x:v>One of seven exact sequences designed to study how CCY and KFFAAK motif identity/order change AuNC optical behavior.</x:v>
      </x:c>
      <x:c r="AG43" s="20" t="str">
        <x:v>Colloids Surf B 2022 abstract/indexed sequence data</x:v>
      </x:c>
      <x:c r="AH43" s="20" t="str">
        <x:v>https://doi.org/10.1016/j.colsurfb.2022.112820</x:v>
      </x:c>
      <x:c r="AI43" s="24" t="n">
        <x:f>ROUND(100*COUNTA(G43,J43,L43,R43,S43,T43,V43,X43,AA43,AC43)/10,0)</x:f>
        <x:v>10</x:v>
      </x:c>
      <x:c r="AJ43" s="20" t="str">
        <x:v>QC_HOLD_PANEL</x:v>
      </x:c>
      <x:c r="AK43" s="20" t="str">
        <x:v>EXACT_SEQUENCE</x:v>
      </x:c>
      <x:c r="AL43" s="20" t="str">
        <x:v>No numeric target populated until full paper/SI maps outcome to this sequence.</x:v>
      </x:c>
      <x:c r="AM43" s="20" t="str">
        <x:v>2026-09-07</x:v>
      </x:c>
      <x:c r="AN43" s="20" t="str">
        <x:v>WEB_PRIMARY_INDEXED</x:v>
      </x:c>
    </x:row>
    <x:row r="44" ht="19" customHeight="1">
      <x:c r="A44" s="20" t="str">
        <x:v>R041</x:v>
      </x:c>
      <x:c r="B44" s="20" t="str">
        <x:v>W10</x:v>
      </x:c>
      <x:c r="C44" s="20" t="str">
        <x:v>A2 DIRECT_PEPTIDE_NONPRECISE_AUNC</x:v>
      </x:c>
      <x:c r="D44" s="20" t="str">
        <x:v>DIRECT</x:v>
      </x:c>
      <x:c r="E44" s="20" t="str">
        <x:v>ultrasmall_AuNC_unknown_nuclearity</x:v>
      </x:c>
      <x:c r="F44" s="20" t="str">
        <x:v>Motif-panel peptide 2</x:v>
      </x:c>
      <x:c r="G44" s="20" t="str">
        <x:v>CCY</x:v>
      </x:c>
      <x:c r="H44" s="20" t="str">
        <x:v>L</x:v>
      </x:c>
      <x:c r="I44" s="20" t="str">
        <x:v>Minimal CCY motif</x:v>
      </x:c>
      <x:c r="J44" s="20"/>
      <x:c r="K44" s="20"/>
      <x:c r="L44" s="20"/>
      <x:c r="M44" s="20"/>
      <x:c r="N44" s="20" t="str">
        <x:v>Peptide-coupled AuNC panel</x:v>
      </x:c>
      <x:c r="O44" s="20" t="str">
        <x:v>Gold precursor</x:v>
      </x:c>
      <x:c r="P44" s="20" t="str">
        <x:v>Per-sequence quantitative condition/outcome pending</x:v>
      </x:c>
      <x:c r="Q44" s="20" t="str">
        <x:v>Peptide motif-coupled one-step synthesis</x:v>
      </x:c>
      <x:c r="R44" s="20"/>
      <x:c r="S44" s="20"/>
      <x:c r="T44" s="20"/>
      <x:c r="U44" s="20" t="str">
        <x:v>Seven-sequence motif library</x:v>
      </x:c>
      <x:c r="V44" s="20"/>
      <x:c r="W44" s="20"/>
      <x:c r="X44" s="20"/>
      <x:c r="Y44" s="20"/>
      <x:c r="Z44" s="20"/>
      <x:c r="AA44" s="20"/>
      <x:c r="AB44" s="20"/>
      <x:c r="AC44" s="20"/>
      <x:c r="AD44" s="20"/>
      <x:c r="AE44" s="20" t="str">
        <x:v>Sequence-motif study</x:v>
      </x:c>
      <x:c r="AF44" s="20" t="str">
        <x:v>Minimal Cys-Cys-Tyr mineralization/reduction motif in the controlled sequence panel.</x:v>
      </x:c>
      <x:c r="AG44" s="20" t="str">
        <x:v>Colloids Surf B 2022 indexed sequence data</x:v>
      </x:c>
      <x:c r="AH44" s="20" t="str">
        <x:v>https://doi.org/10.1016/j.colsurfb.2022.112820</x:v>
      </x:c>
      <x:c r="AI44" s="24" t="n">
        <x:f>ROUND(100*COUNTA(G44,J44,L44,R44,S44,T44,V44,X44,AA44,AC44)/10,0)</x:f>
        <x:v>10</x:v>
      </x:c>
      <x:c r="AJ44" s="20" t="str">
        <x:v>QC_HOLD_PANEL</x:v>
      </x:c>
      <x:c r="AK44" s="20" t="str">
        <x:v>EXACT_SEQUENCE</x:v>
      </x:c>
      <x:c r="AL44" s="20" t="str">
        <x:v>Potentially critical minimal motif/control; await full outcome mapping.</x:v>
      </x:c>
      <x:c r="AM44" s="20" t="str">
        <x:v>2026-09-07</x:v>
      </x:c>
      <x:c r="AN44" s="20" t="str">
        <x:v>WEB_PRIMARY_INDEXED</x:v>
      </x:c>
    </x:row>
    <x:row r="45" ht="19" customHeight="1">
      <x:c r="A45" s="20" t="str">
        <x:v>R042</x:v>
      </x:c>
      <x:c r="B45" s="20" t="str">
        <x:v>W10</x:v>
      </x:c>
      <x:c r="C45" s="20" t="str">
        <x:v>A2 DIRECT_PEPTIDE_NONPRECISE_AUNC</x:v>
      </x:c>
      <x:c r="D45" s="20" t="str">
        <x:v>DIRECT</x:v>
      </x:c>
      <x:c r="E45" s="20" t="str">
        <x:v>ultrasmall_AuNC_unknown_nuclearity</x:v>
      </x:c>
      <x:c r="F45" s="20" t="str">
        <x:v>Motif-panel peptide 3</x:v>
      </x:c>
      <x:c r="G45" s="20" t="str">
        <x:v>KFFAAK</x:v>
      </x:c>
      <x:c r="H45" s="20" t="str">
        <x:v>L</x:v>
      </x:c>
      <x:c r="I45" s="20" t="str">
        <x:v>Self-assembly motif control</x:v>
      </x:c>
      <x:c r="J45" s="20"/>
      <x:c r="K45" s="20"/>
      <x:c r="L45" s="20"/>
      <x:c r="M45" s="20"/>
      <x:c r="N45" s="20" t="str">
        <x:v>Peptide-coupled AuNC panel</x:v>
      </x:c>
      <x:c r="O45" s="20" t="str">
        <x:v>Gold precursor</x:v>
      </x:c>
      <x:c r="P45" s="20" t="str">
        <x:v>Per-sequence quantitative condition/outcome pending</x:v>
      </x:c>
      <x:c r="Q45" s="20" t="str">
        <x:v>Peptide motif-coupled one-step synthesis</x:v>
      </x:c>
      <x:c r="R45" s="20"/>
      <x:c r="S45" s="20"/>
      <x:c r="T45" s="20"/>
      <x:c r="U45" s="20" t="str">
        <x:v>Seven-sequence motif library</x:v>
      </x:c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 t="str">
        <x:v>Sequence-motif study</x:v>
      </x:c>
      <x:c r="AF45" s="20" t="str">
        <x:v>KFFAAK-only control is especially valuable for learning the absence of the CCY gold-binding/reducing motif.</x:v>
      </x:c>
      <x:c r="AG45" s="20" t="str">
        <x:v>Colloids Surf B 2022 indexed sequence data</x:v>
      </x:c>
      <x:c r="AH45" s="20" t="str">
        <x:v>https://doi.org/10.1016/j.colsurfb.2022.112820</x:v>
      </x:c>
      <x:c r="AI45" s="24" t="n">
        <x:f>ROUND(100*COUNTA(G45,J45,L45,R45,S45,T45,V45,X45,AA45,AC45)/10,0)</x:f>
        <x:v>10</x:v>
      </x:c>
      <x:c r="AJ45" s="20" t="str">
        <x:v>QC_HOLD_PANEL</x:v>
      </x:c>
      <x:c r="AK45" s="20" t="str">
        <x:v>EXACT_SEQUENCE</x:v>
      </x:c>
      <x:c r="AL45" s="20" t="str">
        <x:v>May become a useful negative/control record only after the primary outcome is verified.</x:v>
      </x:c>
      <x:c r="AM45" s="20" t="str">
        <x:v>2026-09-07</x:v>
      </x:c>
      <x:c r="AN45" s="20" t="str">
        <x:v>WEB_PRIMARY_INDEXED</x:v>
      </x:c>
    </x:row>
    <x:row r="46" ht="19" customHeight="1">
      <x:c r="A46" s="20" t="str">
        <x:v>R043</x:v>
      </x:c>
      <x:c r="B46" s="20" t="str">
        <x:v>W10</x:v>
      </x:c>
      <x:c r="C46" s="20" t="str">
        <x:v>A2 DIRECT_PEPTIDE_NONPRECISE_AUNC</x:v>
      </x:c>
      <x:c r="D46" s="20" t="str">
        <x:v>DIRECT</x:v>
      </x:c>
      <x:c r="E46" s="20" t="str">
        <x:v>ultrasmall_AuNC_unknown_nuclearity</x:v>
      </x:c>
      <x:c r="F46" s="20" t="str">
        <x:v>Motif-panel peptide 4</x:v>
      </x:c>
      <x:c r="G46" s="20" t="str">
        <x:v>CCYKFFAAKKFFAAK</x:v>
      </x:c>
      <x:c r="H46" s="20" t="str">
        <x:v>L</x:v>
      </x:c>
      <x:c r="I46" s="20" t="str">
        <x:v>CCY followed by tandem KFFAAK-like architecture</x:v>
      </x:c>
      <x:c r="J46" s="20"/>
      <x:c r="K46" s="20"/>
      <x:c r="L46" s="20"/>
      <x:c r="M46" s="20"/>
      <x:c r="N46" s="20" t="str">
        <x:v>Peptide-coupled AuNC panel</x:v>
      </x:c>
      <x:c r="O46" s="20" t="str">
        <x:v>Gold precursor</x:v>
      </x:c>
      <x:c r="P46" s="20" t="str">
        <x:v>Per-sequence quantitative condition/outcome pending</x:v>
      </x:c>
      <x:c r="Q46" s="20" t="str">
        <x:v>Peptide motif-coupled one-step synthesis</x:v>
      </x:c>
      <x:c r="R46" s="20"/>
      <x:c r="S46" s="20"/>
      <x:c r="T46" s="20"/>
      <x:c r="U46" s="20" t="str">
        <x:v>Seven-sequence motif library</x:v>
      </x:c>
      <x:c r="V46" s="20"/>
      <x:c r="W46" s="20"/>
      <x:c r="X46" s="20"/>
      <x:c r="Y46" s="20"/>
      <x:c r="Z46" s="20"/>
      <x:c r="AA46" s="20"/>
      <x:c r="AB46" s="20"/>
      <x:c r="AC46" s="20"/>
      <x:c r="AD46" s="20"/>
      <x:c r="AE46" s="20" t="str">
        <x:v>Sequence-motif study</x:v>
      </x:c>
      <x:c r="AF46" s="20" t="str">
        <x:v>Exact motif permutation for position-sensitive feature engineering.</x:v>
      </x:c>
      <x:c r="AG46" s="20" t="str">
        <x:v>Colloids Surf B 2022 indexed sequence data</x:v>
      </x:c>
      <x:c r="AH46" s="20" t="str">
        <x:v>https://doi.org/10.1016/j.colsurfb.2022.112820</x:v>
      </x:c>
      <x:c r="AI46" s="24" t="n">
        <x:f>ROUND(100*COUNTA(G46,J46,L46,R46,S46,T46,V46,X46,AA46,AC46)/10,0)</x:f>
        <x:v>10</x:v>
      </x:c>
      <x:c r="AJ46" s="20" t="str">
        <x:v>QC_HOLD_PANEL</x:v>
      </x:c>
      <x:c r="AK46" s="20" t="str">
        <x:v>EXACT_SEQUENCE</x:v>
      </x:c>
      <x:c r="AL46" s="20" t="str">
        <x:v>Await full outcome mapping.</x:v>
      </x:c>
      <x:c r="AM46" s="20" t="str">
        <x:v>2026-09-07</x:v>
      </x:c>
      <x:c r="AN46" s="20" t="str">
        <x:v>WEB_PRIMARY_INDEXED</x:v>
      </x:c>
    </x:row>
    <x:row r="47" ht="19" customHeight="1">
      <x:c r="A47" s="20" t="str">
        <x:v>R044</x:v>
      </x:c>
      <x:c r="B47" s="20" t="str">
        <x:v>W10</x:v>
      </x:c>
      <x:c r="C47" s="20" t="str">
        <x:v>A2 DIRECT_PEPTIDE_NONPRECISE_AUNC</x:v>
      </x:c>
      <x:c r="D47" s="20" t="str">
        <x:v>DIRECT</x:v>
      </x:c>
      <x:c r="E47" s="20" t="str">
        <x:v>ultrasmall_AuNC_unknown_nuclearity</x:v>
      </x:c>
      <x:c r="F47" s="20" t="str">
        <x:v>Motif-panel peptide 5</x:v>
      </x:c>
      <x:c r="G47" s="20" t="str">
        <x:v>KFFAAKCCYKFFAAK</x:v>
      </x:c>
      <x:c r="H47" s="20" t="str">
        <x:v>L</x:v>
      </x:c>
      <x:c r="I47" s="20" t="str">
        <x:v>Interleaved KFFAAK-CCY-KFFAAK</x:v>
      </x:c>
      <x:c r="J47" s="20"/>
      <x:c r="K47" s="20"/>
      <x:c r="L47" s="20"/>
      <x:c r="M47" s="20"/>
      <x:c r="N47" s="20" t="str">
        <x:v>Peptide-coupled AuNC panel</x:v>
      </x:c>
      <x:c r="O47" s="20" t="str">
        <x:v>Gold precursor</x:v>
      </x:c>
      <x:c r="P47" s="20" t="str">
        <x:v>Per-sequence quantitative condition/outcome pending</x:v>
      </x:c>
      <x:c r="Q47" s="20" t="str">
        <x:v>Peptide motif-coupled one-step synthesis</x:v>
      </x:c>
      <x:c r="R47" s="20"/>
      <x:c r="S47" s="20"/>
      <x:c r="T47" s="20"/>
      <x:c r="U47" s="20" t="str">
        <x:v>Seven-sequence motif library</x:v>
      </x:c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 t="str">
        <x:v>Sequence-motif study</x:v>
      </x:c>
      <x:c r="AF47" s="20" t="str">
        <x:v>Exact motif-position variant suitable for spacing/order descriptors once outcomes are recovered.</x:v>
      </x:c>
      <x:c r="AG47" s="20" t="str">
        <x:v>Colloids Surf B 2022 indexed sequence data</x:v>
      </x:c>
      <x:c r="AH47" s="20" t="str">
        <x:v>https://doi.org/10.1016/j.colsurfb.2022.112820</x:v>
      </x:c>
      <x:c r="AI47" s="24" t="n">
        <x:f>ROUND(100*COUNTA(G47,J47,L47,R47,S47,T47,V47,X47,AA47,AC47)/10,0)</x:f>
        <x:v>10</x:v>
      </x:c>
      <x:c r="AJ47" s="20" t="str">
        <x:v>QC_HOLD_PANEL</x:v>
      </x:c>
      <x:c r="AK47" s="20" t="str">
        <x:v>EXACT_SEQUENCE</x:v>
      </x:c>
      <x:c r="AL47" s="20" t="str">
        <x:v>Await full outcome mapping.</x:v>
      </x:c>
      <x:c r="AM47" s="20" t="str">
        <x:v>2026-09-07</x:v>
      </x:c>
      <x:c r="AN47" s="20" t="str">
        <x:v>WEB_PRIMARY_INDEXED</x:v>
      </x:c>
    </x:row>
    <x:row r="48" ht="19" customHeight="1">
      <x:c r="A48" s="20" t="str">
        <x:v>R045</x:v>
      </x:c>
      <x:c r="B48" s="20" t="str">
        <x:v>W10</x:v>
      </x:c>
      <x:c r="C48" s="20" t="str">
        <x:v>A2 DIRECT_PEPTIDE_NONPRECISE_AUNC</x:v>
      </x:c>
      <x:c r="D48" s="20" t="str">
        <x:v>DIRECT</x:v>
      </x:c>
      <x:c r="E48" s="20" t="str">
        <x:v>ultrasmall_AuNC_unknown_nuclearity</x:v>
      </x:c>
      <x:c r="F48" s="20" t="str">
        <x:v>Motif-panel peptide 6</x:v>
      </x:c>
      <x:c r="G48" s="20" t="str">
        <x:v>CCYKFFAAKYCC</x:v>
      </x:c>
      <x:c r="H48" s="20" t="str">
        <x:v>L</x:v>
      </x:c>
      <x:c r="I48" s="20" t="str">
        <x:v>CCY + KFFAAK + YCC</x:v>
      </x:c>
      <x:c r="J48" s="20"/>
      <x:c r="K48" s="20"/>
      <x:c r="L48" s="20"/>
      <x:c r="M48" s="20"/>
      <x:c r="N48" s="20" t="str">
        <x:v>Peptide-coupled AuNC panel</x:v>
      </x:c>
      <x:c r="O48" s="20" t="str">
        <x:v>Gold precursor</x:v>
      </x:c>
      <x:c r="P48" s="20" t="str">
        <x:v>Per-sequence quantitative condition/outcome pending</x:v>
      </x:c>
      <x:c r="Q48" s="20" t="str">
        <x:v>Peptide motif-coupled one-step synthesis</x:v>
      </x:c>
      <x:c r="R48" s="20"/>
      <x:c r="S48" s="20"/>
      <x:c r="T48" s="20"/>
      <x:c r="U48" s="20" t="str">
        <x:v>Seven-sequence motif library</x:v>
      </x:c>
      <x:c r="V48" s="20"/>
      <x:c r="W48" s="20"/>
      <x:c r="X48" s="20"/>
      <x:c r="Y48" s="20"/>
      <x:c r="Z48" s="20"/>
      <x:c r="AA48" s="20"/>
      <x:c r="AB48" s="20"/>
      <x:c r="AC48" s="20"/>
      <x:c r="AD48" s="20"/>
      <x:c r="AE48" s="20" t="str">
        <x:v>Sequence-motif study</x:v>
      </x:c>
      <x:c r="AF48" s="20" t="str">
        <x:v>Two Cys-rich termini and altered Tyr/Cys positioning make this high-value for positional descriptor design.</x:v>
      </x:c>
      <x:c r="AG48" s="20" t="str">
        <x:v>Colloids Surf B 2022 indexed sequence data</x:v>
      </x:c>
      <x:c r="AH48" s="20" t="str">
        <x:v>https://doi.org/10.1016/j.colsurfb.2022.112820</x:v>
      </x:c>
      <x:c r="AI48" s="24" t="n">
        <x:f>ROUND(100*COUNTA(G48,J48,L48,R48,S48,T48,V48,X48,AA48,AC48)/10,0)</x:f>
        <x:v>10</x:v>
      </x:c>
      <x:c r="AJ48" s="20" t="str">
        <x:v>QC_HOLD_PANEL</x:v>
      </x:c>
      <x:c r="AK48" s="20" t="str">
        <x:v>EXACT_SEQUENCE</x:v>
      </x:c>
      <x:c r="AL48" s="20" t="str">
        <x:v>Await full outcome mapping.</x:v>
      </x:c>
      <x:c r="AM48" s="20" t="str">
        <x:v>2026-09-07</x:v>
      </x:c>
      <x:c r="AN48" s="20" t="str">
        <x:v>WEB_PRIMARY_INDEXED</x:v>
      </x:c>
    </x:row>
    <x:row r="49" ht="19" customHeight="1">
      <x:c r="A49" s="20" t="str">
        <x:v>R046</x:v>
      </x:c>
      <x:c r="B49" s="20" t="str">
        <x:v>W10</x:v>
      </x:c>
      <x:c r="C49" s="20" t="str">
        <x:v>A2 DIRECT_PEPTIDE_NONPRECISE_AUNC</x:v>
      </x:c>
      <x:c r="D49" s="20" t="str">
        <x:v>DIRECT</x:v>
      </x:c>
      <x:c r="E49" s="20" t="str">
        <x:v>ultrasmall_AuNC_unknown_nuclearity</x:v>
      </x:c>
      <x:c r="F49" s="20" t="str">
        <x:v>Motif-panel peptide 7</x:v>
      </x:c>
      <x:c r="G49" s="20" t="str">
        <x:v>CCYKFFAAK</x:v>
      </x:c>
      <x:c r="H49" s="20" t="str">
        <x:v>L</x:v>
      </x:c>
      <x:c r="I49" s="20" t="str">
        <x:v>Minimal combined CCY + KFFAAK motif</x:v>
      </x:c>
      <x:c r="J49" s="20"/>
      <x:c r="K49" s="20"/>
      <x:c r="L49" s="20"/>
      <x:c r="M49" s="20"/>
      <x:c r="N49" s="20" t="str">
        <x:v>Peptide-coupled AuNC panel</x:v>
      </x:c>
      <x:c r="O49" s="20" t="str">
        <x:v>Gold precursor</x:v>
      </x:c>
      <x:c r="P49" s="20" t="str">
        <x:v>Per-sequence quantitative condition/outcome pending</x:v>
      </x:c>
      <x:c r="Q49" s="20" t="str">
        <x:v>Peptide motif-coupled one-step synthesis</x:v>
      </x:c>
      <x:c r="R49" s="20"/>
      <x:c r="S49" s="20"/>
      <x:c r="T49" s="20"/>
      <x:c r="U49" s="20" t="str">
        <x:v>Seven-sequence motif library</x:v>
      </x:c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 t="str">
        <x:v>Sequence-motif study</x:v>
      </x:c>
      <x:c r="AF49" s="20" t="str">
        <x:v>Compact combined motif candidate; useful for sequence-length and motif-order comparisons.</x:v>
      </x:c>
      <x:c r="AG49" s="20" t="str">
        <x:v>Colloids Surf B 2022 indexed sequence data</x:v>
      </x:c>
      <x:c r="AH49" s="20" t="str">
        <x:v>https://doi.org/10.1016/j.colsurfb.2022.112820</x:v>
      </x:c>
      <x:c r="AI49" s="24" t="n">
        <x:f>ROUND(100*COUNTA(G49,J49,L49,R49,S49,T49,V49,X49,AA49,AC49)/10,0)</x:f>
        <x:v>10</x:v>
      </x:c>
      <x:c r="AJ49" s="20" t="str">
        <x:v>QC_HOLD_PANEL</x:v>
      </x:c>
      <x:c r="AK49" s="20" t="str">
        <x:v>EXACT_SEQUENCE</x:v>
      </x:c>
      <x:c r="AL49" s="20" t="str">
        <x:v>Await full outcome mapping.</x:v>
      </x:c>
      <x:c r="AM49" s="20" t="str">
        <x:v>2026-09-07</x:v>
      </x:c>
      <x:c r="AN49" s="20" t="str">
        <x:v>WEB_PRIMARY_INDEXED</x:v>
      </x:c>
    </x:row>
    <x:row r="50" ht="19" customHeight="1">
      <x:c r="A50" s="20" t="str">
        <x:v>R047</x:v>
      </x:c>
      <x:c r="B50" s="20" t="str">
        <x:v>W20</x:v>
      </x:c>
      <x:c r="C50" s="20" t="str">
        <x:v>A2 DIRECT_PEPTIDE_NONPRECISE_AUNC</x:v>
      </x:c>
      <x:c r="D50" s="20" t="str">
        <x:v>DIRECT</x:v>
      </x:c>
      <x:c r="E50" s="20" t="str">
        <x:v>ultrasmall_AuNC_unknown_nuclearity</x:v>
      </x:c>
      <x:c r="F50" s="20" t="str">
        <x:v>ECE-stabilized AuNC</x:v>
      </x:c>
      <x:c r="G50" s="20" t="str">
        <x:v>ECE</x:v>
      </x:c>
      <x:c r="H50" s="20" t="str">
        <x:v>L</x:v>
      </x:c>
      <x:c r="I50" s="20" t="str">
        <x:v>None</x:v>
      </x:c>
      <x:c r="J50" s="20"/>
      <x:c r="K50" s="20"/>
      <x:c r="L50" s="20"/>
      <x:c r="M50" s="20"/>
      <x:c r="N50" s="20" t="str">
        <x:v>NIR-emitting peptide-stabilized AuNC</x:v>
      </x:c>
      <x:c r="O50" s="20" t="str">
        <x:v>HAuCl4</x:v>
      </x:c>
      <x:c r="P50" s="20" t="str">
        <x:v>500 µL 20 mM HAuCl4 + 500 µL 20 mM ECE + 500 µL 20 mM TCEP</x:v>
      </x:c>
      <x:c r="Q50" s="20" t="str">
        <x:v>TCEP pretreatment + NaBH4 nucleation</x:v>
      </x:c>
      <x:c r="R50" s="20"/>
      <x:c r="S50" s="20" t="n">
        <x:v>70</x:v>
      </x:c>
      <x:c r="T50" s="20" t="n">
        <x:v>8.25</x:v>
      </x:c>
      <x:c r="U50" s="20" t="str">
        <x:v>Incubate HAuCl4/peptide/TCEP 70°C 15 min; add 58 µL 13.8 mM NaBH4; continue 70°C 8 h; dialysis purification</x:v>
      </x:c>
      <x:c r="V50" s="20"/>
      <x:c r="W50" s="20" t="str">
        <x:v>Maximum emission &gt;740 nm; exact peak left blank pending direct numeric figure extraction</x:v>
      </x:c>
      <x:c r="X50" s="20" t="n">
        <x:v>7</x:v>
      </x:c>
      <x:c r="Y50" s="20"/>
      <x:c r="Z50" s="20"/>
      <x:c r="AA50" s="20"/>
      <x:c r="AB50" s="20"/>
      <x:c r="AC50" s="20"/>
      <x:c r="AD50" s="20"/>
      <x:c r="AE50" s="20" t="str">
        <x:v>NIR bioimaging / sequence-QY study</x:v>
      </x:c>
      <x:c r="AF50" s="20" t="str">
        <x:v>Exact primary QY = 7.0% under 480 nm excitation. Part of a controlled five-peptide sequence panel.</x:v>
      </x:c>
      <x:c r="AG50" s="20" t="str">
        <x:v>Analytical Chemistry 2024 primary full text</x:v>
      </x:c>
      <x:c r="AH50" s="20" t="str">
        <x:v>https://doi.org/10.1021/acs.analchem.4c00321</x:v>
      </x:c>
      <x:c r="AI50" s="24" t="n">
        <x:f>ROUND(100*COUNTA(G50,J50,L50,R50,S50,T50,V50,X50,AA50,AC50)/10,0)</x:f>
        <x:v>40</x:v>
      </x:c>
      <x:c r="AJ50" s="20" t="str">
        <x:v>TRAIN_OPTICAL_QY</x:v>
      </x:c>
      <x:c r="AK50" s="20" t="str">
        <x:v>EXACT_FROM_PRIMARY</x:v>
      </x:c>
      <x:c r="AL50" s="20" t="str">
        <x:v>Same-paper panel; keep W20 rows grouped in validation.</x:v>
      </x:c>
      <x:c r="AM50" s="20" t="str">
        <x:v>2026-09-07</x:v>
      </x:c>
      <x:c r="AN50" s="20" t="str">
        <x:v>WEB_PRIMARY_OPEN_ACCESS</x:v>
      </x:c>
    </x:row>
    <x:row r="51" ht="19" customHeight="1">
      <x:c r="A51" s="20" t="str">
        <x:v>R048</x:v>
      </x:c>
      <x:c r="B51" s="20" t="str">
        <x:v>W20</x:v>
      </x:c>
      <x:c r="C51" s="20" t="str">
        <x:v>A2 DIRECT_PEPTIDE_NONPRECISE_AUNC</x:v>
      </x:c>
      <x:c r="D51" s="20" t="str">
        <x:v>DIRECT</x:v>
      </x:c>
      <x:c r="E51" s="20" t="str">
        <x:v>ultrasmall_AuNC_unknown_nuclearity</x:v>
      </x:c>
      <x:c r="F51" s="20" t="str">
        <x:v>EECEE-stabilized AuNC</x:v>
      </x:c>
      <x:c r="G51" s="20" t="str">
        <x:v>EECEE</x:v>
      </x:c>
      <x:c r="H51" s="20" t="str">
        <x:v>L</x:v>
      </x:c>
      <x:c r="I51" s="20" t="str">
        <x:v>None</x:v>
      </x:c>
      <x:c r="J51" s="20"/>
      <x:c r="K51" s="20"/>
      <x:c r="L51" s="20" t="n">
        <x:v>0.9</x:v>
      </x:c>
      <x:c r="M51" s="20" t="n">
        <x:v>1.1</x:v>
      </x:c>
      <x:c r="N51" s="20" t="str">
        <x:v>NIR-emitting peptide-stabilized AuNC</x:v>
      </x:c>
      <x:c r="O51" s="20" t="str">
        <x:v>HAuCl4</x:v>
      </x:c>
      <x:c r="P51" s="20" t="str">
        <x:v>500 µL 20 mM HAuCl4 + 500 µL 20 mM EECEE + 500 µL 20 mM TCEP</x:v>
      </x:c>
      <x:c r="Q51" s="20" t="str">
        <x:v>TCEP pretreatment + NaBH4 nucleation</x:v>
      </x:c>
      <x:c r="R51" s="20"/>
      <x:c r="S51" s="20" t="n">
        <x:v>70</x:v>
      </x:c>
      <x:c r="T51" s="20" t="n">
        <x:v>8.25</x:v>
      </x:c>
      <x:c r="U51" s="20" t="str">
        <x:v>Incubate HAuCl4/peptide/TCEP 70°C 15 min; add 58 µL 13.8 mM NaBH4; continue 70°C 8 h; dialysis purification</x:v>
      </x:c>
      <x:c r="V51" s="20" t="n">
        <x:v>740</x:v>
      </x:c>
      <x:c r="W51" s="20" t="str">
        <x:v>Primary conclusion reports maximum emission 740 nm</x:v>
      </x:c>
      <x:c r="X51" s="20" t="n">
        <x:v>14</x:v>
      </x:c>
      <x:c r="Y51" s="20"/>
      <x:c r="Z51" s="20"/>
      <x:c r="AA51" s="20"/>
      <x:c r="AB51" s="20"/>
      <x:c r="AC51" s="20"/>
      <x:c r="AD51" s="20"/>
      <x:c r="AE51" s="20" t="str">
        <x:v>Lysosome / αvβ3 imaging</x:v>
      </x:c>
      <x:c r="AF51" s="20" t="str">
        <x:v>Primary TEM core 0.9±0.2 nm; DLS 1.1±0.2 nm; QY 14%. MALDI strongest peak assigned Au25S11+3EECEE species but authors explicitly caution this does not prove exact kernel nuclearity.</x:v>
      </x:c>
      <x:c r="AG51" s="20" t="str">
        <x:v>Analytical Chemistry 2024 primary full text</x:v>
      </x:c>
      <x:c r="AH51" s="20" t="str">
        <x:v>https://doi.org/10.1021/acs.analchem.4c00321</x:v>
      </x:c>
      <x:c r="AI51" s="24" t="n">
        <x:f>ROUND(100*COUNTA(G51,J51,L51,R51,S51,T51,V51,X51,AA51,AC51)/10,0)</x:f>
        <x:v>60</x:v>
      </x:c>
      <x:c r="AJ51" s="20" t="str">
        <x:v>TRAIN_OPTICAL_SIZE_QY</x:v>
      </x:c>
      <x:c r="AK51" s="20" t="str">
        <x:v>EXACT_FROM_PRIMARY</x:v>
      </x:c>
      <x:c r="AL51" s="20" t="str">
        <x:v>Do NOT encode Au25 as exact nuclearity; mass spectrum is composition evidence, not definitive kernel structure.</x:v>
      </x:c>
      <x:c r="AM51" s="20" t="str">
        <x:v>2026-09-07</x:v>
      </x:c>
      <x:c r="AN51" s="20" t="str">
        <x:v>WEB_PRIMARY_OPEN_ACCESS</x:v>
      </x:c>
    </x:row>
    <x:row r="52" ht="19" customHeight="1">
      <x:c r="A52" s="20" t="str">
        <x:v>R049</x:v>
      </x:c>
      <x:c r="B52" s="20" t="str">
        <x:v>W20</x:v>
      </x:c>
      <x:c r="C52" s="20" t="str">
        <x:v>A2 DIRECT_PEPTIDE_NONPRECISE_AUNC</x:v>
      </x:c>
      <x:c r="D52" s="20" t="str">
        <x:v>DIRECT</x:v>
      </x:c>
      <x:c r="E52" s="20" t="str">
        <x:v>ultrasmall_AuNC_unknown_nuclearity</x:v>
      </x:c>
      <x:c r="F52" s="20" t="str">
        <x:v>EEECEEE-stabilized AuNC</x:v>
      </x:c>
      <x:c r="G52" s="20" t="str">
        <x:v>EEECEEE</x:v>
      </x:c>
      <x:c r="H52" s="20" t="str">
        <x:v>L</x:v>
      </x:c>
      <x:c r="I52" s="20" t="str">
        <x:v>None</x:v>
      </x:c>
      <x:c r="J52" s="20"/>
      <x:c r="K52" s="20"/>
      <x:c r="L52" s="20"/>
      <x:c r="M52" s="20"/>
      <x:c r="N52" s="20" t="str">
        <x:v>NIR-emitting peptide-stabilized AuNC</x:v>
      </x:c>
      <x:c r="O52" s="20" t="str">
        <x:v>HAuCl4</x:v>
      </x:c>
      <x:c r="P52" s="20" t="str">
        <x:v>500 µL 20 mM HAuCl4 + 500 µL 20 mM EEECEEE + 500 µL 20 mM TCEP</x:v>
      </x:c>
      <x:c r="Q52" s="20" t="str">
        <x:v>TCEP pretreatment + NaBH4 nucleation</x:v>
      </x:c>
      <x:c r="R52" s="20"/>
      <x:c r="S52" s="20" t="n">
        <x:v>70</x:v>
      </x:c>
      <x:c r="T52" s="20" t="n">
        <x:v>8.25</x:v>
      </x:c>
      <x:c r="U52" s="20" t="str">
        <x:v>Incubate 70°C 15 min; NaBH4; 70°C 8 h; dialysis</x:v>
      </x:c>
      <x:c r="V52" s="20"/>
      <x:c r="W52" s="20" t="str">
        <x:v>Maximum emission &gt;740 nm</x:v>
      </x:c>
      <x:c r="X52" s="20" t="n">
        <x:v>7</x:v>
      </x:c>
      <x:c r="Y52" s="20"/>
      <x:c r="Z52" s="20"/>
      <x:c r="AA52" s="20"/>
      <x:c r="AB52" s="20"/>
      <x:c r="AC52" s="20"/>
      <x:c r="AD52" s="20"/>
      <x:c r="AE52" s="20" t="str">
        <x:v>NIR bioimaging / sequence-QY study</x:v>
      </x:c>
      <x:c r="AF52" s="20" t="str">
        <x:v>Exact primary QY = 7.0% at 480 nm. More Glu residues did not outperform EECEE, consistent with ligand-bulk/coverage effects.</x:v>
      </x:c>
      <x:c r="AG52" s="20" t="str">
        <x:v>Analytical Chemistry 2024 primary full text</x:v>
      </x:c>
      <x:c r="AH52" s="20" t="str">
        <x:v>https://doi.org/10.1021/acs.analchem.4c00321</x:v>
      </x:c>
      <x:c r="AI52" s="24" t="n">
        <x:f>ROUND(100*COUNTA(G52,J52,L52,R52,S52,T52,V52,X52,AA52,AC52)/10,0)</x:f>
        <x:v>40</x:v>
      </x:c>
      <x:c r="AJ52" s="20" t="str">
        <x:v>TRAIN_OPTICAL_QY</x:v>
      </x:c>
      <x:c r="AK52" s="20" t="str">
        <x:v>EXACT_FROM_PRIMARY</x:v>
      </x:c>
      <x:c r="AL52" s="20" t="str">
        <x:v>Same-paper panel.</x:v>
      </x:c>
      <x:c r="AM52" s="20" t="str">
        <x:v>2026-09-07</x:v>
      </x:c>
      <x:c r="AN52" s="20" t="str">
        <x:v>WEB_PRIMARY_OPEN_ACCESS</x:v>
      </x:c>
    </x:row>
    <x:row r="53" ht="19" customHeight="1">
      <x:c r="A53" s="20" t="str">
        <x:v>R050</x:v>
      </x:c>
      <x:c r="B53" s="20" t="str">
        <x:v>W20</x:v>
      </x:c>
      <x:c r="C53" s="20" t="str">
        <x:v>A2 DIRECT_PEPTIDE_NONPRECISE_AUNC</x:v>
      </x:c>
      <x:c r="D53" s="20" t="str">
        <x:v>DIRECT</x:v>
      </x:c>
      <x:c r="E53" s="20" t="str">
        <x:v>ultrasmall_AuNC_unknown_nuclearity</x:v>
      </x:c>
      <x:c r="F53" s="20" t="str">
        <x:v>GGCGG-stabilized AuNC</x:v>
      </x:c>
      <x:c r="G53" s="20" t="str">
        <x:v>GGCGG</x:v>
      </x:c>
      <x:c r="H53" s="20" t="str">
        <x:v>L</x:v>
      </x:c>
      <x:c r="I53" s="20" t="str">
        <x:v>None</x:v>
      </x:c>
      <x:c r="J53" s="20"/>
      <x:c r="K53" s="20"/>
      <x:c r="L53" s="20"/>
      <x:c r="M53" s="20"/>
      <x:c r="N53" s="20" t="str">
        <x:v>NIR-emitting peptide-stabilized AuNC</x:v>
      </x:c>
      <x:c r="O53" s="20" t="str">
        <x:v>HAuCl4</x:v>
      </x:c>
      <x:c r="P53" s="20" t="str">
        <x:v>500 µL 20 mM HAuCl4 + 500 µL 20 mM GGCGG + 500 µL 20 mM TCEP</x:v>
      </x:c>
      <x:c r="Q53" s="20" t="str">
        <x:v>TCEP pretreatment + NaBH4 nucleation</x:v>
      </x:c>
      <x:c r="R53" s="20"/>
      <x:c r="S53" s="20" t="n">
        <x:v>70</x:v>
      </x:c>
      <x:c r="T53" s="20" t="n">
        <x:v>8.25</x:v>
      </x:c>
      <x:c r="U53" s="20" t="str">
        <x:v>Incubate 70°C 15 min; NaBH4; 70°C 8 h; dialysis</x:v>
      </x:c>
      <x:c r="V53" s="20"/>
      <x:c r="W53" s="20" t="str">
        <x:v>Maximum emission &gt;740 nm</x:v>
      </x:c>
      <x:c r="X53" s="20" t="n">
        <x:v>5.6</x:v>
      </x:c>
      <x:c r="Y53" s="20"/>
      <x:c r="Z53" s="20"/>
      <x:c r="AA53" s="20"/>
      <x:c r="AB53" s="20"/>
      <x:c r="AC53" s="20"/>
      <x:c r="AD53" s="20"/>
      <x:c r="AE53" s="20" t="str">
        <x:v>NIR bioimaging / sequence-QY study</x:v>
      </x:c>
      <x:c r="AF53" s="20" t="str">
        <x:v>Exact primary QY = 5.6% at 480 nm.</x:v>
      </x:c>
      <x:c r="AG53" s="20" t="str">
        <x:v>Analytical Chemistry 2024 primary full text</x:v>
      </x:c>
      <x:c r="AH53" s="20" t="str">
        <x:v>https://doi.org/10.1021/acs.analchem.4c00321</x:v>
      </x:c>
      <x:c r="AI53" s="24" t="n">
        <x:f>ROUND(100*COUNTA(G53,J53,L53,R53,S53,T53,V53,X53,AA53,AC53)/10,0)</x:f>
        <x:v>40</x:v>
      </x:c>
      <x:c r="AJ53" s="20" t="str">
        <x:v>TRAIN_OPTICAL_QY</x:v>
      </x:c>
      <x:c r="AK53" s="20" t="str">
        <x:v>EXACT_FROM_PRIMARY</x:v>
      </x:c>
      <x:c r="AL53" s="20" t="str">
        <x:v>Same-paper panel.</x:v>
      </x:c>
      <x:c r="AM53" s="20" t="str">
        <x:v>2026-09-07</x:v>
      </x:c>
      <x:c r="AN53" s="20" t="str">
        <x:v>WEB_PRIMARY_OPEN_ACCESS</x:v>
      </x:c>
    </x:row>
    <x:row r="54" ht="19" customHeight="1">
      <x:c r="A54" s="20" t="str">
        <x:v>R051</x:v>
      </x:c>
      <x:c r="B54" s="20" t="str">
        <x:v>W20</x:v>
      </x:c>
      <x:c r="C54" s="20" t="str">
        <x:v>A2 DIRECT_PEPTIDE_NONPRECISE_AUNC</x:v>
      </x:c>
      <x:c r="D54" s="20" t="str">
        <x:v>DIRECT</x:v>
      </x:c>
      <x:c r="E54" s="20" t="str">
        <x:v>ultrasmall_AuNC_unknown_nuclearity</x:v>
      </x:c>
      <x:c r="F54" s="20" t="str">
        <x:v>RRCRR-stabilized AuNC</x:v>
      </x:c>
      <x:c r="G54" s="20" t="str">
        <x:v>RRCRR</x:v>
      </x:c>
      <x:c r="H54" s="20" t="str">
        <x:v>L</x:v>
      </x:c>
      <x:c r="I54" s="20" t="str">
        <x:v>None</x:v>
      </x:c>
      <x:c r="J54" s="20"/>
      <x:c r="K54" s="20"/>
      <x:c r="L54" s="20"/>
      <x:c r="M54" s="20"/>
      <x:c r="N54" s="20" t="str">
        <x:v>NIR-emitting peptide-stabilized AuNC</x:v>
      </x:c>
      <x:c r="O54" s="20" t="str">
        <x:v>HAuCl4</x:v>
      </x:c>
      <x:c r="P54" s="20" t="str">
        <x:v>500 µL 20 mM HAuCl4 + 500 µL 20 mM RRCRR + 500 µL 20 mM TCEP</x:v>
      </x:c>
      <x:c r="Q54" s="20" t="str">
        <x:v>TCEP pretreatment + NaBH4 nucleation</x:v>
      </x:c>
      <x:c r="R54" s="20"/>
      <x:c r="S54" s="20" t="n">
        <x:v>70</x:v>
      </x:c>
      <x:c r="T54" s="20" t="n">
        <x:v>8.25</x:v>
      </x:c>
      <x:c r="U54" s="20" t="str">
        <x:v>Incubate 70°C 15 min; NaBH4; 70°C 8 h; dialysis</x:v>
      </x:c>
      <x:c r="V54" s="20"/>
      <x:c r="W54" s="20" t="str">
        <x:v>Maximum emission &gt;740 nm</x:v>
      </x:c>
      <x:c r="X54" s="20" t="n">
        <x:v>1.8</x:v>
      </x:c>
      <x:c r="Y54" s="20"/>
      <x:c r="Z54" s="20"/>
      <x:c r="AA54" s="20"/>
      <x:c r="AB54" s="20"/>
      <x:c r="AC54" s="20"/>
      <x:c r="AD54" s="20"/>
      <x:c r="AE54" s="20" t="str">
        <x:v>NIR bioimaging / sequence-QY study</x:v>
      </x:c>
      <x:c r="AF54" s="20" t="str">
        <x:v>Exact primary QY = 1.8% at 480 nm; useful charge-contrast endpoint versus acidic Glu-rich peptides.</x:v>
      </x:c>
      <x:c r="AG54" s="20" t="str">
        <x:v>Analytical Chemistry 2024 primary full text</x:v>
      </x:c>
      <x:c r="AH54" s="20" t="str">
        <x:v>https://doi.org/10.1021/acs.analchem.4c00321</x:v>
      </x:c>
      <x:c r="AI54" s="24" t="n">
        <x:f>ROUND(100*COUNTA(G54,J54,L54,R54,S54,T54,V54,X54,AA54,AC54)/10,0)</x:f>
        <x:v>40</x:v>
      </x:c>
      <x:c r="AJ54" s="20" t="str">
        <x:v>TRAIN_OPTICAL_QY</x:v>
      </x:c>
      <x:c r="AK54" s="20" t="str">
        <x:v>EXACT_FROM_PRIMARY</x:v>
      </x:c>
      <x:c r="AL54" s="20" t="str">
        <x:v>Same-paper panel.</x:v>
      </x:c>
      <x:c r="AM54" s="20" t="str">
        <x:v>2026-09-07</x:v>
      </x:c>
      <x:c r="AN54" s="20" t="str">
        <x:v>WEB_PRIMARY_OPEN_ACCESS</x:v>
      </x:c>
    </x:row>
    <x:row r="55" ht="19" customHeight="1">
      <x:c r="A55" s="20" t="str">
        <x:v>R052</x:v>
      </x:c>
      <x:c r="B55" s="20" t="str">
        <x:v>W21</x:v>
      </x:c>
      <x:c r="C55" s="20" t="str">
        <x:v>A2 DIRECT_PEPTIDE_NONPRECISE_AUNC</x:v>
      </x:c>
      <x:c r="D55" s="20" t="str">
        <x:v>DIRECT</x:v>
      </x:c>
      <x:c r="E55" s="20" t="str">
        <x:v>ultrasmall_AuNC_unknown_nuclearity</x:v>
      </x:c>
      <x:c r="F55" s="20" t="str">
        <x:v>CCY(EAAAK)3-AuNC</x:v>
      </x:c>
      <x:c r="G55" s="20" t="str">
        <x:v>CCYEAAAKEAAAKEAAAK</x:v>
      </x:c>
      <x:c r="H55" s="20" t="str">
        <x:v>L</x:v>
      </x:c>
      <x:c r="I55" s="20" t="str">
        <x:v>CCY mineralization motif + rigid EAAAK repeats</x:v>
      </x:c>
      <x:c r="J55" s="20"/>
      <x:c r="K55" s="20"/>
      <x:c r="L55" s="20" t="n">
        <x:v>1.1</x:v>
      </x:c>
      <x:c r="M55" s="20" t="n">
        <x:v>3</x:v>
      </x:c>
      <x:c r="N55" s="20" t="str">
        <x:v>Short rigid peptide-conjugated AuNC</x:v>
      </x:c>
      <x:c r="O55" s="20" t="str">
        <x:v>HAuCl4</x:v>
      </x:c>
      <x:c r="P55" s="20" t="str">
        <x:v>3.4 mg CCY(EAAAK)3 in 1.65 mL H2O; 66 µL 25 mM HAuCl4</x:v>
      </x:c>
      <x:c r="Q55" s="20" t="str">
        <x:v>Peptide-assisted alkaline synthesis</x:v>
      </x:c>
      <x:c r="R55" s="20" t="n">
        <x:v>13</x:v>
      </x:c>
      <x:c r="S55" s="20"/>
      <x:c r="T55" s="20" t="n">
        <x:v>12</x:v>
      </x:c>
      <x:c r="U55" s="20" t="str">
        <x:v>HAuCl4 added slowly under vigorous stirring; 300 µL 0.5 M NaOH; 12 h in dark; 10 kDa dialysis 3 d</x:v>
      </x:c>
      <x:c r="V55" s="20" t="n">
        <x:v>660</x:v>
      </x:c>
      <x:c r="W55" s="20" t="str">
        <x:v>λex 498 / λem 660</x:v>
      </x:c>
      <x:c r="X55" s="20"/>
      <x:c r="Y55" s="20" t="n">
        <x:v>273</x:v>
      </x:c>
      <x:c r="Z55" s="20"/>
      <x:c r="AA55" s="20"/>
      <x:c r="AB55" s="20"/>
      <x:c r="AC55" s="20"/>
      <x:c r="AD55" s="20"/>
      <x:c r="AE55" s="20" t="str">
        <x:v>Peptide-conjugated AuNC mechanics / optical characterization</x:v>
      </x:c>
      <x:c r="AF55" s="20" t="str">
        <x:v>Direct primary record: core 1.1 nm; apparent DLS ~3 nm; emission 660 nm at 498 nm excitation.</x:v>
      </x:c>
      <x:c r="AG55" s="20" t="str">
        <x:v>Nanomaterials 2021 Methods 2.6 + Results 3.3</x:v>
      </x:c>
      <x:c r="AH55" s="20" t="str">
        <x:v>https://doi.org/10.3390/nano11112932</x:v>
      </x:c>
      <x:c r="AI55" s="24" t="n">
        <x:f>ROUND(100*COUNTA(G55,J55,L55,R55,S55,T55,V55,X55,AA55,AC55)/10,0)</x:f>
        <x:v>50</x:v>
      </x:c>
      <x:c r="AJ55" s="20" t="str">
        <x:v>TRAIN_OPTICAL_SIZE</x:v>
      </x:c>
      <x:c r="AK55" s="20" t="str">
        <x:v>EXACT_FROM_PRIMARY_OPEN_ACCESS</x:v>
      </x:c>
      <x:c r="AL55" s="20" t="str">
        <x:v>Temperature not explicitly populated; do not infer room temperature into training.</x:v>
      </x:c>
      <x:c r="AM55" s="20" t="str">
        <x:v>2026-09-07</x:v>
      </x:c>
      <x:c r="AN55" s="20" t="str">
        <x:v>WEB_PRIMARY_OPEN_ACCESS</x:v>
      </x:c>
    </x:row>
    <x:row r="56" ht="19" customHeight="1">
      <x:c r="A56" s="20" t="str">
        <x:v>R053</x:v>
      </x:c>
      <x:c r="B56" s="20" t="str">
        <x:v>W22</x:v>
      </x:c>
      <x:c r="C56" s="20" t="str">
        <x:v>A2 DIRECT_PEPTIDE_NONPRECISE_AUNC</x:v>
      </x:c>
      <x:c r="D56" s="20" t="str">
        <x:v>DIRECT</x:v>
      </x:c>
      <x:c r="E56" s="20" t="str">
        <x:v>ultrasmall_AuNC_unknown_nuclearity</x:v>
      </x:c>
      <x:c r="F56" s="20" t="str">
        <x:v>Self-assembling PNF-AuNC peptide</x:v>
      </x:c>
      <x:c r="G56" s="20" t="str">
        <x:v>RGDAEAKAEAKCCYYCCAEAKAEAKRGD</x:v>
      </x:c>
      <x:c r="H56" s="20" t="str">
        <x:v>L</x:v>
      </x:c>
      <x:c r="I56" s="20" t="str">
        <x:v>Multidomain RGD + assembly + CCYYCC Au-forming motif</x:v>
      </x:c>
      <x:c r="J56" s="20"/>
      <x:c r="K56" s="20"/>
      <x:c r="L56" s="20" t="n">
        <x:v>1.8</x:v>
      </x:c>
      <x:c r="M56" s="20"/>
      <x:c r="N56" s="20" t="str">
        <x:v>Peptide-AuNC followed by self-assembled nanofiber enhancement</x:v>
      </x:c>
      <x:c r="O56" s="20" t="str">
        <x:v>HAuCl4</x:v>
      </x:c>
      <x:c r="P56" s="20" t="str">
        <x:v>Motif-designed peptide used as reducing/protecting/self-assembling scaffold; full reagent quantities remain to be SI-audited</x:v>
      </x:c>
      <x:c r="Q56" s="20" t="str">
        <x:v>CCY/CCYYCC biomimetic reduction + supramolecular assembly</x:v>
      </x:c>
      <x:c r="R56" s="20"/>
      <x:c r="S56" s="20"/>
      <x:c r="T56" s="20"/>
      <x:c r="U56" s="20" t="str">
        <x:v>Peptide-AuNC formation followed by controlled self-assembly into PNF-AuNC</x:v>
      </x:c>
      <x:c r="V56" s="20" t="n">
        <x:v>660</x:v>
      </x:c>
      <x:c r="W56" s="20" t="str">
        <x:v>λex 480 / λem 660</x:v>
      </x:c>
      <x:c r="X56" s="20" t="n">
        <x:v>21.3</x:v>
      </x:c>
      <x:c r="Y56" s="20"/>
      <x:c r="Z56" s="20"/>
      <x:c r="AA56" s="20"/>
      <x:c r="AB56" s="20"/>
      <x:c r="AC56" s="20"/>
      <x:c r="AD56" s="20"/>
      <x:c r="AE56" s="20" t="str">
        <x:v>Temperature sensing and cellular imaging</x:v>
      </x:c>
      <x:c r="AF56" s="20" t="str">
        <x:v>Peptide-AuNC core average 1.8±0.2 nm. Nanofiber self-assembly enhanced luminescence ~70-fold; PNF-AuNC QY 21.3±1.8%.</x:v>
      </x:c>
      <x:c r="AG56" s="20" t="str">
        <x:v>Bioconjugate Chemistry 2017 primary article</x:v>
      </x:c>
      <x:c r="AH56" s="20" t="str">
        <x:v>https://doi.org/10.1021/acs.bioconjchem.7b00312</x:v>
      </x:c>
      <x:c r="AI56" s="24" t="n">
        <x:f>ROUND(100*COUNTA(G56,J56,L56,R56,S56,T56,V56,X56,AA56,AC56)/10,0)</x:f>
        <x:v>40</x:v>
      </x:c>
      <x:c r="AJ56" s="20" t="str">
        <x:v>TRAIN_THERANOSTIC_OPTICAL</x:v>
      </x:c>
      <x:c r="AK56" s="20" t="str">
        <x:v>EXACT_SEQUENCE_PRIMARY; PARTIAL_SYNTHESIS</x:v>
      </x:c>
      <x:c r="AL56" s="20" t="str">
        <x:v>QY reflects assembled PNF-AuNC suprastructure, not isolated free AuNC; use assembly-state feature.</x:v>
      </x:c>
      <x:c r="AM56" s="20" t="str">
        <x:v>2026-09-07</x:v>
      </x:c>
      <x:c r="AN56" s="20" t="str">
        <x:v>WEB_PRIMARY</x:v>
      </x:c>
    </x:row>
    <x:row r="57" ht="19" customHeight="1">
      <x:c r="A57" s="20" t="str">
        <x:v>R054</x:v>
      </x:c>
      <x:c r="B57" s="20" t="str">
        <x:v>W22</x:v>
      </x:c>
      <x:c r="C57" s="20" t="str">
        <x:v>FORMATION_CONTROL</x:v>
      </x:c>
      <x:c r="D57" s="20" t="str">
        <x:v>DIRECT</x:v>
      </x:c>
      <x:c r="E57" s="20" t="str">
        <x:v>gold_nanoparticle_failure_control</x:v>
      </x:c>
      <x:c r="F57" s="20" t="str">
        <x:v>Pep II control</x:v>
      </x:c>
      <x:c r="G57" s="20" t="str">
        <x:v>RGDAEAKAEAKAEAKCCY</x:v>
      </x:c>
      <x:c r="H57" s="20" t="str">
        <x:v>L</x:v>
      </x:c>
      <x:c r="I57" s="20" t="str">
        <x:v>Shorter assembly/capping motif</x:v>
      </x:c>
      <x:c r="J57" s="20"/>
      <x:c r="K57" s="20"/>
      <x:c r="L57" s="20"/>
      <x:c r="M57" s="20"/>
      <x:c r="N57" s="20" t="str">
        <x:v>Predominantly Au nanoparticles; almost no fluorescence under same conditions</x:v>
      </x:c>
      <x:c r="O57" s="20" t="str">
        <x:v>HAuCl4</x:v>
      </x:c>
      <x:c r="P57" s="20" t="str">
        <x:v>Same synthesis conditions as W22 positive peptide</x:v>
      </x:c>
      <x:c r="Q57" s="20" t="str">
        <x:v>Peptide biomimetic reduction attempt</x:v>
      </x:c>
      <x:c r="R57" s="20"/>
      <x:c r="S57" s="20"/>
      <x:c r="T57" s="20"/>
      <x:c r="U57" s="20" t="str">
        <x:v>Same conditions as PNF-AuNC peptide</x:v>
      </x:c>
      <x:c r="V57" s="20"/>
      <x:c r="W57" s="20" t="str">
        <x:v>Almost no fluorescence</x:v>
      </x:c>
      <x:c r="X57" s="20"/>
      <x:c r="Y57" s="20"/>
      <x:c r="Z57" s="20"/>
      <x:c r="AA57" s="20"/>
      <x:c r="AB57" s="20"/>
      <x:c r="AC57" s="20"/>
      <x:c r="AD57" s="20"/>
      <x:c r="AE57" s="20" t="str">
        <x:v>Formation negative/control</x:v>
      </x:c>
      <x:c r="AF57" s="20" t="str">
        <x:v>Under the same conditions, Pep II produced almost no fluorescence and many Au nanoparticles by TEM. This is a rare explicit sequence-level negative/control for AuNC formation.</x:v>
      </x:c>
      <x:c r="AG57" s="20" t="str">
        <x:v>Bioconjugate Chemistry 2017 primary article</x:v>
      </x:c>
      <x:c r="AH57" s="20" t="str">
        <x:v>https://doi.org/10.1021/acs.bioconjchem.7b00312</x:v>
      </x:c>
      <x:c r="AI57" s="24" t="n">
        <x:f>ROUND(100*COUNTA(G57,J57,L57,R57,S57,T57,V57,X57,AA57,AC57)/10,0)</x:f>
        <x:v>10</x:v>
      </x:c>
      <x:c r="AJ57" s="20" t="str">
        <x:v>FORMATION_NEGATIVE</x:v>
      </x:c>
      <x:c r="AK57" s="20" t="str">
        <x:v>EXACT_FROM_PRIMARY</x:v>
      </x:c>
      <x:c r="AL57" s="20" t="str">
        <x:v>High-value negative, but one control is far from enough for a robust formation classifier.</x:v>
      </x:c>
      <x:c r="AM57" s="20" t="str">
        <x:v>2026-09-07</x:v>
      </x:c>
      <x:c r="AN57" s="20" t="str">
        <x:v>WEB_PRIMARY</x:v>
      </x:c>
    </x:row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</x:sheetData>
  <x:conditionalFormatting sqref="AJ4:AJ57">
    <x:cfRule type="expression" dxfId="9" priority="1">
      <x:formula>LEFT(AJ4,5)="TRAIN"</x:formula>
    </x:cfRule>
    <x:cfRule type="expression" dxfId="10" priority="2">
      <x:formula>AJ4="FORMATION_NEGATIVE"</x:formula>
    </x:cfRule>
  </x:conditionalFormatting>
  <x:conditionalFormatting sqref="AI4:AI57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a1ab9e0cdd1444c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8" hidden="0" customWidth="1"/>
    <x:col min="4" max="4" width="28" hidden="0" customWidth="1"/>
    <x:col min="5" max="5" width="26" hidden="0" customWidth="1"/>
    <x:col min="6" max="6" width="14" hidden="0" customWidth="1"/>
    <x:col min="7" max="7" width="13" hidden="0" customWidth="1"/>
    <x:col min="8" max="8" width="16" hidden="0" customWidth="1"/>
    <x:col min="9" max="9" width="9" hidden="0" customWidth="1"/>
    <x:col min="10" max="10" width="10" hidden="0" customWidth="1"/>
    <x:col min="11" max="11" width="10" hidden="0" customWidth="1"/>
    <x:col min="12" max="12" width="13" hidden="0" customWidth="1"/>
    <x:col min="13" max="13" width="12" hidden="0" customWidth="1"/>
    <x:col min="14" max="14" width="15" hidden="0" customWidth="1"/>
    <x:col min="15" max="15" width="28" hidden="0" customWidth="1"/>
    <x:col min="16" max="16" width="28" hidden="0" customWidth="1"/>
    <x:col min="17" max="17" width="18" hidden="0" customWidth="1"/>
    <x:col min="18" max="18" width="34" hidden="0" customWidth="1"/>
    <x:col min="19" max="19" width="20" hidden="0" customWidth="1"/>
    <x:col min="20" max="20" width="64" hidden="0" customWidth="1"/>
  </x:cols>
  <x:sheetData>
    <x:row r="1" ht="30" customHeight="1">
      <x:c r="A1" s="48" t="str">
        <x:v>PepAuDB v0.4 — Curated Exploratory Training View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</x:row>
    <x:row r="2" ht="19" customHeight="1"/>
    <x:row r="3" ht="34" customHeight="1">
      <x:c r="A3" s="53" t="str">
        <x:v>Record_ID</x:v>
      </x:c>
      <x:c r="B3" s="53" t="str">
        <x:v>Source_ID</x:v>
      </x:c>
      <x:c r="C3" s="53" t="str">
        <x:v>Sequence</x:v>
      </x:c>
      <x:c r="D3" s="53" t="str">
        <x:v>Material_Regime</x:v>
      </x:c>
      <x:c r="E3" s="53" t="str">
        <x:v>Eligibility</x:v>
      </x:c>
      <x:c r="F3" s="53" t="str">
        <x:v>Au_Nuclearity</x:v>
      </x:c>
      <x:c r="G3" s="53" t="str">
        <x:v>Core_Size_nm</x:v>
      </x:c>
      <x:c r="H3" s="53" t="str">
        <x:v>Hydrodynamic_Size_nm</x:v>
      </x:c>
      <x:c r="I3" s="53" t="str">
        <x:v>pH</x:v>
      </x:c>
      <x:c r="J3" s="53" t="str">
        <x:v>Temp_C</x:v>
      </x:c>
      <x:c r="K3" s="53" t="str">
        <x:v>Time_h</x:v>
      </x:c>
      <x:c r="L3" s="53" t="str">
        <x:v>Emission_nm</x:v>
      </x:c>
      <x:c r="M3" s="53" t="str">
        <x:v>PLQY_pct</x:v>
      </x:c>
      <x:c r="N3" s="53" t="str">
        <x:v>Paper_Group</x:v>
      </x:c>
      <x:c r="O3" s="53" t="str">
        <x:v>Sequence_Cluster</x:v>
      </x:c>
      <x:c r="P3" s="53" t="str">
        <x:v>Use_for_Targets</x:v>
      </x:c>
      <x:c r="Q3" s="53" t="str">
        <x:v>Metal_Composition</x:v>
      </x:c>
      <x:c r="R3" s="53" t="str">
        <x:v>Product_Process_State</x:v>
      </x:c>
      <x:c r="S3" s="53" t="str">
        <x:v>Assembly_State</x:v>
      </x:c>
      <x:c r="T3" s="53" t="str">
        <x:v>Critical_Validation_Note</x:v>
      </x:c>
    </x:row>
    <x:row r="4" ht="19" customHeight="1">
      <x:c r="A4" s="20" t="str">
        <x:v>R015</x:v>
      </x:c>
      <x:c r="B4" s="20" t="str">
        <x:v>S10</x:v>
      </x:c>
      <x:c r="C4" s="20" t="str">
        <x:v>ECG</x:v>
      </x:c>
      <x:c r="D4" s="20" t="str">
        <x:v>atomically_precise_AuNC</x:v>
      </x:c>
      <x:c r="E4" s="20" t="str">
        <x:v>TRAIN_CORE</x:v>
      </x:c>
      <x:c r="F4" s="20" t="n">
        <x:v>22</x:v>
      </x:c>
      <x:c r="G4" s="20" t="n">
        <x:v>1.5</x:v>
      </x:c>
      <x:c r="H4" s="20"/>
      <x:c r="I4" s="20" t="n">
        <x:v>12</x:v>
      </x:c>
      <x:c r="J4" s="20" t="n">
        <x:v>25</x:v>
      </x:c>
      <x:c r="K4" s="20" t="n">
        <x:v>8.5</x:v>
      </x:c>
      <x:c r="L4" s="20" t="n">
        <x:v>925</x:v>
      </x:c>
      <x:c r="M4" s="20" t="n">
        <x:v>0.16</x:v>
      </x:c>
      <x:c r="N4" s="20" t="str">
        <x:v>S10</x:v>
      </x:c>
      <x:c r="O4" s="20" t="str">
        <x:v>GSH_ATOMIC_FAMILY</x:v>
      </x:c>
      <x:c r="P4" s="20" t="str">
        <x:v>nuclearity,size,emission,QY</x:v>
      </x:c>
      <x:c r="Q4" s="20" t="str">
        <x:v>pure_Au</x:v>
      </x:c>
      <x:c r="R4" s="20" t="str">
        <x:v>standard_atomic_product</x:v>
      </x:c>
      <x:c r="S4" s="20" t="str">
        <x:v>dispersed</x:v>
      </x:c>
      <x:c r="T4" s="20" t="str">
        <x:v>Same paper/family as R016; never split across train/test.</x:v>
      </x:c>
    </x:row>
    <x:row r="5" ht="19" customHeight="1">
      <x:c r="A5" s="20" t="str">
        <x:v>R016</x:v>
      </x:c>
      <x:c r="B5" s="20" t="str">
        <x:v>S10</x:v>
      </x:c>
      <x:c r="C5" s="20" t="str">
        <x:v>ECG</x:v>
      </x:c>
      <x:c r="D5" s="20" t="str">
        <x:v>atomically_precise_AuNC</x:v>
      </x:c>
      <x:c r="E5" s="20" t="str">
        <x:v>TRAIN_CORE</x:v>
      </x:c>
      <x:c r="F5" s="20" t="n">
        <x:v>21</x:v>
      </x:c>
      <x:c r="G5" s="20" t="n">
        <x:v>1.5</x:v>
      </x:c>
      <x:c r="H5" s="20"/>
      <x:c r="I5" s="20" t="n">
        <x:v>12</x:v>
      </x:c>
      <x:c r="J5" s="20" t="n">
        <x:v>25</x:v>
      </x:c>
      <x:c r="K5" s="20" t="n">
        <x:v>8.5</x:v>
      </x:c>
      <x:c r="L5" s="20" t="n">
        <x:v>925</x:v>
      </x:c>
      <x:c r="M5" s="20" t="n">
        <x:v>0.16</x:v>
      </x:c>
      <x:c r="N5" s="20" t="str">
        <x:v>S10</x:v>
      </x:c>
      <x:c r="O5" s="20" t="str">
        <x:v>GSH_ATOMIC_FAMILY</x:v>
      </x:c>
      <x:c r="P5" s="20" t="str">
        <x:v>nuclearity,size,emission,QY</x:v>
      </x:c>
      <x:c r="Q5" s="20" t="str">
        <x:v>AuCu</x:v>
      </x:c>
      <x:c r="R5" s="20" t="str">
        <x:v>standard_atomic_product</x:v>
      </x:c>
      <x:c r="S5" s="20" t="str">
        <x:v>dispersed</x:v>
      </x:c>
      <x:c r="T5" s="20" t="str">
        <x:v>Cu-doped variant; metal composition must be explicit.</x:v>
      </x:c>
    </x:row>
    <x:row r="6" ht="19" customHeight="1">
      <x:c r="A6" s="20" t="str">
        <x:v>R026</x:v>
      </x:c>
      <x:c r="B6" s="20" t="str">
        <x:v>W03</x:v>
      </x:c>
      <x:c r="C6" s="20" t="str">
        <x:v>CCYLQLQAEER</x:v>
      </x:c>
      <x:c r="D6" s="20" t="str">
        <x:v>atomically_precise_AuNC</x:v>
      </x:c>
      <x:c r="E6" s="20" t="str">
        <x:v>TRAIN_CORE</x:v>
      </x:c>
      <x:c r="F6" s="20" t="n">
        <x:v>21</x:v>
      </x:c>
      <x:c r="G6" s="20" t="n">
        <x:v>2</x:v>
      </x:c>
      <x:c r="H6" s="20"/>
      <x:c r="I6" s="20" t="n">
        <x:v>11.5</x:v>
      </x:c>
      <x:c r="J6" s="20" t="n">
        <x:v>25</x:v>
      </x:c>
      <x:c r="K6" s="20" t="n">
        <x:v>18</x:v>
      </x:c>
      <x:c r="L6" s="20" t="n">
        <x:v>640</x:v>
      </x:c>
      <x:c r="M6" s="20" t="n">
        <x:v>2.86</x:v>
      </x:c>
      <x:c r="N6" s="20" t="str">
        <x:v>W03</x:v>
      </x:c>
      <x:c r="O6" s="20" t="str">
        <x:v>CCYJNP5_FAMILY</x:v>
      </x:c>
      <x:c r="P6" s="20" t="str">
        <x:v>nuclearity,size,emission,QY</x:v>
      </x:c>
      <x:c r="Q6" s="20" t="str">
        <x:v>pure_Au</x:v>
      </x:c>
      <x:c r="R6" s="20" t="str">
        <x:v>standard_product</x:v>
      </x:c>
      <x:c r="S6" s="20" t="str">
        <x:v>dispersed</x:v>
      </x:c>
      <x:c r="T6" s="20" t="str">
        <x:v>High-value atomic record; entire paper is one validation group.</x:v>
      </x:c>
    </x:row>
    <x:row r="7" ht="19" customHeight="1">
      <x:c r="A7" s="20" t="str">
        <x:v>R028</x:v>
      </x:c>
      <x:c r="B7" s="20" t="str">
        <x:v>W05</x:v>
      </x:c>
      <x:c r="C7" s="20" t="str">
        <x:v>CCYGGPKKKRKPG</x:v>
      </x:c>
      <x:c r="D7" s="20" t="str">
        <x:v>atomically_precise_AuNC</x:v>
      </x:c>
      <x:c r="E7" s="20" t="str">
        <x:v>TRAIN_STRUCTURE_ONLY</x:v>
      </x:c>
      <x:c r="F7" s="20" t="n">
        <x:v>25</x:v>
      </x:c>
      <x:c r="G7" s="20"/>
      <x:c r="H7" s="20"/>
      <x:c r="I7" s="20" t="n">
        <x:v>10</x:v>
      </x:c>
      <x:c r="J7" s="20"/>
      <x:c r="K7" s="20" t="n">
        <x:v>15</x:v>
      </x:c>
      <x:c r="L7" s="20" t="n">
        <x:v>645</x:v>
      </x:c>
      <x:c r="M7" s="20"/>
      <x:c r="N7" s="20" t="str">
        <x:v>W05</x:v>
      </x:c>
      <x:c r="O7" s="20" t="str">
        <x:v>SV_POLYBASIC_FAMILY</x:v>
      </x:c>
      <x:c r="P7" s="20" t="str">
        <x:v>nuclearity,emission</x:v>
      </x:c>
      <x:c r="Q7" s="20" t="str">
        <x:v>pure_Au</x:v>
      </x:c>
      <x:c r="R7" s="20" t="str">
        <x:v>standard_product</x:v>
      </x:c>
      <x:c r="S7" s="20" t="str">
        <x:v>dispersed</x:v>
      </x:c>
      <x:c r="T7" s="20" t="str">
        <x:v>Synthesis quantities incomplete; no condition-model use.</x:v>
      </x:c>
    </x:row>
    <x:row r="8" ht="19" customHeight="1">
      <x:c r="A8" s="20" t="str">
        <x:v>R029</x:v>
      </x:c>
      <x:c r="B8" s="20" t="str">
        <x:v>W06</x:v>
      </x:c>
      <x:c r="C8" s="20" t="str">
        <x:v>DGEAGC</x:v>
      </x:c>
      <x:c r="D8" s="20" t="str">
        <x:v>ultrasmall_AuNC_unknown_nuclearity</x:v>
      </x:c>
      <x:c r="E8" s="20" t="str">
        <x:v>TRAIN_OPTICAL_SIZE</x:v>
      </x:c>
      <x:c r="F8" s="20"/>
      <x:c r="G8" s="20" t="n">
        <x:v>1.3</x:v>
      </x:c>
      <x:c r="H8" s="20"/>
      <x:c r="I8" s="20"/>
      <x:c r="J8" s="20" t="n">
        <x:v>70</x:v>
      </x:c>
      <x:c r="K8" s="20" t="n">
        <x:v>2</x:v>
      </x:c>
      <x:c r="L8" s="20" t="n">
        <x:v>600</x:v>
      </x:c>
      <x:c r="M8" s="20"/>
      <x:c r="N8" s="20" t="str">
        <x:v>W06</x:v>
      </x:c>
      <x:c r="O8" s="20" t="str">
        <x:v>DGEAGC_FAMILY</x:v>
      </x:c>
      <x:c r="P8" s="20" t="str">
        <x:v>size,emission</x:v>
      </x:c>
      <x:c r="Q8" s="20" t="str">
        <x:v>pure_Au</x:v>
      </x:c>
      <x:c r="R8" s="20" t="str">
        <x:v>standard_product</x:v>
      </x:c>
      <x:c r="S8" s="20" t="str">
        <x:v>dispersed</x:v>
      </x:c>
      <x:c r="T8" s="20" t="str">
        <x:v>Methods sequence used; article typo retained in QC.</x:v>
      </x:c>
    </x:row>
    <x:row r="9" ht="19" customHeight="1">
      <x:c r="A9" s="20" t="str">
        <x:v>R034</x:v>
      </x:c>
      <x:c r="B9" s="20" t="str">
        <x:v>W17</x:v>
      </x:c>
      <x:c r="C9" s="20" t="str">
        <x:v>YCY</x:v>
      </x:c>
      <x:c r="D9" s="20" t="str">
        <x:v>ultrasmall_AuNC_unknown_nuclearity</x:v>
      </x:c>
      <x:c r="E9" s="20" t="str">
        <x:v>TRAIN_OPTICAL_SIZE</x:v>
      </x:c>
      <x:c r="F9" s="20"/>
      <x:c r="G9" s="20" t="n">
        <x:v>1.8</x:v>
      </x:c>
      <x:c r="H9" s="20"/>
      <x:c r="I9" s="20" t="n">
        <x:v>10</x:v>
      </x:c>
      <x:c r="J9" s="20" t="n">
        <x:v>70</x:v>
      </x:c>
      <x:c r="K9" s="20" t="n">
        <x:v>8.25</x:v>
      </x:c>
      <x:c r="L9" s="20" t="n">
        <x:v>415</x:v>
      </x:c>
      <x:c r="M9" s="20" t="n">
        <x:v>1.2</x:v>
      </x:c>
      <x:c r="N9" s="20" t="str">
        <x:v>W17</x:v>
      </x:c>
      <x:c r="O9" s="20" t="str">
        <x:v>TRIPEPTIDE_YCY_SCY</x:v>
      </x:c>
      <x:c r="P9" s="20" t="str">
        <x:v>size,emission,QY</x:v>
      </x:c>
      <x:c r="Q9" s="20" t="str">
        <x:v>pure_Au</x:v>
      </x:c>
      <x:c r="R9" s="20" t="str">
        <x:v>supernatant_blue_fraction</x:v>
      </x:c>
      <x:c r="S9" s="20" t="str">
        <x:v>fractionated</x:v>
      </x:c>
      <x:c r="T9" s="20" t="str">
        <x:v>Same paper/batch family as R035-R036.</x:v>
      </x:c>
    </x:row>
    <x:row r="10" ht="19" customHeight="1">
      <x:c r="A10" s="20" t="str">
        <x:v>R035</x:v>
      </x:c>
      <x:c r="B10" s="20" t="str">
        <x:v>W17</x:v>
      </x:c>
      <x:c r="C10" s="20" t="str">
        <x:v>SCY</x:v>
      </x:c>
      <x:c r="D10" s="20" t="str">
        <x:v>ultrasmall_AuNC_unknown_nuclearity</x:v>
      </x:c>
      <x:c r="E10" s="20" t="str">
        <x:v>TRAIN_OPTICAL_SIZE</x:v>
      </x:c>
      <x:c r="F10" s="20"/>
      <x:c r="G10" s="20" t="n">
        <x:v>1.7</x:v>
      </x:c>
      <x:c r="H10" s="20"/>
      <x:c r="I10" s="20" t="n">
        <x:v>10</x:v>
      </x:c>
      <x:c r="J10" s="20" t="n">
        <x:v>70</x:v>
      </x:c>
      <x:c r="K10" s="20" t="n">
        <x:v>8.25</x:v>
      </x:c>
      <x:c r="L10" s="20" t="n">
        <x:v>415</x:v>
      </x:c>
      <x:c r="M10" s="20" t="n">
        <x:v>1.5</x:v>
      </x:c>
      <x:c r="N10" s="20" t="str">
        <x:v>W17</x:v>
      </x:c>
      <x:c r="O10" s="20" t="str">
        <x:v>TRIPEPTIDE_YCY_SCY</x:v>
      </x:c>
      <x:c r="P10" s="20" t="str">
        <x:v>size,emission,QY</x:v>
      </x:c>
      <x:c r="Q10" s="20" t="str">
        <x:v>pure_Au</x:v>
      </x:c>
      <x:c r="R10" s="20" t="str">
        <x:v>supernatant_blue_fraction</x:v>
      </x:c>
      <x:c r="S10" s="20" t="str">
        <x:v>fractionated</x:v>
      </x:c>
      <x:c r="T10" s="20" t="str">
        <x:v>Near-neighbor sequence to YCY; cluster together.</x:v>
      </x:c>
    </x:row>
    <x:row r="11" ht="19" customHeight="1">
      <x:c r="A11" s="20" t="str">
        <x:v>R036</x:v>
      </x:c>
      <x:c r="B11" s="20" t="str">
        <x:v>W17</x:v>
      </x:c>
      <x:c r="C11" s="20" t="str">
        <x:v>YCY</x:v>
      </x:c>
      <x:c r="D11" s="20" t="str">
        <x:v>ultrasmall_AuNC_unknown_nuclearity</x:v>
      </x:c>
      <x:c r="E11" s="20" t="str">
        <x:v>TRAIN_OPTICAL_SIZE</x:v>
      </x:c>
      <x:c r="F11" s="20"/>
      <x:c r="G11" s="20" t="n">
        <x:v>1.8</x:v>
      </x:c>
      <x:c r="H11" s="20"/>
      <x:c r="I11" s="20" t="n">
        <x:v>10</x:v>
      </x:c>
      <x:c r="J11" s="20" t="n">
        <x:v>70</x:v>
      </x:c>
      <x:c r="K11" s="20" t="n">
        <x:v>8.25</x:v>
      </x:c>
      <x:c r="L11" s="20" t="n">
        <x:v>670</x:v>
      </x:c>
      <x:c r="M11" s="20" t="n">
        <x:v>0.8</x:v>
      </x:c>
      <x:c r="N11" s="20" t="str">
        <x:v>W17</x:v>
      </x:c>
      <x:c r="O11" s="20" t="str">
        <x:v>TRIPEPTIDE_YCY_SCY</x:v>
      </x:c>
      <x:c r="P11" s="20" t="str">
        <x:v>size,emission,QY</x:v>
      </x:c>
      <x:c r="Q11" s="20" t="str">
        <x:v>pure_Au</x:v>
      </x:c>
      <x:c r="R11" s="20" t="str">
        <x:v>precipitate_red_fraction_recovered</x:v>
      </x:c>
      <x:c r="S11" s="20" t="str">
        <x:v>fractionated</x:v>
      </x:c>
      <x:c r="T11" s="20" t="str">
        <x:v>Same sequence as R034 but different isolated fraction; never random-split.</x:v>
      </x:c>
    </x:row>
    <x:row r="12" ht="19" customHeight="1">
      <x:c r="A12" s="20" t="str">
        <x:v>R037</x:v>
      </x:c>
      <x:c r="B12" s="20" t="str">
        <x:v>W15</x:v>
      </x:c>
      <x:c r="C12" s="20" t="str">
        <x:v>CCYLRRASLG</x:v>
      </x:c>
      <x:c r="D12" s="20" t="str">
        <x:v>ultrasmall_AuNC_unknown_nuclearity</x:v>
      </x:c>
      <x:c r="E12" s="20" t="str">
        <x:v>TRAIN_OPTICAL_QY</x:v>
      </x:c>
      <x:c r="F12" s="20"/>
      <x:c r="G12" s="20"/>
      <x:c r="H12" s="20"/>
      <x:c r="I12" s="20" t="n">
        <x:v>9</x:v>
      </x:c>
      <x:c r="J12" s="20"/>
      <x:c r="K12" s="20" t="n">
        <x:v>13</x:v>
      </x:c>
      <x:c r="L12" s="20"/>
      <x:c r="M12" s="20" t="n">
        <x:v>14.6</x:v>
      </x:c>
      <x:c r="N12" s="20" t="str">
        <x:v>W15</x:v>
      </x:c>
      <x:c r="O12" s="20" t="str">
        <x:v>CCY_PKA_SUBSTRATE</x:v>
      </x:c>
      <x:c r="P12" s="20" t="str">
        <x:v>QY</x:v>
      </x:c>
      <x:c r="Q12" s="20" t="str">
        <x:v>pure_Au</x:v>
      </x:c>
      <x:c r="R12" s="20" t="str">
        <x:v>standard_product</x:v>
      </x:c>
      <x:c r="S12" s="20" t="str">
        <x:v>dispersed</x:v>
      </x:c>
      <x:c r="T12" s="20" t="str">
        <x:v>QY/synthesis SI-grounded; emission withheld pending reconciliation.</x:v>
      </x:c>
    </x:row>
    <x:row r="13" ht="19" customHeight="1">
      <x:c r="A13" s="20" t="str">
        <x:v>R047</x:v>
      </x:c>
      <x:c r="B13" s="20" t="str">
        <x:v>W20</x:v>
      </x:c>
      <x:c r="C13" s="20" t="str">
        <x:v>ECE</x:v>
      </x:c>
      <x:c r="D13" s="20" t="str">
        <x:v>ultrasmall_AuNC_unknown_nuclearity</x:v>
      </x:c>
      <x:c r="E13" s="20" t="str">
        <x:v>TRAIN_OPTICAL_QY</x:v>
      </x:c>
      <x:c r="F13" s="20"/>
      <x:c r="G13" s="20"/>
      <x:c r="H13" s="20"/>
      <x:c r="I13" s="20"/>
      <x:c r="J13" s="20" t="n">
        <x:v>70</x:v>
      </x:c>
      <x:c r="K13" s="20" t="n">
        <x:v>8.25</x:v>
      </x:c>
      <x:c r="L13" s="20"/>
      <x:c r="M13" s="20" t="n">
        <x:v>7</x:v>
      </x:c>
      <x:c r="N13" s="20" t="str">
        <x:v>W20</x:v>
      </x:c>
      <x:c r="O13" s="20" t="str">
        <x:v>W20_ACIDIC_BASIC_PANEL</x:v>
      </x:c>
      <x:c r="P13" s="20" t="str">
        <x:v>QY</x:v>
      </x:c>
      <x:c r="Q13" s="20" t="str">
        <x:v>pure_Au</x:v>
      </x:c>
      <x:c r="R13" s="20" t="str">
        <x:v>standard_product</x:v>
      </x:c>
      <x:c r="S13" s="20" t="str">
        <x:v>dispersed</x:v>
      </x:c>
      <x:c r="T13" s="20" t="str">
        <x:v>Keep entire five-peptide panel in one paper group.</x:v>
      </x:c>
    </x:row>
    <x:row r="14" ht="19" customHeight="1">
      <x:c r="A14" s="20" t="str">
        <x:v>R048</x:v>
      </x:c>
      <x:c r="B14" s="20" t="str">
        <x:v>W20</x:v>
      </x:c>
      <x:c r="C14" s="20" t="str">
        <x:v>EECEE</x:v>
      </x:c>
      <x:c r="D14" s="20" t="str">
        <x:v>ultrasmall_AuNC_unknown_nuclearity</x:v>
      </x:c>
      <x:c r="E14" s="20" t="str">
        <x:v>TRAIN_OPTICAL_SIZE_QY</x:v>
      </x:c>
      <x:c r="F14" s="20"/>
      <x:c r="G14" s="20" t="n">
        <x:v>0.9</x:v>
      </x:c>
      <x:c r="H14" s="20" t="n">
        <x:v>1.1</x:v>
      </x:c>
      <x:c r="I14" s="20"/>
      <x:c r="J14" s="20" t="n">
        <x:v>70</x:v>
      </x:c>
      <x:c r="K14" s="20" t="n">
        <x:v>8.25</x:v>
      </x:c>
      <x:c r="L14" s="20" t="n">
        <x:v>740</x:v>
      </x:c>
      <x:c r="M14" s="20" t="n">
        <x:v>14</x:v>
      </x:c>
      <x:c r="N14" s="20" t="str">
        <x:v>W20</x:v>
      </x:c>
      <x:c r="O14" s="20" t="str">
        <x:v>W20_ACIDIC_BASIC_PANEL</x:v>
      </x:c>
      <x:c r="P14" s="20" t="str">
        <x:v>size,emission,QY</x:v>
      </x:c>
      <x:c r="Q14" s="20" t="str">
        <x:v>pure_Au</x:v>
      </x:c>
      <x:c r="R14" s="20" t="str">
        <x:v>standard_product</x:v>
      </x:c>
      <x:c r="S14" s="20" t="str">
        <x:v>dispersed</x:v>
      </x:c>
      <x:c r="T14" s="20" t="str">
        <x:v>MALDI Au25-like composition is not exact kernel proof.</x:v>
      </x:c>
    </x:row>
    <x:row r="15" ht="19" customHeight="1">
      <x:c r="A15" s="20" t="str">
        <x:v>R049</x:v>
      </x:c>
      <x:c r="B15" s="20" t="str">
        <x:v>W20</x:v>
      </x:c>
      <x:c r="C15" s="20" t="str">
        <x:v>EEECEEE</x:v>
      </x:c>
      <x:c r="D15" s="20" t="str">
        <x:v>ultrasmall_AuNC_unknown_nuclearity</x:v>
      </x:c>
      <x:c r="E15" s="20" t="str">
        <x:v>TRAIN_OPTICAL_QY</x:v>
      </x:c>
      <x:c r="F15" s="20"/>
      <x:c r="G15" s="20"/>
      <x:c r="H15" s="20"/>
      <x:c r="I15" s="20"/>
      <x:c r="J15" s="20" t="n">
        <x:v>70</x:v>
      </x:c>
      <x:c r="K15" s="20" t="n">
        <x:v>8.25</x:v>
      </x:c>
      <x:c r="L15" s="20"/>
      <x:c r="M15" s="20" t="n">
        <x:v>7</x:v>
      </x:c>
      <x:c r="N15" s="20" t="str">
        <x:v>W20</x:v>
      </x:c>
      <x:c r="O15" s="20" t="str">
        <x:v>W20_ACIDIC_BASIC_PANEL</x:v>
      </x:c>
      <x:c r="P15" s="20" t="str">
        <x:v>QY</x:v>
      </x:c>
      <x:c r="Q15" s="20" t="str">
        <x:v>pure_Au</x:v>
      </x:c>
      <x:c r="R15" s="20" t="str">
        <x:v>standard_product</x:v>
      </x:c>
      <x:c r="S15" s="20" t="str">
        <x:v>dispersed</x:v>
      </x:c>
      <x:c r="T15" s="20" t="str">
        <x:v>Same-paper panel.</x:v>
      </x:c>
    </x:row>
    <x:row r="16" ht="19" customHeight="1">
      <x:c r="A16" s="20" t="str">
        <x:v>R050</x:v>
      </x:c>
      <x:c r="B16" s="20" t="str">
        <x:v>W20</x:v>
      </x:c>
      <x:c r="C16" s="20" t="str">
        <x:v>GGCGG</x:v>
      </x:c>
      <x:c r="D16" s="20" t="str">
        <x:v>ultrasmall_AuNC_unknown_nuclearity</x:v>
      </x:c>
      <x:c r="E16" s="20" t="str">
        <x:v>TRAIN_OPTICAL_QY</x:v>
      </x:c>
      <x:c r="F16" s="20"/>
      <x:c r="G16" s="20"/>
      <x:c r="H16" s="20"/>
      <x:c r="I16" s="20"/>
      <x:c r="J16" s="20" t="n">
        <x:v>70</x:v>
      </x:c>
      <x:c r="K16" s="20" t="n">
        <x:v>8.25</x:v>
      </x:c>
      <x:c r="L16" s="20"/>
      <x:c r="M16" s="20" t="n">
        <x:v>5.6</x:v>
      </x:c>
      <x:c r="N16" s="20" t="str">
        <x:v>W20</x:v>
      </x:c>
      <x:c r="O16" s="20" t="str">
        <x:v>W20_ACIDIC_BASIC_PANEL</x:v>
      </x:c>
      <x:c r="P16" s="20" t="str">
        <x:v>QY</x:v>
      </x:c>
      <x:c r="Q16" s="20" t="str">
        <x:v>pure_Au</x:v>
      </x:c>
      <x:c r="R16" s="20" t="str">
        <x:v>standard_product</x:v>
      </x:c>
      <x:c r="S16" s="20" t="str">
        <x:v>dispersed</x:v>
      </x:c>
      <x:c r="T16" s="20" t="str">
        <x:v>Same-paper panel.</x:v>
      </x:c>
    </x:row>
    <x:row r="17" ht="19" customHeight="1">
      <x:c r="A17" s="20" t="str">
        <x:v>R051</x:v>
      </x:c>
      <x:c r="B17" s="20" t="str">
        <x:v>W20</x:v>
      </x:c>
      <x:c r="C17" s="20" t="str">
        <x:v>RRCRR</x:v>
      </x:c>
      <x:c r="D17" s="20" t="str">
        <x:v>ultrasmall_AuNC_unknown_nuclearity</x:v>
      </x:c>
      <x:c r="E17" s="20" t="str">
        <x:v>TRAIN_OPTICAL_QY</x:v>
      </x:c>
      <x:c r="F17" s="20"/>
      <x:c r="G17" s="20"/>
      <x:c r="H17" s="20"/>
      <x:c r="I17" s="20"/>
      <x:c r="J17" s="20" t="n">
        <x:v>70</x:v>
      </x:c>
      <x:c r="K17" s="20" t="n">
        <x:v>8.25</x:v>
      </x:c>
      <x:c r="L17" s="20"/>
      <x:c r="M17" s="20" t="n">
        <x:v>1.8</x:v>
      </x:c>
      <x:c r="N17" s="20" t="str">
        <x:v>W20</x:v>
      </x:c>
      <x:c r="O17" s="20" t="str">
        <x:v>W20_ACIDIC_BASIC_PANEL</x:v>
      </x:c>
      <x:c r="P17" s="20" t="str">
        <x:v>QY</x:v>
      </x:c>
      <x:c r="Q17" s="20" t="str">
        <x:v>pure_Au</x:v>
      </x:c>
      <x:c r="R17" s="20" t="str">
        <x:v>standard_product</x:v>
      </x:c>
      <x:c r="S17" s="20" t="str">
        <x:v>dispersed</x:v>
      </x:c>
      <x:c r="T17" s="20" t="str">
        <x:v>Strong charge contrast vs acidic peptides.</x:v>
      </x:c>
    </x:row>
    <x:row r="18" ht="19" customHeight="1">
      <x:c r="A18" s="20" t="str">
        <x:v>R052</x:v>
      </x:c>
      <x:c r="B18" s="20" t="str">
        <x:v>W21</x:v>
      </x:c>
      <x:c r="C18" s="20" t="str">
        <x:v>CCYEAAAKEAAAKEAAAK</x:v>
      </x:c>
      <x:c r="D18" s="20" t="str">
        <x:v>ultrasmall_AuNC_unknown_nuclearity</x:v>
      </x:c>
      <x:c r="E18" s="20" t="str">
        <x:v>TRAIN_OPTICAL_SIZE</x:v>
      </x:c>
      <x:c r="F18" s="20"/>
      <x:c r="G18" s="20" t="n">
        <x:v>1.1</x:v>
      </x:c>
      <x:c r="H18" s="20" t="n">
        <x:v>3</x:v>
      </x:c>
      <x:c r="I18" s="20" t="n">
        <x:v>13</x:v>
      </x:c>
      <x:c r="J18" s="20"/>
      <x:c r="K18" s="20" t="n">
        <x:v>12</x:v>
      </x:c>
      <x:c r="L18" s="20" t="n">
        <x:v>660</x:v>
      </x:c>
      <x:c r="M18" s="20"/>
      <x:c r="N18" s="20" t="str">
        <x:v>W21</x:v>
      </x:c>
      <x:c r="O18" s="20" t="str">
        <x:v>CCY_EAAAK_FAMILY</x:v>
      </x:c>
      <x:c r="P18" s="20" t="str">
        <x:v>size,emission</x:v>
      </x:c>
      <x:c r="Q18" s="20" t="str">
        <x:v>pure_Au</x:v>
      </x:c>
      <x:c r="R18" s="20" t="str">
        <x:v>standard_product</x:v>
      </x:c>
      <x:c r="S18" s="20" t="str">
        <x:v>dispersed</x:v>
      </x:c>
      <x:c r="T18" s="20" t="str">
        <x:v>Temperature missing in primary text; left missing.</x:v>
      </x:c>
    </x:row>
    <x:row r="19" ht="19" customHeight="1">
      <x:c r="A19" s="20" t="str">
        <x:v>R053</x:v>
      </x:c>
      <x:c r="B19" s="20" t="str">
        <x:v>W22</x:v>
      </x:c>
      <x:c r="C19" s="20" t="str">
        <x:v>RGDAEAKAEAKCCYYCCAEAKAEAKRGD</x:v>
      </x:c>
      <x:c r="D19" s="20" t="str">
        <x:v>ultrasmall_AuNC_unknown_nuclearity</x:v>
      </x:c>
      <x:c r="E19" s="20" t="str">
        <x:v>TRAIN_THERANOSTIC_OPTICAL</x:v>
      </x:c>
      <x:c r="F19" s="20"/>
      <x:c r="G19" s="20" t="n">
        <x:v>1.8</x:v>
      </x:c>
      <x:c r="H19" s="20"/>
      <x:c r="I19" s="20"/>
      <x:c r="J19" s="20"/>
      <x:c r="K19" s="20"/>
      <x:c r="L19" s="20" t="n">
        <x:v>660</x:v>
      </x:c>
      <x:c r="M19" s="20" t="n">
        <x:v>21.3</x:v>
      </x:c>
      <x:c r="N19" s="20" t="str">
        <x:v>W22</x:v>
      </x:c>
      <x:c r="O19" s="20" t="str">
        <x:v>PNF_CCYYCC_FAMILY</x:v>
      </x:c>
      <x:c r="P19" s="20" t="str">
        <x:v>size,emission,QY</x:v>
      </x:c>
      <x:c r="Q19" s="20" t="str">
        <x:v>pure_Au</x:v>
      </x:c>
      <x:c r="R19" s="20" t="str">
        <x:v>self_assembled_nanofiber</x:v>
      </x:c>
      <x:c r="S19" s="20" t="str">
        <x:v>assembled</x:v>
      </x:c>
      <x:c r="T19" s="20" t="str">
        <x:v>QY belongs to assembled PNF-AuNC, so assembly-state must be a feature.</x:v>
      </x:c>
    </x:row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1dcd4f9586de4cc8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12" hidden="0" customWidth="1"/>
    <x:col min="8" max="8" width="30" hidden="0" customWidth="1"/>
    <x:col min="9" max="9" width="22" hidden="0" customWidth="1"/>
    <x:col min="10" max="10" width="42" hidden="0" customWidth="1"/>
    <x:col min="11" max="11" width="60" hidden="0" customWidth="1"/>
  </x:cols>
  <x:sheetData>
    <x:row r="1" ht="30" customHeight="1">
      <x:c r="A1" s="48" t="str">
        <x:v>Relative Photoluminescence Evidence — JACS 2018 Peptide-AuNC Panel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</x:row>
    <x:row r="2" ht="19" customHeight="1"/>
    <x:row r="3" ht="34" customHeight="1">
      <x:c r="A3" s="53" t="str">
        <x:v>Panel_ID</x:v>
      </x:c>
      <x:c r="B3" s="53" t="str">
        <x:v>Source_ID</x:v>
      </x:c>
      <x:c r="C3" s="53" t="str">
        <x:v>Sequence_A</x:v>
      </x:c>
      <x:c r="D3" s="53" t="str">
        <x:v>Sequence_B</x:v>
      </x:c>
      <x:c r="E3" s="53" t="str">
        <x:v>Comparison_Type</x:v>
      </x:c>
      <x:c r="F3" s="53" t="str">
        <x:v>Observed_Relationship</x:v>
      </x:c>
      <x:c r="G3" s="53" t="str">
        <x:v>Fold_Change</x:v>
      </x:c>
      <x:c r="H3" s="53" t="str">
        <x:v>Condition</x:v>
      </x:c>
      <x:c r="I3" s="53" t="str">
        <x:v>Training_Use</x:v>
      </x:c>
      <x:c r="J3" s="53" t="str">
        <x:v>DOI_URL</x:v>
      </x:c>
      <x:c r="K3" s="53" t="str">
        <x:v>Scientific_Note</x:v>
      </x:c>
    </x:row>
    <x:row r="4" ht="19" customHeight="1">
      <x:c r="A4" s="20" t="str">
        <x:v>PL001</x:v>
      </x:c>
      <x:c r="B4" s="20" t="str">
        <x:v>W23</x:v>
      </x:c>
      <x:c r="C4" s="20" t="str">
        <x:v>Ac-CGGGDD</x:v>
      </x:c>
      <x:c r="D4" s="20" t="str">
        <x:v>CGGGDD</x:v>
      </x:c>
      <x:c r="E4" s="20" t="str">
        <x:v>N-terminal acetylation</x:v>
      </x:c>
      <x:c r="F4" s="20" t="str">
        <x:v>Ac-CGGGDD brighter than CGGGDD</x:v>
      </x:c>
      <x:c r="G4" s="20" t="n">
        <x:v>1.38</x:v>
      </x:c>
      <x:c r="H4" s="20" t="str">
        <x:v>Same synthesis; λex 400 nm</x:v>
      </x:c>
      <x:c r="I4" s="20" t="str">
        <x:v>PAIRWISE_RANKING</x:v>
      </x:c>
      <x:c r="J4" s="20" t="str">
        <x:v>https://doi.org/10.1021/jacs.8b04436</x:v>
      </x:c>
      <x:c r="K4" s="20" t="str">
        <x:v>Relative intensity only; do not convert to absolute QY.</x:v>
      </x:c>
    </x:row>
    <x:row r="5" ht="19" customHeight="1">
      <x:c r="A5" s="20" t="str">
        <x:v>PL002</x:v>
      </x:c>
      <x:c r="B5" s="20" t="str">
        <x:v>W23</x:v>
      </x:c>
      <x:c r="C5" s="20" t="str">
        <x:v>Ac-CHGGDD</x:v>
      </x:c>
      <x:c r="D5" s="20" t="str">
        <x:v>CHGGDD</x:v>
      </x:c>
      <x:c r="E5" s="20" t="str">
        <x:v>N-terminal acetylation</x:v>
      </x:c>
      <x:c r="F5" s="20" t="str">
        <x:v>Ac-CHGGDD brighter than CHGGDD</x:v>
      </x:c>
      <x:c r="G5" s="20" t="n">
        <x:v>3.95</x:v>
      </x:c>
      <x:c r="H5" s="20" t="str">
        <x:v>Same synthesis; λex 400 nm</x:v>
      </x:c>
      <x:c r="I5" s="20" t="str">
        <x:v>PAIRWISE_RANKING</x:v>
      </x:c>
      <x:c r="J5" s="20" t="str">
        <x:v>https://doi.org/10.1021/jacs.8b04436</x:v>
      </x:c>
      <x:c r="K5" s="20" t="str">
        <x:v>Strong acetylation effect.</x:v>
      </x:c>
    </x:row>
    <x:row r="6" ht="19" customHeight="1">
      <x:c r="A6" s="20" t="str">
        <x:v>PL003</x:v>
      </x:c>
      <x:c r="B6" s="20" t="str">
        <x:v>W23</x:v>
      </x:c>
      <x:c r="C6" s="20" t="str">
        <x:v>Ac-CHYGDD</x:v>
      </x:c>
      <x:c r="D6" s="20" t="str">
        <x:v>CHYGDD</x:v>
      </x:c>
      <x:c r="E6" s="20" t="str">
        <x:v>N-terminal acetylation</x:v>
      </x:c>
      <x:c r="F6" s="20" t="str">
        <x:v>Ac-CHYGDD brighter than CHYGDD</x:v>
      </x:c>
      <x:c r="G6" s="20" t="n">
        <x:v>3.43</x:v>
      </x:c>
      <x:c r="H6" s="20" t="str">
        <x:v>Same synthesis; λex 400 nm</x:v>
      </x:c>
      <x:c r="I6" s="20" t="str">
        <x:v>PAIRWISE_RANKING</x:v>
      </x:c>
      <x:c r="J6" s="20" t="str">
        <x:v>https://doi.org/10.1021/jacs.8b04436</x:v>
      </x:c>
      <x:c r="K6" s="20" t="str">
        <x:v>CHYGDD representative emits near 700 nm.</x:v>
      </x:c>
    </x:row>
    <x:row r="7" ht="19" customHeight="1">
      <x:c r="A7" s="20" t="str">
        <x:v>PL004</x:v>
      </x:c>
      <x:c r="B7" s="20" t="str">
        <x:v>W23</x:v>
      </x:c>
      <x:c r="C7" s="20" t="str">
        <x:v>Ac-CYHGDD</x:v>
      </x:c>
      <x:c r="D7" s="20" t="str">
        <x:v>CYHGDD</x:v>
      </x:c>
      <x:c r="E7" s="20" t="str">
        <x:v>N-terminal acetylation</x:v>
      </x:c>
      <x:c r="F7" s="20" t="str">
        <x:v>Ac-CYHGDD brighter than CYHGDD</x:v>
      </x:c>
      <x:c r="G7" s="20" t="n">
        <x:v>2.57</x:v>
      </x:c>
      <x:c r="H7" s="20" t="str">
        <x:v>Same synthesis; λex 400 nm</x:v>
      </x:c>
      <x:c r="I7" s="20" t="str">
        <x:v>PAIRWISE_RANKING</x:v>
      </x:c>
      <x:c r="J7" s="20" t="str">
        <x:v>https://doi.org/10.1021/jacs.8b04436</x:v>
      </x:c>
      <x:c r="K7" s="20" t="str">
        <x:v>Acetylation changes ligand-core/water interactions.</x:v>
      </x:c>
    </x:row>
    <x:row r="8" ht="19" customHeight="1">
      <x:c r="A8" s="20" t="str">
        <x:v>PL005</x:v>
      </x:c>
      <x:c r="B8" s="20" t="str">
        <x:v>W23</x:v>
      </x:c>
      <x:c r="C8" s="20" t="str">
        <x:v>CYGGDD</x:v>
      </x:c>
      <x:c r="D8" s="20" t="str">
        <x:v>CGYGDD</x:v>
      </x:c>
      <x:c r="E8" s="20" t="str">
        <x:v>Tyrosine position</x:v>
      </x:c>
      <x:c r="F8" s="20" t="str">
        <x:v>CYGGDD brighter than CGYGDD</x:v>
      </x:c>
      <x:c r="G8" s="20"/>
      <x:c r="H8" s="20" t="str">
        <x:v>Same synthesis</x:v>
      </x:c>
      <x:c r="I8" s="20" t="str">
        <x:v>PAIRWISE_RANKING</x:v>
      </x:c>
      <x:c r="J8" s="20" t="str">
        <x:v>https://doi.org/10.1021/jacs.8b04436</x:v>
      </x:c>
      <x:c r="K8" s="20" t="str">
        <x:v>Closer Tyr to Cys/Au surface increases emission.</x:v>
      </x:c>
    </x:row>
    <x:row r="9" ht="19" customHeight="1">
      <x:c r="A9" s="20" t="str">
        <x:v>PL006</x:v>
      </x:c>
      <x:c r="B9" s="20" t="str">
        <x:v>W23</x:v>
      </x:c>
      <x:c r="C9" s="20" t="str">
        <x:v>CYYGDD</x:v>
      </x:c>
      <x:c r="D9" s="20" t="str">
        <x:v>CYGGDD</x:v>
      </x:c>
      <x:c r="E9" s="20" t="str">
        <x:v>Aromatic residue count</x:v>
      </x:c>
      <x:c r="F9" s="20" t="str">
        <x:v>CYYGDD brighter than CYGGDD</x:v>
      </x:c>
      <x:c r="G9" s="20"/>
      <x:c r="H9" s="20" t="str">
        <x:v>Same synthesis</x:v>
      </x:c>
      <x:c r="I9" s="20" t="str">
        <x:v>PAIRWISE_RANKING</x:v>
      </x:c>
      <x:c r="J9" s="20" t="str">
        <x:v>https://doi.org/10.1021/jacs.8b04436</x:v>
      </x:c>
      <x:c r="K9" s="20" t="str">
        <x:v>More aromatic electron-donating groups increased PL.</x:v>
      </x:c>
    </x:row>
    <x:row r="10" ht="19" customHeight="1">
      <x:c r="A10" s="20" t="str">
        <x:v>PL007</x:v>
      </x:c>
      <x:c r="B10" s="20" t="str">
        <x:v>W23</x:v>
      </x:c>
      <x:c r="C10" s="20" t="str">
        <x:v>CGGGDD@pH5.5</x:v>
      </x:c>
      <x:c r="D10" s="20" t="str">
        <x:v>CGGGDD@pH7.5</x:v>
      </x:c>
      <x:c r="E10" s="20" t="str">
        <x:v>pH</x:v>
      </x:c>
      <x:c r="F10" s="20" t="str">
        <x:v>Lower-pH sample brighter</x:v>
      </x:c>
      <x:c r="G10" s="20"/>
      <x:c r="H10" s="20" t="str">
        <x:v>Same peptide; pH 5.5 vs 7.5</x:v>
      </x:c>
      <x:c r="I10" s="20" t="str">
        <x:v>CONDITION_RANKING</x:v>
      </x:c>
      <x:c r="J10" s="20" t="str">
        <x:v>https://doi.org/10.1021/jacs.8b04436</x:v>
      </x:c>
      <x:c r="K10" s="20" t="str">
        <x:v>pH effect linked to N-terminal protonation.</x:v>
      </x:c>
    </x:row>
    <x:row r="11" ht="19" customHeight="1">
      <x:c r="A11" s="20" t="str">
        <x:v>PL008</x:v>
      </x:c>
      <x:c r="B11" s="20" t="str">
        <x:v>W23</x:v>
      </x:c>
      <x:c r="C11" s="20" t="str">
        <x:v>CHYGDD@pH5.5</x:v>
      </x:c>
      <x:c r="D11" s="20" t="str">
        <x:v>CHYGDD@pH7.5</x:v>
      </x:c>
      <x:c r="E11" s="20" t="str">
        <x:v>pH</x:v>
      </x:c>
      <x:c r="F11" s="20" t="str">
        <x:v>Lower-pH sample brighter</x:v>
      </x:c>
      <x:c r="G11" s="20"/>
      <x:c r="H11" s="20" t="str">
        <x:v>Same peptide; pH 5.5 vs 7.5</x:v>
      </x:c>
      <x:c r="I11" s="20" t="str">
        <x:v>CONDITION_RANKING</x:v>
      </x:c>
      <x:c r="J11" s="20" t="str">
        <x:v>https://doi.org/10.1021/jacs.8b04436</x:v>
      </x:c>
      <x:c r="K11" s="20" t="str">
        <x:v>Useful condition-aware ranking evidence.</x:v>
      </x:c>
    </x:row>
    <x:row r="12" ht="19" customHeight="1"/>
    <x:row r="13" ht="19" customHeight="1"/>
    <x:row r="14" ht="19" customHeight="1"/>
    <x:row r="15" ht="19" customHeight="1"/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3127bfea39d4bf7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8" hidden="0" customWidth="1"/>
    <x:col min="4" max="4" width="18" hidden="0" customWidth="1"/>
    <x:col min="5" max="5" width="20" hidden="0" customWidth="1"/>
    <x:col min="6" max="6" width="30" hidden="0" customWidth="1"/>
    <x:col min="7" max="7" width="42" hidden="0" customWidth="1"/>
    <x:col min="8" max="8" width="24" hidden="0" customWidth="1"/>
    <x:col min="9" max="9" width="24" hidden="0" customWidth="1"/>
    <x:col min="10" max="10" width="42" hidden="0" customWidth="1"/>
  </x:cols>
  <x:sheetData>
    <x:row r="1" ht="30" customHeight="1">
      <x:c r="A1" s="48" t="str">
        <x:v>Explicit Formation / Failure Controls — v0.4</x:v>
      </x:c>
      <x:c r="B1" s="48"/>
      <x:c r="C1" s="48"/>
      <x:c r="D1" s="48"/>
      <x:c r="E1" s="48"/>
      <x:c r="F1" s="48"/>
      <x:c r="G1" s="48"/>
      <x:c r="H1" s="48"/>
      <x:c r="I1" s="48"/>
      <x:c r="J1" s="48"/>
    </x:row>
    <x:row r="2" ht="19" customHeight="1"/>
    <x:row r="3" ht="34" customHeight="1">
      <x:c r="A3" s="53" t="str">
        <x:v>Control_ID</x:v>
      </x:c>
      <x:c r="B3" s="53" t="str">
        <x:v>Source_ID</x:v>
      </x:c>
      <x:c r="C3" s="53" t="str">
        <x:v>Sequence</x:v>
      </x:c>
      <x:c r="D3" s="53" t="str">
        <x:v>Outcome</x:v>
      </x:c>
      <x:c r="E3" s="53" t="str">
        <x:v>Fluorescence</x:v>
      </x:c>
      <x:c r="F3" s="53" t="str">
        <x:v>Material_Observed</x:v>
      </x:c>
      <x:c r="G3" s="53" t="str">
        <x:v>Matched_Positive</x:v>
      </x:c>
      <x:c r="H3" s="53" t="str">
        <x:v>Conditions_Matched</x:v>
      </x:c>
      <x:c r="I3" s="53" t="str">
        <x:v>Training_Status</x:v>
      </x:c>
      <x:c r="J3" s="53" t="str">
        <x:v>DOI_URL</x:v>
      </x:c>
    </x:row>
    <x:row r="4" ht="19" customHeight="1">
      <x:c r="A4" t="str">
        <x:v>F001</x:v>
      </x:c>
      <x:c r="B4" t="str">
        <x:v>W22</x:v>
      </x:c>
      <x:c r="C4" t="str">
        <x:v>RGDAEAKAEAKAEAKCCY</x:v>
      </x:c>
      <x:c r="D4" t="str">
        <x:v>FAIL_AUNC</x:v>
      </x:c>
      <x:c r="E4" t="str">
        <x:v>Almost none</x:v>
      </x:c>
      <x:c r="F4" t="str">
        <x:v>Many Au nanoparticles by TEM</x:v>
      </x:c>
      <x:c r="G4" t="str">
        <x:v>RGDAEAKAEAKCCYYCCAEAKAEAKRGD</x:v>
      </x:c>
      <x:c r="H4" t="str">
        <x:v>YES — reported same conditions</x:v>
      </x:c>
      <x:c r="I4" t="str">
        <x:v>FORMATION_NEGATIVE</x:v>
      </x:c>
      <x:c r="J4" t="str">
        <x:v>https://doi.org/10.1021/acs.bioconjchem.7b00312</x:v>
      </x:c>
    </x:row>
    <x:row r="5" ht="19" customHeight="1"/>
    <x:row r="6" ht="19" customHeight="1"/>
    <x:row r="7" ht="19" customHeight="1"/>
    <x:row r="8" ht="19" customHeight="1"/>
    <x:row r="9" ht="19" customHeight="1"/>
    <x:row r="10" ht="19" customHeight="1"/>
    <x:row r="11" ht="19" customHeight="1"/>
    <x:row r="12" ht="19" customHeight="1"/>
    <x:row r="13" ht="19" customHeight="1"/>
    <x:row r="14" ht="19" customHeight="1"/>
    <x:row r="15" ht="19" customHeight="1"/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</x:sheetData>
  <x:mergeCells>
    <x:mergeCell ref="A1:J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70" hidden="0" customWidth="1"/>
    <x:col min="4" max="4" width="34" hidden="0" customWidth="1"/>
    <x:col min="5" max="5" width="44" hidden="0" customWidth="1"/>
    <x:col min="6" max="6" width="58" hidden="0" customWidth="1"/>
    <x:col min="7" max="7" width="72" hidden="0" customWidth="1"/>
    <x:col min="8" max="8" width="18" hidden="0" customWidth="1"/>
    <x:col min="9" max="9" width="48" hidden="0" customWidth="1"/>
    <x:col min="10" max="10" width="54" hidden="0" customWidth="1"/>
    <x:col min="11" max="11" width="28" hidden="0" customWidth="1"/>
    <x:col min="12" max="12" width="52" hidden="0" customWidth="1"/>
  </x:cols>
  <x:sheetData>
    <x:row r="1" ht="30" customHeight="1">
      <x:c r="A1" s="48" t="str">
        <x:v>PepAuDB v0.4 — Newly Verified Primary Literature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</x:row>
    <x:row r="2" ht="19" customHeight="1"/>
    <x:row r="3" ht="34" customHeight="1">
      <x:c r="A3" s="53" t="str">
        <x:v>Source_ID</x:v>
      </x:c>
      <x:c r="B3" s="53" t="str">
        <x:v>Year</x:v>
      </x:c>
      <x:c r="C3" s="53" t="str">
        <x:v>Paper</x:v>
      </x:c>
      <x:c r="D3" s="53" t="str">
        <x:v>Journal</x:v>
      </x:c>
      <x:c r="E3" s="53" t="str">
        <x:v>DOI_URL</x:v>
      </x:c>
      <x:c r="F3" s="53" t="str">
        <x:v>Key_Sequences</x:v>
      </x:c>
      <x:c r="G3" s="53" t="str">
        <x:v>Primary_Quantitative_Data</x:v>
      </x:c>
      <x:c r="H3" s="53" t="str">
        <x:v>New_Rows</x:v>
      </x:c>
      <x:c r="I3" s="53" t="str">
        <x:v>Model_Value</x:v>
      </x:c>
      <x:c r="J3" s="53" t="str">
        <x:v>Caveat</x:v>
      </x:c>
      <x:c r="K3" s="53" t="str">
        <x:v>Acquisition_Status</x:v>
      </x:c>
      <x:c r="L3" s="53" t="str">
        <x:v>Web_Source</x:v>
      </x:c>
    </x:row>
    <x:row r="4" ht="19" customHeight="1">
      <x:c r="A4" s="20" t="str">
        <x:v>W20</x:v>
      </x:c>
      <x:c r="B4" s="20" t="n">
        <x:v>2024</x:v>
      </x:c>
      <x:c r="C4" s="20" t="str">
        <x:v>Peptide-Directed Synthesis of Aggregation-Induced Emission Enhancement-Active Gold Nanoclusters for Single- and Two-Photon Imaging of Lysosome and Expressed αvβ3 Integrin Receptors</x:v>
      </x:c>
      <x:c r="D4" s="20" t="str">
        <x:v>Analytical Chemistry</x:v>
      </x:c>
      <x:c r="E4" s="20" t="str">
        <x:v>https://doi.org/10.1021/acs.analchem.4c00321</x:v>
      </x:c>
      <x:c r="F4" s="20" t="str">
        <x:v>ECE; EECEE; EEECEEE; GGCGG; RRCRR</x:v>
      </x:c>
      <x:c r="G4" s="20" t="str">
        <x:v>QY 7.0/14/7.0/5.6/1.8%; common synthesis; EECEE core 0.9±0.2 nm, DLS 1.1±0.2 nm, emission 740 nm</x:v>
      </x:c>
      <x:c r="H4" s="20" t="str">
        <x:v>R047–R051</x:v>
      </x:c>
      <x:c r="I4" s="20" t="str">
        <x:v>Major controlled sequence→QY panel</x:v>
      </x:c>
      <x:c r="J4" s="20" t="str">
        <x:v>Exact Au kernel nuclearity is not proven by MALDI composition assignment</x:v>
      </x:c>
      <x:c r="K4" s="20" t="str">
        <x:v>ACQUIRED OPEN ACCESS</x:v>
      </x:c>
      <x:c r="L4" s="20" t="str">
        <x:v>https://pmc.ncbi.nlm.nih.gov/articles/PMC11154667/</x:v>
      </x:c>
    </x:row>
    <x:row r="5" ht="19" customHeight="1">
      <x:c r="A5" s="20" t="str">
        <x:v>W21</x:v>
      </x:c>
      <x:c r="B5" s="20" t="n">
        <x:v>2021</x:v>
      </x:c>
      <x:c r="C5" s="20" t="str">
        <x:v>Facile Synthesis of Peptide-Conjugated Gold Nanoclusters with Different Lengths</x:v>
      </x:c>
      <x:c r="D5" s="20" t="str">
        <x:v>Nanomaterials</x:v>
      </x:c>
      <x:c r="E5" s="20" t="str">
        <x:v>https://doi.org/10.3390/nano11112932</x:v>
      </x:c>
      <x:c r="F5" s="20" t="str">
        <x:v>CCY(EAAAK)3 = CCYEAAAKEAAAKEAAAK</x:v>
      </x:c>
      <x:c r="G5" s="20" t="str">
        <x:v>pH 13; 12 h; 1.1 nm core; ~3 nm DLS; λex 498 / λem 660</x:v>
      </x:c>
      <x:c r="H5" s="20" t="str">
        <x:v>R052</x:v>
      </x:c>
      <x:c r="I5" s="20" t="str">
        <x:v>Adds independent size/emission sequence family</x:v>
      </x:c>
      <x:c r="J5" s="20" t="str">
        <x:v>Temperature not explicitly entered; no guessing</x:v>
      </x:c>
      <x:c r="K5" s="20" t="str">
        <x:v>ACQUIRED OPEN ACCESS</x:v>
      </x:c>
      <x:c r="L5" s="20" t="str">
        <x:v>https://www.mdpi.com/2079-4991/11/11/2932</x:v>
      </x:c>
    </x:row>
    <x:row r="6" ht="19" customHeight="1">
      <x:c r="A6" s="20" t="str">
        <x:v>W22</x:v>
      </x:c>
      <x:c r="B6" s="20" t="n">
        <x:v>2017</x:v>
      </x:c>
      <x:c r="C6" s="20" t="str">
        <x:v>Supramolecular Self-Assembly Bioinspired Synthesis of Luminescent Gold Nanocluster-Embedded Peptide Nanofibers for Temperature Sensing and Cellular Imaging</x:v>
      </x:c>
      <x:c r="D6" s="20" t="str">
        <x:v>Bioconjugate Chemistry</x:v>
      </x:c>
      <x:c r="E6" s="20" t="str">
        <x:v>https://doi.org/10.1021/acs.bioconjchem.7b00312</x:v>
      </x:c>
      <x:c r="F6" s="20" t="str">
        <x:v>RGDAEAKAEAKCCYYCCAEAKAEAKRGD; RGDAEAKAEAKAEAKCCY</x:v>
      </x:c>
      <x:c r="G6" s="20" t="str">
        <x:v>Positive: 1.8±0.2 nm, 660 nm, assembled QY 21.3±1.8%; negative control gives almost no fluorescence and many AuNPs</x:v>
      </x:c>
      <x:c r="H6" s="20" t="str">
        <x:v>R053–R054</x:v>
      </x:c>
      <x:c r="I6" s="20" t="str">
        <x:v>Adds rare explicit sequence-level formation negative/control</x:v>
      </x:c>
      <x:c r="J6" s="20" t="str">
        <x:v>QY is for assembled PNF-AuNC suprastructure</x:v>
      </x:c>
      <x:c r="K6" s="20" t="str">
        <x:v>PRIMARY ARTICLE VERIFIED; SI quantities still useful</x:v>
      </x:c>
      <x:c r="L6" s="20" t="str">
        <x:v>https://pubs.acs.org/doi/10.1021/acs.bioconjchem.7b00312</x:v>
      </x:c>
    </x:row>
    <x:row r="7" ht="19" customHeight="1">
      <x:c r="A7" s="20" t="str">
        <x:v>W23</x:v>
      </x:c>
      <x:c r="B7" s="20" t="n">
        <x:v>2018</x:v>
      </x:c>
      <x:c r="C7" s="20" t="str">
        <x:v>Surface Dynamics and Ligand–Core Interactions of Quantum Sized Photoluminescent Gold Nanoclusters</x:v>
      </x:c>
      <x:c r="D7" s="20" t="str">
        <x:v>Journal of the American Chemical Society</x:v>
      </x:c>
      <x:c r="E7" s="20" t="str">
        <x:v>https://doi.org/10.1021/jacs.8b04436</x:v>
      </x:c>
      <x:c r="F7" s="20" t="str">
        <x:v>CGGGDD; CVGGDD; CHGGDD; CYGGDD; CGYGDD; CHYGDD; CYHGDD; CYYGDD; CVVGDD; acetylated variants; CYYGRR</x:v>
      </x:c>
      <x:c r="G7" s="20" t="str">
        <x:v>23-peptide experimental library; Au/S ~25:18; four acetylation fold-changes; Tyr-position/aromaticity and pH ranking effects</x:v>
      </x:c>
      <x:c r="H7" s="20" t="str">
        <x:v>Relative_PL_Panel_v0.4</x:v>
      </x:c>
      <x:c r="I7" s="20" t="str">
        <x:v>High-value pairwise-ranking and mechanistic evidence</x:v>
      </x:c>
      <x:c r="J7" s="20" t="str">
        <x:v>Do not convert relative PL into invented absolute QY</x:v>
      </x:c>
      <x:c r="K7" s="20" t="str">
        <x:v>PRIMARY + SI TEXT VERIFIED</x:v>
      </x:c>
      <x:c r="L7" s="20" t="str">
        <x:v>https://pmc.ncbi.nlm.nih.gov/articles/PMC6606437/</x:v>
      </x:c>
    </x:row>
    <x:row r="8" ht="19" customHeight="1"/>
    <x:row r="9" ht="19" customHeight="1"/>
    <x:row r="10" ht="19" customHeight="1"/>
    <x:row r="11" ht="19" customHeight="1"/>
    <x:row r="12" ht="19" customHeight="1"/>
    <x:row r="13" ht="19" customHeight="1"/>
    <x:row r="14" ht="19" customHeight="1"/>
    <x:row r="15" ht="19" customHeight="1"/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c43dda4f3264747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8" hidden="0" customWidth="1"/>
    <x:col min="4" max="4" width="14" hidden="0" customWidth="1"/>
    <x:col min="5" max="5" width="17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48" hidden="0" customWidth="1"/>
    <x:col min="12" max="12" width="18" hidden="0" customWidth="1"/>
    <x:col min="13" max="13" width="36" hidden="0" customWidth="1"/>
    <x:col min="14" max="14" width="72" hidden="0" customWidth="1"/>
  </x:cols>
  <x:sheetData>
    <x:row r="1" ht="30" customHeight="1">
      <x:c r="A1" s="48" t="str">
        <x:v>Real-Data Diagnostic Benchmark v0.2 — PepAuDB v0.4</x:v>
      </x:c>
      <x:c r="B1" s="48"/>
      <x:c r="C1" s="48"/>
      <x:c r="D1" s="48"/>
      <x:c r="E1" s="48"/>
      <x:c r="F1" s="48"/>
      <x:c r="G1" s="48"/>
      <x:c r="H1" s="48"/>
      <x:c r="I1" s="48"/>
      <x:c r="J1" s="48"/>
    </x:row>
    <x:row r="2" ht="19" customHeight="1"/>
    <x:row r="3" ht="34" customHeight="1">
      <x:c r="A3" s="53" t="str">
        <x:v>Target</x:v>
      </x:c>
      <x:c r="B3" s="53" t="str">
        <x:v>Model</x:v>
      </x:c>
      <x:c r="C3" s="53" t="str">
        <x:v>N</x:v>
      </x:c>
      <x:c r="D3" s="53" t="str">
        <x:v>Paper_Groups</x:v>
      </x:c>
      <x:c r="E3" s="53" t="str">
        <x:v>Sequence_Clusters</x:v>
      </x:c>
      <x:c r="F3" s="53" t="str">
        <x:v>MAE</x:v>
      </x:c>
      <x:c r="G3" s="53" t="str">
        <x:v>RMSE</x:v>
      </x:c>
      <x:c r="H3" s="53" t="str">
        <x:v>R2</x:v>
      </x:c>
      <x:c r="I3" s="53" t="str">
        <x:v>Spearman</x:v>
      </x:c>
      <x:c r="J3" s="53" t="str">
        <x:v>Interpretation</x:v>
      </x:c>
      <x:c r="L3" s="53" t="str">
        <x:v>Target</x:v>
      </x:c>
      <x:c r="M3" s="53" t="str">
        <x:v>v0.4 conclusion</x:v>
      </x:c>
      <x:c r="N3" s="53" t="str">
        <x:v>Evidence</x:v>
      </x:c>
    </x:row>
    <x:row r="4" ht="19" customHeight="1">
      <x:c r="A4" s="20" t="str">
        <x:v>Emission_nm</x:v>
      </x:c>
      <x:c r="B4" s="20" t="str">
        <x:v>DummyMedian</x:v>
      </x:c>
      <x:c r="C4" s="20" t="n">
        <x:v>11</x:v>
      </x:c>
      <x:c r="D4" s="20" t="n">
        <x:v>8</x:v>
      </x:c>
      <x:c r="E4" s="20" t="n">
        <x:v>8</x:v>
      </x:c>
      <x:c r="F4" s="20" t="n">
        <x:v>112.27272727272727</x:v>
      </x:c>
      <x:c r="G4" s="20" t="n">
        <x:v>161.68853335404407</x:v>
      </x:c>
      <x:c r="H4" s="20" t="n">
        <x:v>-0.060717579009137435</x:v>
      </x:c>
      <x:c r="I4" s="20" t="n">
        <x:v>-0.6754414838878953</x:v>
      </x:c>
      <x:c r="J4" s="20" t="str">
        <x:v>Paper-grouped OOF diagnostic only</x:v>
      </x:c>
      <x:c r="L4" s="20" t="str">
        <x:v>Emission</x:v>
      </x:c>
      <x:c r="M4" s="20" t="str">
        <x:v>FAIL</x:v>
      </x:c>
      <x:c r="N4" s="20" t="str">
        <x:v>Median baseline remains best: MAE 112.27 nm. No learned model should be deployed.</x:v>
      </x:c>
    </x:row>
    <x:row r="5" ht="19" customHeight="1">
      <x:c r="A5" s="20" t="str">
        <x:v>Emission_nm</x:v>
      </x:c>
      <x:c r="B5" s="20" t="str">
        <x:v>ElasticNet</x:v>
      </x:c>
      <x:c r="C5" s="20" t="n">
        <x:v>11</x:v>
      </x:c>
      <x:c r="D5" s="20" t="n">
        <x:v>8</x:v>
      </x:c>
      <x:c r="E5" s="20" t="n">
        <x:v>8</x:v>
      </x:c>
      <x:c r="F5" s="20" t="n">
        <x:v>322.5349370164445</x:v>
      </x:c>
      <x:c r="G5" s="20" t="n">
        <x:v>428.8685633688325</x:v>
      </x:c>
      <x:c r="H5" s="20" t="n">
        <x:v>-6.462592875235679</x:v>
      </x:c>
      <x:c r="I5" s="20" t="n">
        <x:v>0.0022988566491205873</x:v>
      </x:c>
      <x:c r="J5" s="20" t="str">
        <x:v>Paper-grouped OOF diagnostic only</x:v>
      </x:c>
      <x:c r="L5" s="20" t="str">
        <x:v>Core size</x:v>
      </x:c>
      <x:c r="M5" s="20" t="str">
        <x:v>VERY WEAK SIGNAL</x:v>
      </x:c>
      <x:c r="N5" s="20" t="str">
        <x:v>Best learned MAE 0.316 nm vs baseline 0.350 nm (~9.7% lower); OOF R² = -0.196.</x:v>
      </x:c>
    </x:row>
    <x:row r="6" ht="19" customHeight="1">
      <x:c r="A6" s="20" t="str">
        <x:v>Emission_nm</x:v>
      </x:c>
      <x:c r="B6" s="20" t="str">
        <x:v>RandomForest</x:v>
      </x:c>
      <x:c r="C6" s="20" t="n">
        <x:v>11</x:v>
      </x:c>
      <x:c r="D6" s="20" t="n">
        <x:v>8</x:v>
      </x:c>
      <x:c r="E6" s="20" t="n">
        <x:v>8</x:v>
      </x:c>
      <x:c r="F6" s="20" t="n">
        <x:v>168.0726515151515</x:v>
      </x:c>
      <x:c r="G6" s="20" t="n">
        <x:v>215.5620092495729</x:v>
      </x:c>
      <x:c r="H6" s="20" t="n">
        <x:v>-0.8853230143808426</x:v>
      </x:c>
      <x:c r="I6" s="20" t="n">
        <x:v>-0.6137947253151969</x:v>
      </x:c>
      <x:c r="J6" s="20" t="str">
        <x:v>Paper-grouped OOF diagnostic only</x:v>
      </x:c>
      <x:c r="L6" s="20" t="str">
        <x:v>PLQY</x:v>
      </x:c>
      <x:c r="M6" s="20" t="str">
        <x:v>WEAK SIGNAL, NOT GENERALIZABLE</x:v>
      </x:c>
      <x:c r="N6" s="20" t="str">
        <x:v>Best learned MAE 5.864 vs baseline 6.751 (~13.1% lower); OOF R² = -0.235 and negative rank correlation.</x:v>
      </x:c>
    </x:row>
    <x:row r="7" ht="19" customHeight="1">
      <x:c r="A7" s="20" t="str">
        <x:v>Emission_nm</x:v>
      </x:c>
      <x:c r="B7" s="20" t="str">
        <x:v>HistGradientBoosting</x:v>
      </x:c>
      <x:c r="C7" s="20" t="n">
        <x:v>11</x:v>
      </x:c>
      <x:c r="D7" s="20" t="n">
        <x:v>8</x:v>
      </x:c>
      <x:c r="E7" s="20" t="n">
        <x:v>8</x:v>
      </x:c>
      <x:c r="F7" s="20" t="n">
        <x:v>138.21338383838383</x:v>
      </x:c>
      <x:c r="G7" s="20" t="n">
        <x:v>193.50219367834913</x:v>
      </x:c>
      <x:c r="H7" s="20" t="n">
        <x:v>-0.5191935531757343</x:v>
      </x:c>
      <x:c r="I7" s="20" t="n">
        <x:v>-0.6946858790617358</x:v>
      </x:c>
      <x:c r="J7" s="20" t="str">
        <x:v>Paper-grouped OOF diagnostic only</x:v>
      </x:c>
      <x:c r="L7" s="20" t="str">
        <x:v>Au nuclearity</x:v>
      </x:c>
      <x:c r="M7" s="20" t="str">
        <x:v>STOP</x:v>
      </x:c>
      <x:c r="N7" s="20" t="str">
        <x:v>Only 4 curated labeled rows across 3 papers; below diagnostic N gate.</x:v>
      </x:c>
    </x:row>
    <x:row r="8" ht="19" customHeight="1">
      <x:c r="A8" s="20" t="str">
        <x:v>Emission_nm</x:v>
      </x:c>
      <x:c r="B8" s="20" t="str">
        <x:v>GaussianProcess</x:v>
      </x:c>
      <x:c r="C8" s="20" t="n">
        <x:v>11</x:v>
      </x:c>
      <x:c r="D8" s="20" t="n">
        <x:v>8</x:v>
      </x:c>
      <x:c r="E8" s="20" t="n">
        <x:v>8</x:v>
      </x:c>
      <x:c r="F8" s="20" t="n">
        <x:v>138.12891788811163</x:v>
      </x:c>
      <x:c r="G8" s="20" t="n">
        <x:v>193.42508105495952</x:v>
      </x:c>
      <x:c r="H8" s="20" t="n">
        <x:v>-0.5179829657859791</x:v>
      </x:c>
      <x:c r="I8" s="20" t="n">
        <x:v>-0.7178974612957436</x:v>
      </x:c>
      <x:c r="J8" s="20" t="str">
        <x:v>Paper-grouped OOF diagnostic only</x:v>
      </x:c>
    </x:row>
    <x:row r="9" ht="19" customHeight="1">
      <x:c r="A9" s="20" t="str">
        <x:v>Core_Size_nm</x:v>
      </x:c>
      <x:c r="B9" s="20" t="str">
        <x:v>DummyMedian</x:v>
      </x:c>
      <x:c r="C9" s="20" t="n">
        <x:v>10</x:v>
      </x:c>
      <x:c r="D9" s="20" t="n">
        <x:v>7</x:v>
      </x:c>
      <x:c r="E9" s="20" t="n">
        <x:v>7</x:v>
      </x:c>
      <x:c r="F9" s="20" t="n">
        <x:v>0.35</x:v>
      </x:c>
      <x:c r="G9" s="20" t="n">
        <x:v>0.38535697735995383</x:v>
      </x:c>
      <x:c r="H9" s="20" t="n">
        <x:v>-0.3451086956521736</x:v>
      </x:c>
      <x:c r="I9" s="20" t="n">
        <x:v>-0.46475800154489005</x:v>
      </x:c>
      <x:c r="J9" s="20" t="str">
        <x:v>Paper-grouped OOF diagnostic only</x:v>
      </x:c>
    </x:row>
    <x:row r="10" ht="19" customHeight="1">
      <x:c r="A10" s="20" t="str">
        <x:v>Core_Size_nm</x:v>
      </x:c>
      <x:c r="B10" s="20" t="str">
        <x:v>ElasticNet</x:v>
      </x:c>
      <x:c r="C10" s="20" t="n">
        <x:v>10</x:v>
      </x:c>
      <x:c r="D10" s="20" t="n">
        <x:v>7</x:v>
      </x:c>
      <x:c r="E10" s="20" t="n">
        <x:v>7</x:v>
      </x:c>
      <x:c r="F10" s="20" t="n">
        <x:v>1.024507887803289</x:v>
      </x:c>
      <x:c r="G10" s="20" t="n">
        <x:v>1.333932908196245</x:v>
      </x:c>
      <x:c r="H10" s="20" t="n">
        <x:v>-15.11754532218199</x:v>
      </x:c>
      <x:c r="I10" s="20" t="n">
        <x:v>0.3467641832326489</x:v>
      </x:c>
      <x:c r="J10" s="20" t="str">
        <x:v>Paper-grouped OOF diagnostic only</x:v>
      </x:c>
    </x:row>
    <x:row r="11" ht="19" customHeight="1">
      <x:c r="A11" s="20" t="str">
        <x:v>Core_Size_nm</x:v>
      </x:c>
      <x:c r="B11" s="20" t="str">
        <x:v>RandomForest</x:v>
      </x:c>
      <x:c r="C11" s="20" t="n">
        <x:v>10</x:v>
      </x:c>
      <x:c r="D11" s="20" t="n">
        <x:v>7</x:v>
      </x:c>
      <x:c r="E11" s="20" t="n">
        <x:v>7</x:v>
      </x:c>
      <x:c r="F11" s="20" t="n">
        <x:v>0.33924777777777665</x:v>
      </x:c>
      <x:c r="G11" s="20" t="n">
        <x:v>0.40796307196414144</x:v>
      </x:c>
      <x:c r="H11" s="20" t="n">
        <x:v>-0.5075531529566959</x:v>
      </x:c>
      <x:c r="I11" s="20" t="n">
        <x:v>-0.22291983207813149</x:v>
      </x:c>
      <x:c r="J11" s="20" t="str">
        <x:v>Paper-grouped OOF diagnostic only</x:v>
      </x:c>
    </x:row>
    <x:row r="12" ht="19" customHeight="1">
      <x:c r="A12" s="20" t="str">
        <x:v>Core_Size_nm</x:v>
      </x:c>
      <x:c r="B12" s="20" t="str">
        <x:v>HistGradientBoosting</x:v>
      </x:c>
      <x:c r="C12" s="20" t="n">
        <x:v>10</x:v>
      </x:c>
      <x:c r="D12" s="20" t="n">
        <x:v>7</x:v>
      </x:c>
      <x:c r="E12" s="20" t="n">
        <x:v>7</x:v>
      </x:c>
      <x:c r="F12" s="20" t="n">
        <x:v>0.316031746031746</x:v>
      </x:c>
      <x:c r="G12" s="20" t="n">
        <x:v>0.3634366293420258</x:v>
      </x:c>
      <x:c r="H12" s="20" t="n">
        <x:v>-0.19643282198816148</x:v>
      </x:c>
      <x:c r="I12" s="20" t="n">
        <x:v>-0.4654180100196305</x:v>
      </x:c>
      <x:c r="J12" s="20" t="str">
        <x:v>Paper-grouped OOF diagnostic only</x:v>
      </x:c>
    </x:row>
    <x:row r="13" ht="19" customHeight="1">
      <x:c r="A13" s="20" t="str">
        <x:v>Core_Size_nm</x:v>
      </x:c>
      <x:c r="B13" s="20" t="str">
        <x:v>GaussianProcess</x:v>
      </x:c>
      <x:c r="C13" s="20" t="n">
        <x:v>10</x:v>
      </x:c>
      <x:c r="D13" s="20" t="n">
        <x:v>7</x:v>
      </x:c>
      <x:c r="E13" s="20" t="n">
        <x:v>7</x:v>
      </x:c>
      <x:c r="F13" s="20" t="n">
        <x:v>0.3534820863209184</x:v>
      </x:c>
      <x:c r="G13" s="20" t="n">
        <x:v>0.4188731539026342</x:v>
      </x:c>
      <x:c r="H13" s="20" t="n">
        <x:v>-0.5892637596045274</x:v>
      </x:c>
      <x:c r="I13" s="20" t="n">
        <x:v>-0.851916777110271</x:v>
      </x:c>
      <x:c r="J13" s="20" t="str">
        <x:v>Paper-grouped OOF diagnostic only</x:v>
      </x:c>
    </x:row>
    <x:row r="14" ht="19" customHeight="1">
      <x:c r="A14" s="20" t="str">
        <x:v>PLQY_pct</x:v>
      </x:c>
      <x:c r="B14" s="20" t="str">
        <x:v>DummyMedian</x:v>
      </x:c>
      <x:c r="C14" s="20" t="n">
        <x:v>13</x:v>
      </x:c>
      <x:c r="D14" s="20" t="n">
        <x:v>6</x:v>
      </x:c>
      <x:c r="E14" s="20" t="n">
        <x:v>6</x:v>
      </x:c>
      <x:c r="F14" s="20" t="n">
        <x:v>6.750769230769231</x:v>
      </x:c>
      <x:c r="G14" s="20" t="n">
        <x:v>8.378297054799473</x:v>
      </x:c>
      <x:c r="H14" s="20" t="n">
        <x:v>-0.6891159660898214</x:v>
      </x:c>
      <x:c r="I14" s="20" t="n">
        <x:v>-0.608929435194794</x:v>
      </x:c>
      <x:c r="J14" s="20" t="str">
        <x:v>Paper-grouped OOF diagnostic only</x:v>
      </x:c>
    </x:row>
    <x:row r="15" ht="19" customHeight="1">
      <x:c r="A15" s="20" t="str">
        <x:v>PLQY_pct</x:v>
      </x:c>
      <x:c r="B15" s="20" t="str">
        <x:v>ElasticNet</x:v>
      </x:c>
      <x:c r="C15" s="20" t="n">
        <x:v>13</x:v>
      </x:c>
      <x:c r="D15" s="20" t="n">
        <x:v>6</x:v>
      </x:c>
      <x:c r="E15" s="20" t="n">
        <x:v>6</x:v>
      </x:c>
      <x:c r="F15" s="20" t="n">
        <x:v>14.286340499820325</x:v>
      </x:c>
      <x:c r="G15" s="20" t="n">
        <x:v>17.292041081445053</x:v>
      </x:c>
      <x:c r="H15" s="20" t="n">
        <x:v>-6.195160327944969</x:v>
      </x:c>
      <x:c r="I15" s="20" t="n">
        <x:v>-0.1850828729281768</x:v>
      </x:c>
      <x:c r="J15" s="20" t="str">
        <x:v>Paper-grouped OOF diagnostic only</x:v>
      </x:c>
    </x:row>
    <x:row r="16" ht="19" customHeight="1">
      <x:c r="A16" s="20" t="str">
        <x:v>PLQY_pct</x:v>
      </x:c>
      <x:c r="B16" s="20" t="str">
        <x:v>RandomForest</x:v>
      </x:c>
      <x:c r="C16" s="20" t="n">
        <x:v>13</x:v>
      </x:c>
      <x:c r="D16" s="20" t="n">
        <x:v>6</x:v>
      </x:c>
      <x:c r="E16" s="20" t="n">
        <x:v>6</x:v>
      </x:c>
      <x:c r="F16" s="20" t="n">
        <x:v>6.964983947903945</x:v>
      </x:c>
      <x:c r="G16" s="20" t="n">
        <x:v>7.711366854369373</x:v>
      </x:c>
      <x:c r="H16" s="20" t="n">
        <x:v>-0.4309046241902845</x:v>
      </x:c>
      <x:c r="I16" s="20" t="n">
        <x:v>-0.45781509904302037</x:v>
      </x:c>
      <x:c r="J16" s="20" t="str">
        <x:v>Paper-grouped OOF diagnostic only</x:v>
      </x:c>
    </x:row>
    <x:row r="17" ht="19" customHeight="1">
      <x:c r="A17" s="20" t="str">
        <x:v>PLQY_pct</x:v>
      </x:c>
      <x:c r="B17" s="20" t="str">
        <x:v>HistGradientBoosting</x:v>
      </x:c>
      <x:c r="C17" s="20" t="n">
        <x:v>13</x:v>
      </x:c>
      <x:c r="D17" s="20" t="n">
        <x:v>6</x:v>
      </x:c>
      <x:c r="E17" s="20" t="n">
        <x:v>6</x:v>
      </x:c>
      <x:c r="F17" s="20" t="n">
        <x:v>5.8642179487179495</x:v>
      </x:c>
      <x:c r="G17" s="20" t="n">
        <x:v>7.165118807719197</x:v>
      </x:c>
      <x:c r="H17" s="20" t="n">
        <x:v>-0.23536345690684946</x:v>
      </x:c>
      <x:c r="I17" s="20" t="n">
        <x:v>-0.7690235590018758</x:v>
      </x:c>
      <x:c r="J17" s="20" t="str">
        <x:v>Paper-grouped OOF diagnostic only</x:v>
      </x:c>
    </x:row>
    <x:row r="18" ht="19" customHeight="1">
      <x:c r="A18" s="20" t="str">
        <x:v>PLQY_pct</x:v>
      </x:c>
      <x:c r="B18" s="20" t="str">
        <x:v>GaussianProcess</x:v>
      </x:c>
      <x:c r="C18" s="20" t="n">
        <x:v>13</x:v>
      </x:c>
      <x:c r="D18" s="20" t="n">
        <x:v>6</x:v>
      </x:c>
      <x:c r="E18" s="20" t="n">
        <x:v>6</x:v>
      </x:c>
      <x:c r="F18" s="20" t="n">
        <x:v>6.490212973130533</x:v>
      </x:c>
      <x:c r="G18" s="20" t="n">
        <x:v>7.478260678658922</x:v>
      </x:c>
      <x:c r="H18" s="20" t="n">
        <x:v>-0.34570280602996006</x:v>
      </x:c>
      <x:c r="I18" s="20" t="n">
        <x:v>-0.6961325966850829</x:v>
      </x:c>
      <x:c r="J18" s="20" t="str">
        <x:v>Paper-grouped OOF diagnostic only</x:v>
      </x:c>
    </x:row>
    <x:row r="19" ht="19" customHeight="1">
      <x:c r="A19" s="20" t="str">
        <x:v>Au_Nuclearity</x:v>
      </x:c>
      <x:c r="B19" s="20" t="str">
        <x:v>GATE_STOP</x:v>
      </x:c>
      <x:c r="C19" s="20" t="n">
        <x:v>4</x:v>
      </x:c>
      <x:c r="D19" s="20" t="n">
        <x:v>3</x:v>
      </x:c>
      <x:c r="E19" s="20" t="n">
        <x:v>3</x:v>
      </x:c>
      <x:c r="F19" s="20"/>
      <x:c r="G19" s="20"/>
      <x:c r="H19" s="20"/>
      <x:c r="I19" s="20"/>
      <x:c r="J19" s="20" t="str">
        <x:v>Below diagnostic gate</x:v>
      </x:c>
    </x:row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b26aa5e1aeb549cb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52" hidden="0" customWidth="1"/>
    <x:col min="4" max="4" width="62" hidden="0" customWidth="1"/>
    <x:col min="5" max="5" width="18" hidden="0" customWidth="1"/>
    <x:col min="6" max="6" width="20" hidden="0" customWidth="1"/>
    <x:col min="7" max="7" width="54" hidden="0" customWidth="1"/>
    <x:col min="8" max="8" width="28" hidden="0" customWidth="1"/>
    <x:col min="9" max="9" width="44" hidden="0" customWidth="1"/>
    <x:col min="10" max="10" width="50" hidden="0" customWidth="1"/>
  </x:cols>
  <x:sheetData>
    <x:row r="1" ht="30" customHeight="1">
      <x:c r="A1" s="48" t="str">
        <x:v>PepAuDB v0.4 — Next Highest-Information Acquisitions</x:v>
      </x:c>
      <x:c r="B1" s="48"/>
      <x:c r="C1" s="48"/>
      <x:c r="D1" s="48"/>
      <x:c r="E1" s="48"/>
      <x:c r="F1" s="48"/>
      <x:c r="G1" s="48"/>
      <x:c r="H1" s="48"/>
      <x:c r="I1" s="48"/>
      <x:c r="J1" s="48"/>
    </x:row>
    <x:row r="2" ht="19" customHeight="1"/>
    <x:row r="3" ht="34" customHeight="1">
      <x:c r="A3" s="53" t="str">
        <x:v>Priority</x:v>
      </x:c>
      <x:c r="B3" s="53" t="str">
        <x:v>Source</x:v>
      </x:c>
      <x:c r="C3" s="53" t="str">
        <x:v>Need</x:v>
      </x:c>
      <x:c r="D3" s="53" t="str">
        <x:v>Why</x:v>
      </x:c>
      <x:c r="E3" s="53" t="str">
        <x:v>Expected_Impact</x:v>
      </x:c>
      <x:c r="F3" s="53" t="str">
        <x:v>Current_Status</x:v>
      </x:c>
      <x:c r="G3" s="53" t="str">
        <x:v>Do_Not_Do</x:v>
      </x:c>
      <x:c r="H3" s="53" t="str">
        <x:v>Target_Module</x:v>
      </x:c>
      <x:c r="I3" s="53" t="str">
        <x:v>DOI_URL</x:v>
      </x:c>
      <x:c r="J3" s="53" t="str">
        <x:v>Next_Action</x:v>
      </x:c>
    </x:row>
    <x:row r="4" ht="19" customHeight="1">
      <x:c r="A4" s="20" t="str">
        <x:v>P0</x:v>
      </x:c>
      <x:c r="B4" s="20" t="str">
        <x:v>W10 2022 motif panel</x:v>
      </x:c>
      <x:c r="C4" s="20" t="str">
        <x:v>Full per-sequence quantitative outcome mapping</x:v>
      </x:c>
      <x:c r="D4" s="20" t="str">
        <x:v>Seven controlled exact sequences can improve sequence-order learning and perhaps add a true motif control</x:v>
      </x:c>
      <x:c r="E4" s="20" t="str">
        <x:v>High</x:v>
      </x:c>
      <x:c r="F4" s="20" t="str">
        <x:v>PARTIAL</x:v>
      </x:c>
      <x:c r="G4" s="20" t="str">
        <x:v>Do not assign the paper-level 18% QY to all seven sequences</x:v>
      </x:c>
      <x:c r="H4" s="20" t="str">
        <x:v>formation / emission / ranking</x:v>
      </x:c>
      <x:c r="I4" s="20" t="str">
        <x:v>https://doi.org/10.1016/j.colsurfb.2022.112820</x:v>
      </x:c>
      <x:c r="J4" s="20" t="str">
        <x:v>Acquire full paper/SI and map sequence→outcome.</x:v>
      </x:c>
    </x:row>
    <x:row r="5" ht="19" customHeight="1">
      <x:c r="A5" s="20" t="str">
        <x:v>P0</x:v>
      </x:c>
      <x:c r="B5" s="20" t="str">
        <x:v>W01 Liu 2020 blue/red SV</x:v>
      </x:c>
      <x:c r="C5" s="20" t="str">
        <x:v>Exact blue vs red pH, Au:peptide ratio, light, temperature, time</x:v>
      </x:c>
      <x:c r="D5" s="20" t="str">
        <x:v>Same exact sequence gives different optical states; ideal synthesis-context evidence</x:v>
      </x:c>
      <x:c r="E5" s="20" t="str">
        <x:v>High</x:v>
      </x:c>
      <x:c r="F5" s="20" t="str">
        <x:v>PARTIAL</x:v>
      </x:c>
      <x:c r="G5" s="20" t="str">
        <x:v>Do not train condition model with missing values</x:v>
      </x:c>
      <x:c r="H5" s="20" t="str">
        <x:v>condition-aware emission</x:v>
      </x:c>
      <x:c r="I5" s="20" t="str">
        <x:v>https://doi.org/10.1021/acsabm.9b01078</x:v>
      </x:c>
      <x:c r="J5" s="20" t="str">
        <x:v>Extract numeric optimization conditions.</x:v>
      </x:c>
    </x:row>
    <x:row r="6" ht="19" customHeight="1">
      <x:c r="A6" s="20" t="str">
        <x:v>P0</x:v>
      </x:c>
      <x:c r="B6" s="20" t="str">
        <x:v>W09 CMMMMM vs CYYYYY</x:v>
      </x:c>
      <x:c r="C6" s="20" t="str">
        <x:v>Exact synthesis and quantitative optical/QY/lifetime values</x:v>
      </x:c>
      <x:c r="D6" s="20" t="str">
        <x:v>Matched residue-chemistry comparison with strong stability effect</x:v>
      </x:c>
      <x:c r="E6" s="20" t="str">
        <x:v>High</x:v>
      </x:c>
      <x:c r="F6" s="20" t="str">
        <x:v>PARTIAL</x:v>
      </x:c>
      <x:c r="G6" s="20" t="str">
        <x:v>Do not use relative fluorescence as absolute QY</x:v>
      </x:c>
      <x:c r="H6" s="20" t="str">
        <x:v>optical/stability</x:v>
      </x:c>
      <x:c r="I6" s="20" t="str">
        <x:v>https://doi.org/10.1021/acs.analchem.9b03463</x:v>
      </x:c>
      <x:c r="J6" s="20" t="str">
        <x:v>Acquire SI.</x:v>
      </x:c>
    </x:row>
    <x:row r="7" ht="19" customHeight="1">
      <x:c r="A7" s="20" t="str">
        <x:v>P0</x:v>
      </x:c>
      <x:c r="B7" s="20" t="str">
        <x:v>W18 Wen 2013 PTM panel</x:v>
      </x:c>
      <x:c r="C7" s="20" t="str">
        <x:v>Primary SI mapping of each short peptide to AuNC properties / any Au8 attribution</x:v>
      </x:c>
      <x:c r="D7" s="20" t="str">
        <x:v>Could add multiple short exact peptides and important formation/atomic evidence</x:v>
      </x:c>
      <x:c r="E7" s="20" t="str">
        <x:v>High</x:v>
      </x:c>
      <x:c r="F7" s="20" t="str">
        <x:v>NEW LEAD</x:v>
      </x:c>
      <x:c r="G7" s="20" t="str">
        <x:v>Do not trust review mapping for atomic label</x:v>
      </x:c>
      <x:c r="H7" s="20" t="str">
        <x:v>formation/nuclearity/QY</x:v>
      </x:c>
      <x:c r="I7" s="20" t="str">
        <x:v>https://doi.org/10.1021/ac403308b</x:v>
      </x:c>
      <x:c r="J7" s="20" t="str">
        <x:v>Acquire primary SI.</x:v>
      </x:c>
    </x:row>
    <x:row r="8" ht="19" customHeight="1">
      <x:c r="A8" s="20" t="str">
        <x:v>P0</x:v>
      </x:c>
      <x:c r="B8" s="20" t="str">
        <x:v>W08 AuNCs-LHRHa PTT</x:v>
      </x:c>
      <x:c r="C8" s="20" t="str">
        <x:v>Laser wavelength, power, concentration, heating curves, PCE if reported</x:v>
      </x:c>
      <x:c r="D8" s="20" t="str">
        <x:v>Direct peptide-functionalized AuNC PTT benchmark</x:v>
      </x:c>
      <x:c r="E8" s="20" t="str">
        <x:v>High</x:v>
      </x:c>
      <x:c r="F8" s="20" t="str">
        <x:v>PARTIAL</x:v>
      </x:c>
      <x:c r="G8" s="20" t="str">
        <x:v>Do not train PTT regression yet</x:v>
      </x:c>
      <x:c r="H8" s="20" t="str">
        <x:v>PTT benchmark</x:v>
      </x:c>
      <x:c r="I8" s="20" t="str">
        <x:v>https://doi.org/10.1039/D2TB00531J</x:v>
      </x:c>
      <x:c r="J8" s="20" t="str">
        <x:v>Extract full article/SI.</x:v>
      </x:c>
    </x:row>
    <x:row r="9" ht="19" customHeight="1">
      <x:c r="A9" s="20" t="str">
        <x:v>P1</x:v>
      </x:c>
      <x:c r="B9" s="20" t="str">
        <x:v>W23 JACS 2018 raw/figure data</x:v>
      </x:c>
      <x:c r="C9" s="20" t="str">
        <x:v>Absolute emission-intensity values for 23-peptide library if available in raw dataset</x:v>
      </x:c>
      <x:c r="D9" s="20" t="str">
        <x:v>Could turn pairwise ranking evidence into a larger quantitative panel</x:v>
      </x:c>
      <x:c r="E9" s="20" t="str">
        <x:v>Medium–High</x:v>
      </x:c>
      <x:c r="F9" s="20" t="str">
        <x:v>RAW DATA LOCATED</x:v>
      </x:c>
      <x:c r="G9" s="20" t="str">
        <x:v>Do not digitize figures unless raw data unavailable</x:v>
      </x:c>
      <x:c r="H9" s="20" t="str">
        <x:v>relative/absolute PL ranking</x:v>
      </x:c>
      <x:c r="I9" s="20" t="str">
        <x:v>https://doi.org/10.1021/jacs.8b04436</x:v>
      </x:c>
      <x:c r="J9" s="20" t="str">
        <x:v>Inspect Zenodo research dataset 10.5281/zenodo.2202306.</x:v>
      </x:c>
    </x:row>
    <x:row r="10" ht="19" customHeight="1">
      <x:c r="A10" s="20" t="str">
        <x:v>P1</x:v>
      </x:c>
      <x:c r="B10" s="20" t="str">
        <x:v>Formation negatives</x:v>
      </x:c>
      <x:c r="C10" s="20" t="str">
        <x:v>More explicit failed peptide syntheses / AuNP outcomes</x:v>
      </x:c>
      <x:c r="D10" s="20" t="str">
        <x:v>Formation classifier remains impossible with one verified negative</x:v>
      </x:c>
      <x:c r="E10" s="20" t="str">
        <x:v>Critical</x:v>
      </x:c>
      <x:c r="F10" s="20" t="str">
        <x:v>SCARCE</x:v>
      </x:c>
      <x:c r="G10" s="20" t="str">
        <x:v>Do not manufacture negatives from missing data</x:v>
      </x:c>
      <x:c r="H10" s="20" t="str">
        <x:v>formation classifier</x:v>
      </x:c>
      <x:c r="I10" s="20" t="str"/>
      <x:c r="J10" s="20" t="str">
        <x:v>Mine SI/control experiments for failures.</x:v>
      </x:c>
    </x:row>
    <x:row r="11" ht="19" customHeight="1"/>
    <x:row r="12" ht="19" customHeight="1"/>
    <x:row r="13" ht="19" customHeight="1"/>
    <x:row r="14" ht="19" customHeight="1"/>
    <x:row r="15" ht="19" customHeight="1"/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fbaacf95a5eb47b7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76" hidden="0" customWidth="1"/>
    <x:col min="4" max="4" width="22" hidden="0" customWidth="1"/>
    <x:col min="5" max="5" width="18" hidden="0" customWidth="1"/>
    <x:col min="6" max="6" width="44" hidden="0" customWidth="1"/>
    <x:col min="7" max="7" width="60" hidden="0" customWidth="1"/>
    <x:col min="8" max="8" width="58" hidden="0" customWidth="1"/>
  </x:cols>
  <x:sheetData>
    <x:row r="1" ht="30" customHeight="1">
      <x:c r="A1" s="48" t="str">
        <x:v>NanoMax PepAu-Forge — PepAuDB v0.4 Evidence &amp; Model Readiness</x:v>
      </x:c>
      <x:c r="B1" s="48"/>
      <x:c r="C1" s="48"/>
      <x:c r="D1" s="48"/>
      <x:c r="E1" s="48"/>
      <x:c r="F1" s="48"/>
      <x:c r="G1" s="48"/>
      <x:c r="H1" s="48"/>
      <x:c r="I1" s="48"/>
      <x:c r="J1" s="48"/>
    </x:row>
    <x:row r="2" ht="19" customHeight="1"/>
    <x:row r="3" ht="34" customHeight="1">
      <x:c r="A3" s="53" t="str">
        <x:v>KPI</x:v>
      </x:c>
      <x:c r="B3" s="53" t="str">
        <x:v>Value</x:v>
      </x:c>
      <x:c r="D3" s="53" t="str">
        <x:v>Target</x:v>
      </x:c>
      <x:c r="E3" s="53" t="str">
        <x:v>v0.4 status</x:v>
      </x:c>
      <x:c r="F3" s="53" t="str">
        <x:v>Best current evidence</x:v>
      </x:c>
      <x:c r="G3" s="53" t="str">
        <x:v>Interpretation</x:v>
      </x:c>
      <x:c r="H3" s="53" t="str">
        <x:v>Next unblocker</x:v>
      </x:c>
    </x:row>
    <x:row r="4" ht="19" customHeight="1">
      <x:c r="A4" t="str">
        <x:v>Total v0.4 records</x:v>
      </x:c>
      <x:c r="B4" t="n">
        <x:v>54</x:v>
      </x:c>
      <x:c r="D4" s="20" t="str">
        <x:v>Emission</x:v>
      </x:c>
      <x:c r="E4" s="20" t="str">
        <x:v>FAIL</x:v>
      </x:c>
      <x:c r="F4" s="20" t="str">
        <x:v>Median baseline MAE 112.27 nm</x:v>
      </x:c>
      <x:c r="G4" s="20" t="str">
        <x:v>Learned models still do not generalize paper-to-paper</x:v>
      </x:c>
      <x:c r="H4" s="20" t="str">
        <x:v>Recover W10/W01 per-sequence/per-condition optical outcomes</x:v>
      </x:c>
    </x:row>
    <x:row r="5" ht="19" customHeight="1">
      <x:c r="A5" t="str">
        <x:v>Curated quantitative training rows</x:v>
      </x:c>
      <x:c r="B5" t="n">
        <x:v>16</x:v>
      </x:c>
      <x:c r="D5" s="20" t="str">
        <x:v>Core size</x:v>
      </x:c>
      <x:c r="E5" s="20" t="str">
        <x:v>VERY WEAK</x:v>
      </x:c>
      <x:c r="F5" s="20" t="str">
        <x:v>Best learned MAE 0.316 nm vs 0.350 baseline</x:v>
      </x:c>
      <x:c r="G5" s="20" t="str">
        <x:v>Small improvement but negative OOF R²</x:v>
      </x:c>
      <x:c r="H5" s="20" t="str">
        <x:v>Add more direct size-labeled peptide families</x:v>
      </x:c>
    </x:row>
    <x:row r="6" ht="19" customHeight="1">
      <x:c r="A6" t="str">
        <x:v>Independent paper groups in training view</x:v>
      </x:c>
      <x:c r="B6" t="n">
        <x:v>9</x:v>
      </x:c>
      <x:c r="D6" s="20" t="str">
        <x:v>PLQY</x:v>
      </x:c>
      <x:c r="E6" s="20" t="str">
        <x:v>WEAK</x:v>
      </x:c>
      <x:c r="F6" s="20" t="str">
        <x:v>Best learned MAE 5.864 vs 6.751 baseline</x:v>
      </x:c>
      <x:c r="G6" s="20" t="str">
        <x:v>13.1% MAE improvement, but negative OOF R²/rank correlation</x:v>
      </x:c>
      <x:c r="H6" s="20" t="str">
        <x:v>Add independent QY panels, not more rows from W20 alone</x:v>
      </x:c>
    </x:row>
    <x:row r="7" ht="19" customHeight="1">
      <x:c r="A7" t="str">
        <x:v>Explicit formation negatives</x:v>
      </x:c>
      <x:c r="B7" t="n">
        <x:v>1</x:v>
      </x:c>
      <x:c r="D7" s="20" t="str">
        <x:v>Nuclearity</x:v>
      </x:c>
      <x:c r="E7" s="20" t="str">
        <x:v>STOP</x:v>
      </x:c>
      <x:c r="F7" s="20" t="str">
        <x:v>4 labeled rows / 3 paper groups</x:v>
      </x:c>
      <x:c r="G7" s="20" t="str">
        <x:v>Too few direct atomic families</x:v>
      </x:c>
      <x:c r="H7" s="20" t="str">
        <x:v>Acquire atomic peptide-AuNC primary studies</x:v>
      </x:c>
    </x:row>
    <x:row r="8" ht="19" customHeight="1">
      <x:c r="A8" t="str">
        <x:v>Relative PL/ranking comparisons</x:v>
      </x:c>
      <x:c r="B8" t="n">
        <x:v>8</x:v>
      </x:c>
      <x:c r="D8" s="20" t="str">
        <x:v>Formation</x:v>
      </x:c>
      <x:c r="E8" s="20" t="str">
        <x:v>STOP</x:v>
      </x:c>
      <x:c r="F8" s="20" t="str">
        <x:v>1 explicit matched negative</x:v>
      </x:c>
      <x:c r="G8" s="20" t="str">
        <x:v>Major progress, but classifier would be severely underdetermined</x:v>
      </x:c>
      <x:c r="H8" s="20" t="str">
        <x:v>Mine failed/control syntheses from SI</x:v>
      </x:c>
    </x:row>
    <x:row r="9" ht="19" customHeight="1">
      <x:c r="A9" t="str">
        <x:v>Direct 2024 five-peptide QY panel</x:v>
      </x:c>
      <x:c r="B9" t="n">
        <x:v>5</x:v>
      </x:c>
      <x:c r="D9" s="20" t="str">
        <x:v>PTT</x:v>
      </x:c>
      <x:c r="E9" s="20" t="str">
        <x:v>STOP</x:v>
      </x:c>
      <x:c r="F9" s="20" t="str">
        <x:v>Benchmark evidence only</x:v>
      </x:c>
      <x:c r="G9" s="20" t="str">
        <x:v>No defensible sequence+synthesis→PTT model yet</x:v>
      </x:c>
      <x:c r="H9" s="20" t="str">
        <x:v>Direct peptide-templated AuNC PTT records</x:v>
      </x:c>
    </x:row>
    <x:row r="10" ht="19" customHeight="1">
      <x:c r="A10" t="str">
        <x:v>PLQY labeled rows in training view</x:v>
      </x:c>
      <x:c r="B10" t="n">
        <x:v>13</x:v>
      </x:c>
      <x:c r="D10" s="20" t="str">
        <x:v>Streamlit evidence platform</x:v>
      </x:c>
      <x:c r="E10" s="20" t="str">
        <x:v>GO</x:v>
      </x:c>
      <x:c r="F10" s="20" t="str">
        <x:v>Database + model cards + OOD + ranking evidence</x:v>
      </x:c>
      <x:c r="G10" s="20" t="str">
        <x:v>Can be professionally deployed as research evidence system</x:v>
      </x:c>
      <x:c r="H10" s="20" t="str">
        <x:v>Build interface before predictive badge</x:v>
      </x:c>
    </x:row>
    <x:row r="11" ht="19" customHeight="1">
      <x:c r="A11" t="str">
        <x:v>Emission labeled rows</x:v>
      </x:c>
      <x:c r="B11" t="n">
        <x:v>11</x:v>
      </x:c>
    </x:row>
    <x:row r="12" ht="19" customHeight="1">
      <x:c r="A12" t="str">
        <x:v>Core-size labeled rows</x:v>
      </x:c>
      <x:c r="B12" t="n">
        <x:v>10</x:v>
      </x:c>
    </x:row>
    <x:row r="13" ht="19" customHeight="1">
      <x:c r="A13" t="str">
        <x:v>Nuclearity labeled rows</x:v>
      </x:c>
      <x:c r="B13" t="n">
        <x:v>4</x:v>
      </x:c>
    </x:row>
    <x:row r="14" ht="19" customHeight="1">
      <x:c r="A14" t="str">
        <x:v>PTT learned-model status</x:v>
      </x:c>
      <x:c r="B14" t="str">
        <x:v>STOP</x:v>
      </x:c>
      <x:c r="D14" s="53" t="str">
        <x:v>Benchmark target</x:v>
      </x:c>
      <x:c r="E14" s="53" t="str">
        <x:v>Best MAE / status</x:v>
      </x:c>
    </x:row>
    <x:row r="15" ht="19" customHeight="1">
      <x:c r="A15" t="str">
        <x:v>Production model status</x:v>
      </x:c>
      <x:c r="B15" t="str">
        <x:v>STOP</x:v>
      </x:c>
      <x:c r="D15" t="str">
        <x:v>Emission</x:v>
      </x:c>
      <x:c r="E15" t="str">
        <x:v>112.27 nm — DummyMedian</x:v>
      </x:c>
    </x:row>
    <x:row r="16" ht="19" customHeight="1">
      <x:c r="D16" t="str">
        <x:v>Core size</x:v>
      </x:c>
      <x:c r="E16" t="str">
        <x:v>0.316 nm — HGB; weak</x:v>
      </x:c>
    </x:row>
    <x:row r="17" ht="19" customHeight="1">
      <x:c r="D17" t="str">
        <x:v>PLQY</x:v>
      </x:c>
      <x:c r="E17" t="str">
        <x:v>5.864 %-points — HGB; weak</x:v>
      </x:c>
    </x:row>
    <x:row r="18" ht="19" customHeight="1">
      <x:c r="D18" t="str">
        <x:v>Nuclearity</x:v>
      </x:c>
      <x:c r="E18" t="str">
        <x:v>STOP</x:v>
      </x:c>
    </x:row>
    <x:row r="19" ht="19" customHeight="1">
      <x:c r="A19" s="53" t="str">
        <x:v>What changed from v0.3</x:v>
      </x:c>
      <x:c r="B19" s="53" t="str">
        <x:v>Impact</x:v>
      </x:c>
      <x:c r="D19" t="str">
        <x:v>PTT</x:v>
      </x:c>
      <x:c r="E19" t="str">
        <x:v>STOP</x:v>
      </x:c>
    </x:row>
    <x:row r="20" ht="19" customHeight="1">
      <x:c r="A20" s="20" t="str">
        <x:v>2024 controlled five-peptide panel</x:v>
      </x:c>
      <x:c r="B20" s="20" t="str">
        <x:v>Adds exact primary QYs 1.8–14% and common synthesis conditions.</x:v>
      </x:c>
    </x:row>
    <x:row r="21" ht="19" customHeight="1">
      <x:c r="A21" s="20" t="str">
        <x:v>EECEE structural record</x:v>
      </x:c>
      <x:c r="B21" s="20" t="str">
        <x:v>Adds 0.9±0.2 nm core and 1.1±0.2 nm hydrodynamic size; avoids false Au25 kernel claim.</x:v>
      </x:c>
    </x:row>
    <x:row r="22" ht="19" customHeight="1">
      <x:c r="A22" s="20" t="str">
        <x:v>CCY(EAAAK)3 record</x:v>
      </x:c>
      <x:c r="B22" s="20" t="str">
        <x:v>Adds independent 1.1 nm / 660 nm size-emission family.</x:v>
      </x:c>
    </x:row>
    <x:row r="23" ht="19" customHeight="1">
      <x:c r="A23" s="20" t="str">
        <x:v>PNF-AuNC positive control</x:v>
      </x:c>
      <x:c r="B23" s="20" t="str">
        <x:v>Adds 1.8 nm, 660 nm and 21.3±1.8% assembled QY.</x:v>
      </x:c>
    </x:row>
    <x:row r="24" ht="19" customHeight="1">
      <x:c r="A24" s="20" t="str">
        <x:v>Pep II negative control</x:v>
      </x:c>
      <x:c r="B24" s="20" t="str">
        <x:v>First explicit matched sequence-level formation failure in curated database.</x:v>
      </x:c>
    </x:row>
    <x:row r="25" ht="19" customHeight="1">
      <x:c r="A25" s="20" t="str">
        <x:v>JACS 2018 pairwise panel</x:v>
      </x:c>
      <x:c r="B25" s="20" t="str">
        <x:v>Adds eight verified ranking relations without inventing absolute values.</x:v>
      </x:c>
    </x:row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</x:sheetData>
  <x:mergeCells>
    <x:mergeCell ref="A1:J1"/>
  </x:mergeCells>
  <x:pageMargins left="0.7" right="0.7" top="0.75" bottom="0.75" header="0.3" footer="0.3"/>
  <x:drawing xmlns:r="http://schemas.openxmlformats.org/officeDocument/2006/relationships" r:id="R903048d287154cc5"/>
</x:worksheet>
</file>

<file path=xl/worksheets/sheet3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2" hidden="0" customWidth="1"/>
    <x:col min="4" max="4" width="16" hidden="0" customWidth="1"/>
    <x:col min="5" max="5" width="29" hidden="0" customWidth="1"/>
    <x:col min="6" max="6" width="34" hidden="0" customWidth="1"/>
    <x:col min="7" max="7" width="40" hidden="0" customWidth="1"/>
    <x:col min="8" max="8" width="14" hidden="0" customWidth="1"/>
    <x:col min="9" max="9" width="38" hidden="0" customWidth="1"/>
    <x:col min="10" max="10" width="13" hidden="0" customWidth="1"/>
    <x:col min="11" max="11" width="12" hidden="0" customWidth="1"/>
    <x:col min="12" max="12" width="13" hidden="0" customWidth="1"/>
    <x:col min="13" max="13" width="16" hidden="0" customWidth="1"/>
    <x:col min="14" max="14" width="40" hidden="0" customWidth="1"/>
    <x:col min="15" max="15" width="23" hidden="0" customWidth="1"/>
    <x:col min="16" max="16" width="52" hidden="0" customWidth="1"/>
    <x:col min="17" max="17" width="32" hidden="0" customWidth="1"/>
    <x:col min="18" max="18" width="10" hidden="0" customWidth="1"/>
    <x:col min="19" max="19" width="13" hidden="0" customWidth="1"/>
    <x:col min="20" max="20" width="10" hidden="0" customWidth="1"/>
    <x:col min="21" max="21" width="48" hidden="0" customWidth="1"/>
    <x:col min="22" max="22" width="16" hidden="0" customWidth="1"/>
    <x:col min="23" max="23" width="28" hidden="0" customWidth="1"/>
    <x:col min="24" max="24" width="12" hidden="0" customWidth="1"/>
    <x:col min="25" max="25" width="20" hidden="0" customWidth="1"/>
    <x:col min="26" max="26" width="12" hidden="0" customWidth="1"/>
    <x:col min="27" max="27" width="10" hidden="0" customWidth="1"/>
    <x:col min="28" max="28" width="16" hidden="0" customWidth="1"/>
    <x:col min="29" max="29" width="18" hidden="0" customWidth="1"/>
    <x:col min="30" max="30" width="14" hidden="0" customWidth="1"/>
    <x:col min="31" max="31" width="30" hidden="0" customWidth="1"/>
    <x:col min="32" max="32" width="78" hidden="0" customWidth="1"/>
    <x:col min="33" max="33" width="40" hidden="0" customWidth="1"/>
    <x:col min="34" max="34" width="44" hidden="0" customWidth="1"/>
    <x:col min="35" max="35" width="16" hidden="0" customWidth="1"/>
    <x:col min="36" max="36" width="28" hidden="0" customWidth="1"/>
    <x:col min="37" max="37" width="32" hidden="0" customWidth="1"/>
    <x:col min="38" max="38" width="70" hidden="0" customWidth="1"/>
    <x:col min="39" max="39" width="14" hidden="0" customWidth="1"/>
    <x:col min="40" max="40" width="26" hidden="0" customWidth="1"/>
  </x:cols>
  <x:sheetData>
    <x:row r="1" ht="30" customHeight="1">
      <x:c r="A1" s="57" t="str">
        <x:v>PepAuDB v0.5 — Atomic-Nuclearity Expansion + Matched Formation Controls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  <x:c r="AA1" s="57"/>
      <x:c r="AB1" s="57"/>
      <x:c r="AC1" s="57"/>
      <x:c r="AD1" s="57"/>
      <x:c r="AE1" s="57"/>
      <x:c r="AF1" s="57"/>
      <x:c r="AG1" s="57"/>
      <x:c r="AH1" s="57"/>
      <x:c r="AI1" s="57"/>
      <x:c r="AJ1" s="57"/>
      <x:c r="AK1" s="57"/>
      <x:c r="AL1" s="57"/>
      <x:c r="AM1" s="57"/>
      <x:c r="AN1" s="57"/>
    </x:row>
    <x:row r="2" ht="19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</x:row>
    <x:row r="3" ht="34" customHeight="1">
      <x:c r="A3" s="62" t="str">
        <x:v>Record_ID</x:v>
      </x:c>
      <x:c r="B3" s="62" t="str">
        <x:v>Source_ID</x:v>
      </x:c>
      <x:c r="C3" s="62" t="str">
        <x:v>Evidence_Class</x:v>
      </x:c>
      <x:c r="D3" s="62" t="str">
        <x:v>Data_Status</x:v>
      </x:c>
      <x:c r="E3" s="62" t="str">
        <x:v>Material_Regime</x:v>
      </x:c>
      <x:c r="F3" s="62" t="str">
        <x:v>Peptide_or_Ligand</x:v>
      </x:c>
      <x:c r="G3" s="62" t="str">
        <x:v>Sequence</x:v>
      </x:c>
      <x:c r="H3" s="62" t="str">
        <x:v>Stereochemistry</x:v>
      </x:c>
      <x:c r="I3" s="62" t="str">
        <x:v>Terminal_or_Chemical_Modification</x:v>
      </x:c>
      <x:c r="J3" s="62" t="str">
        <x:v>Au_Nuclearity</x:v>
      </x:c>
      <x:c r="K3" s="62" t="str">
        <x:v>Ligand_Count</x:v>
      </x:c>
      <x:c r="L3" s="62" t="str">
        <x:v>Core_Size_nm</x:v>
      </x:c>
      <x:c r="M3" s="62" t="str">
        <x:v>Hydrodynamic_Size_nm</x:v>
      </x:c>
      <x:c r="N3" s="62" t="str">
        <x:v>Morphology</x:v>
      </x:c>
      <x:c r="O3" s="62" t="str">
        <x:v>Au_Precursor</x:v>
      </x:c>
      <x:c r="P3" s="62" t="str">
        <x:v>Peptide_or_Ligand_Condition</x:v>
      </x:c>
      <x:c r="Q3" s="62" t="str">
        <x:v>Reducing_Agent</x:v>
      </x:c>
      <x:c r="R3" s="62" t="str">
        <x:v>pH</x:v>
      </x:c>
      <x:c r="S3" s="62" t="str">
        <x:v>Temperature_C</x:v>
      </x:c>
      <x:c r="T3" s="62" t="str">
        <x:v>Time_h</x:v>
      </x:c>
      <x:c r="U3" s="62" t="str">
        <x:v>Mixing_or_Process</x:v>
      </x:c>
      <x:c r="V3" s="62" t="str">
        <x:v>Emission_Peak_nm</x:v>
      </x:c>
      <x:c r="W3" s="62" t="str">
        <x:v>Emission_Range_nm</x:v>
      </x:c>
      <x:c r="X3" s="62" t="str">
        <x:v>PLQY_pct</x:v>
      </x:c>
      <x:c r="Y3" s="62" t="str">
        <x:v>Absorption_or_LSPR_nm</x:v>
      </x:c>
      <x:c r="Z3" s="62" t="str">
        <x:v>Zeta_mV</x:v>
      </x:c>
      <x:c r="AA3" s="62" t="str">
        <x:v>Laser_nm</x:v>
      </x:c>
      <x:c r="AB3" s="62" t="str">
        <x:v>Laser_Power_W_cm2</x:v>
      </x:c>
      <x:c r="AC3" s="62" t="str">
        <x:v>PTT_Temperature_C</x:v>
      </x:c>
      <x:c r="AD3" s="62" t="str">
        <x:v>PTT_Time_min</x:v>
      </x:c>
      <x:c r="AE3" s="62" t="str">
        <x:v>Application</x:v>
      </x:c>
      <x:c r="AF3" s="62" t="str">
        <x:v>Key_Observation</x:v>
      </x:c>
      <x:c r="AG3" s="62" t="str">
        <x:v>Source_Locator</x:v>
      </x:c>
      <x:c r="AH3" s="62" t="str">
        <x:v>DOI_URL</x:v>
      </x:c>
      <x:c r="AI3" s="62" t="str">
        <x:v>Key_Field_Completeness_pct</x:v>
      </x:c>
      <x:c r="AJ3" s="62" t="str">
        <x:v>Training_Eligibility</x:v>
      </x:c>
      <x:c r="AK3" s="62" t="str">
        <x:v>Sequence_Status</x:v>
      </x:c>
      <x:c r="AL3" s="62" t="str">
        <x:v>QC_Flag</x:v>
      </x:c>
      <x:c r="AM3" s="62" t="str">
        <x:v>Research_Date</x:v>
      </x:c>
      <x:c r="AN3" s="62" t="str">
        <x:v>Source_Type</x:v>
      </x:c>
    </x:row>
    <x:row r="4" ht="19" customHeight="1">
      <x:c r="A4" s="20" t="str">
        <x:v>R001</x:v>
      </x:c>
      <x:c r="B4" s="20" t="str">
        <x:v>S01</x:v>
      </x:c>
      <x:c r="C4" s="20" t="str">
        <x:v>B1 PEPTIDE_AUNP_MECHANISM</x:v>
      </x:c>
      <x:c r="D4" s="20" t="str">
        <x:v>DIRECT</x:v>
      </x:c>
      <x:c r="E4" s="20" t="str">
        <x:v>gold_nanoparticle</x:v>
      </x:c>
      <x:c r="F4" s="20" t="str">
        <x:v>AAAKCK</x:v>
      </x:c>
      <x:c r="G4" s="20" t="str">
        <x:v>AAAKCK</x:v>
      </x:c>
      <x:c r="H4" s="20" t="str">
        <x:v>L</x:v>
      </x:c>
      <x:c r="I4" s="20" t="str">
        <x:v>None</x:v>
      </x:c>
      <x:c r="J4" s="20"/>
      <x:c r="K4" s="20"/>
      <x:c r="L4" s="20"/>
      <x:c r="M4" s="20"/>
      <x:c r="N4" s="20" t="str">
        <x:v>Mostly icosahedron/decahedron; some hexagonal plates</x:v>
      </x:c>
      <x:c r="O4" s="20" t="str">
        <x:v>HAuCl4</x:v>
      </x:c>
      <x:c r="P4" s="20" t="str">
        <x:v>7 mM peptide; 10 mM HAuCl4; 20 mM phosphate buffer</x:v>
      </x:c>
      <x:c r="Q4" s="20" t="str">
        <x:v>Peptide self-reduction</x:v>
      </x:c>
      <x:c r="R4" s="20" t="n">
        <x:v>4</x:v>
      </x:c>
      <x:c r="S4" s="20" t="n">
        <x:v>25</x:v>
      </x:c>
      <x:c r="T4" s="20"/>
      <x:c r="U4" s="20" t="str">
        <x:v>No stirring; room temperature</x:v>
      </x:c>
      <x:c r="V4" s="20"/>
      <x:c r="W4" s="20"/>
      <x:c r="X4" s="20"/>
      <x:c r="Y4" s="20"/>
      <x:c r="Z4" s="20"/>
      <x:c r="AA4" s="20"/>
      <x:c r="AB4" s="20"/>
      <x:c r="AC4" s="20"/>
      <x:c r="AD4" s="20"/>
      <x:c r="AE4" s="20" t="str">
        <x:v>Mechanistic</x:v>
      </x:c>
      <x:c r="AF4" s="20" t="str">
        <x:v>pH 4: 71.4% icosahedron/decahedron; size ranges 55–90, 50–100 and 65–125 nm for icosahedron/decahedron/plates</x:v>
      </x:c>
      <x:c r="AG4" s="20" t="str">
        <x:v>Main text p.5; Fig.6</x:v>
      </x:c>
      <x:c r="AH4" s="20" t="str">
        <x:v>https://doi.org/10.1021/acsomega.6b00140</x:v>
      </x:c>
      <x:c r="AI4" s="24" t="n">
        <x:f>ROUND(100*COUNTA(G4,J4,L4,R4,S4,T4,V4,X4,AA4,AC4)/10,0)</x:f>
        <x:v>30</x:v>
      </x:c>
      <x:c r="AJ4" s="20" t="str">
        <x:v>MECHANISTIC_ONLY</x:v>
      </x:c>
      <x:c r="AK4" s="20" t="str">
        <x:v>EXACT_FROM_UPLOADED_PRIMARY</x:v>
      </x:c>
      <x:c r="AL4" s="20" t="str">
        <x:v>Cross-regime peptide→gold mechanism; not an atomically precise AuNC training target.</x:v>
      </x:c>
      <x:c r="AM4" s="20" t="str">
        <x:v>2026-09-07</x:v>
      </x:c>
      <x:c r="AN4" s="20" t="str">
        <x:v>UPLOADED_PRIMARY_OR_REVIEW</x:v>
      </x:c>
    </x:row>
    <x:row r="5" ht="19" customHeight="1">
      <x:c r="A5" s="20" t="str">
        <x:v>R002</x:v>
      </x:c>
      <x:c r="B5" s="20" t="str">
        <x:v>S01</x:v>
      </x:c>
      <x:c r="C5" s="20" t="str">
        <x:v>B1 PEPTIDE_AUNP_MECHANISM</x:v>
      </x:c>
      <x:c r="D5" s="20" t="str">
        <x:v>DIRECT</x:v>
      </x:c>
      <x:c r="E5" s="20" t="str">
        <x:v>gold_nanoparticle</x:v>
      </x:c>
      <x:c r="F5" s="20" t="str">
        <x:v>AAAKCK</x:v>
      </x:c>
      <x:c r="G5" s="20" t="str">
        <x:v>AAAKCK</x:v>
      </x:c>
      <x:c r="H5" s="20" t="str">
        <x:v>L</x:v>
      </x:c>
      <x:c r="I5" s="20" t="str">
        <x:v>None</x:v>
      </x:c>
      <x:c r="J5" s="20"/>
      <x:c r="K5" s="20"/>
      <x:c r="L5" s="20"/>
      <x:c r="M5" s="20"/>
      <x:c r="N5" s="20" t="str">
        <x:v>Mixed; icosahedron/decahedron + bipyramids/spheres/plates</x:v>
      </x:c>
      <x:c r="O5" s="20" t="str">
        <x:v>HAuCl4</x:v>
      </x:c>
      <x:c r="P5" s="20" t="str">
        <x:v>7 mM peptide; 10 mM HAuCl4; 20 mM phosphate buffer</x:v>
      </x:c>
      <x:c r="Q5" s="20" t="str">
        <x:v>Peptide self-reduction</x:v>
      </x:c>
      <x:c r="R5" s="20" t="n">
        <x:v>6</x:v>
      </x:c>
      <x:c r="S5" s="20" t="n">
        <x:v>25</x:v>
      </x:c>
      <x:c r="T5" s="20"/>
      <x:c r="U5" s="20" t="str">
        <x:v>No stirring; room temperature</x:v>
      </x:c>
      <x:c r="V5" s="20"/>
      <x:c r="W5" s="20"/>
      <x:c r="X5" s="20"/>
      <x:c r="Y5" s="20"/>
      <x:c r="Z5" s="20"/>
      <x:c r="AA5" s="20"/>
      <x:c r="AB5" s="20"/>
      <x:c r="AC5" s="20"/>
      <x:c r="AD5" s="20"/>
      <x:c r="AE5" s="20" t="str">
        <x:v>Mechanistic</x:v>
      </x:c>
      <x:c r="AF5" s="20" t="str">
        <x:v>pH 6 reduces many size ranges vs pH 4; spherical/bipyramidal forms appear</x:v>
      </x:c>
      <x:c r="AG5" s="20" t="str">
        <x:v>Main text p.5; Fig.6</x:v>
      </x:c>
      <x:c r="AH5" s="20" t="str">
        <x:v>https://doi.org/10.1021/acsomega.6b00140</x:v>
      </x:c>
      <x:c r="AI5" s="24" t="n">
        <x:f>ROUND(100*COUNTA(G5,J5,L5,R5,S5,T5,V5,X5,AA5,AC5)/10,0)</x:f>
        <x:v>30</x:v>
      </x:c>
      <x:c r="AJ5" s="20" t="str">
        <x:v>MECHANISTIC_ONLY</x:v>
      </x:c>
      <x:c r="AK5" s="20" t="str">
        <x:v>EXACT_FROM_UPLOADED_PRIMARY</x:v>
      </x:c>
      <x:c r="AL5" s="20" t="str">
        <x:v>Cross-regime peptide→gold mechanism; not an atomically precise AuNC training target.</x:v>
      </x:c>
      <x:c r="AM5" s="20" t="str">
        <x:v>2026-09-07</x:v>
      </x:c>
      <x:c r="AN5" s="20" t="str">
        <x:v>UPLOADED_PRIMARY_OR_REVIEW</x:v>
      </x:c>
    </x:row>
    <x:row r="6" ht="19" customHeight="1">
      <x:c r="A6" s="20" t="str">
        <x:v>R003</x:v>
      </x:c>
      <x:c r="B6" s="20" t="str">
        <x:v>S01</x:v>
      </x:c>
      <x:c r="C6" s="20" t="str">
        <x:v>B1 PEPTIDE_AUNP_MECHANISM</x:v>
      </x:c>
      <x:c r="D6" s="20" t="str">
        <x:v>DIRECT</x:v>
      </x:c>
      <x:c r="E6" s="20" t="str">
        <x:v>gold_nanoparticle</x:v>
      </x:c>
      <x:c r="F6" s="20" t="str">
        <x:v>AAAKCK</x:v>
      </x:c>
      <x:c r="G6" s="20" t="str">
        <x:v>AAAKCK</x:v>
      </x:c>
      <x:c r="H6" s="20" t="str">
        <x:v>L</x:v>
      </x:c>
      <x:c r="I6" s="20" t="str">
        <x:v>None</x:v>
      </x:c>
      <x:c r="J6" s="20"/>
      <x:c r="K6" s="20"/>
      <x:c r="L6" s="20" t="n">
        <x:v>18</x:v>
      </x:c>
      <x:c r="M6" s="20"/>
      <x:c r="N6" s="20" t="str">
        <x:v>Predominantly spherical / low shape polydispersity</x:v>
      </x:c>
      <x:c r="O6" s="20" t="str">
        <x:v>HAuCl4</x:v>
      </x:c>
      <x:c r="P6" s="20" t="str">
        <x:v>7 mM peptide; 10 mM HAuCl4; 20 mM phosphate buffer</x:v>
      </x:c>
      <x:c r="Q6" s="20" t="str">
        <x:v>Peptide self-reduction</x:v>
      </x:c>
      <x:c r="R6" s="20" t="n">
        <x:v>9</x:v>
      </x:c>
      <x:c r="S6" s="20" t="n">
        <x:v>25</x:v>
      </x:c>
      <x:c r="T6" s="20"/>
      <x:c r="U6" s="20" t="str">
        <x:v>No stirring; room temperature</x:v>
      </x:c>
      <x:c r="V6" s="20"/>
      <x:c r="W6" s="20"/>
      <x:c r="X6" s="20"/>
      <x:c r="Y6" s="20"/>
      <x:c r="Z6" s="20"/>
      <x:c r="AA6" s="20"/>
      <x:c r="AB6" s="20"/>
      <x:c r="AC6" s="20"/>
      <x:c r="AD6" s="20"/>
      <x:c r="AE6" s="20" t="str">
        <x:v>Mechanistic</x:v>
      </x:c>
      <x:c r="AF6" s="20" t="str">
        <x:v>pH 9 produced low shape polydispersity with predominant ~18 nm particles</x:v>
      </x:c>
      <x:c r="AG6" s="20" t="str">
        <x:v>Main text p.5; Fig.6F</x:v>
      </x:c>
      <x:c r="AH6" s="20" t="str">
        <x:v>https://doi.org/10.1021/acsomega.6b00140</x:v>
      </x:c>
      <x:c r="AI6" s="24" t="n">
        <x:f>ROUND(100*COUNTA(G6,J6,L6,R6,S6,T6,V6,X6,AA6,AC6)/10,0)</x:f>
        <x:v>40</x:v>
      </x:c>
      <x:c r="AJ6" s="20" t="str">
        <x:v>MECHANISTIC_ONLY</x:v>
      </x:c>
      <x:c r="AK6" s="20" t="str">
        <x:v>EXACT_FROM_UPLOADED_PRIMARY</x:v>
      </x:c>
      <x:c r="AL6" s="20" t="str">
        <x:v>Cross-regime peptide→gold mechanism; not an atomically precise AuNC training target.</x:v>
      </x:c>
      <x:c r="AM6" s="20" t="str">
        <x:v>2026-09-07</x:v>
      </x:c>
      <x:c r="AN6" s="20" t="str">
        <x:v>UPLOADED_PRIMARY_OR_REVIEW</x:v>
      </x:c>
    </x:row>
    <x:row r="7" ht="19" customHeight="1">
      <x:c r="A7" s="20" t="str">
        <x:v>R004</x:v>
      </x:c>
      <x:c r="B7" s="20" t="str">
        <x:v>S01</x:v>
      </x:c>
      <x:c r="C7" s="20" t="str">
        <x:v>B1 PEPTIDE_AUNP_MECHANISM</x:v>
      </x:c>
      <x:c r="D7" s="20" t="str">
        <x:v>DIRECT</x:v>
      </x:c>
      <x:c r="E7" s="20" t="str">
        <x:v>gold_nanoparticle</x:v>
      </x:c>
      <x:c r="F7" s="20" t="str">
        <x:v>AAARCR</x:v>
      </x:c>
      <x:c r="G7" s="20" t="str">
        <x:v>AAARCR</x:v>
      </x:c>
      <x:c r="H7" s="20" t="str">
        <x:v>L</x:v>
      </x:c>
      <x:c r="I7" s="20" t="str">
        <x:v>None</x:v>
      </x:c>
      <x:c r="J7" s="20"/>
      <x:c r="K7" s="20"/>
      <x:c r="L7" s="20" t="n">
        <x:v>79</x:v>
      </x:c>
      <x:c r="M7" s="20"/>
      <x:c r="N7" s="20" t="str">
        <x:v>Low-polydispersity particles</x:v>
      </x:c>
      <x:c r="O7" s="20" t="str">
        <x:v>HAuCl4</x:v>
      </x:c>
      <x:c r="P7" s="20" t="str">
        <x:v>Same base protocol as alkaline peptide experiments</x:v>
      </x:c>
      <x:c r="Q7" s="20" t="str">
        <x:v>Peptide self-reduction</x:v>
      </x:c>
      <x:c r="R7" s="20" t="n">
        <x:v>9</x:v>
      </x:c>
      <x:c r="S7" s="20" t="n">
        <x:v>25</x:v>
      </x:c>
      <x:c r="T7" s="20"/>
      <x:c r="U7" s="20" t="str">
        <x:v>No stirring; room temperature</x:v>
      </x:c>
      <x:c r="V7" s="20"/>
      <x:c r="W7" s="20"/>
      <x:c r="X7" s="20"/>
      <x:c r="Y7" s="20" t="n">
        <x:v>536</x:v>
      </x:c>
      <x:c r="Z7" s="20" t="n">
        <x:v>30.4</x:v>
      </x:c>
      <x:c r="AA7" s="20"/>
      <x:c r="AB7" s="20"/>
      <x:c r="AC7" s="20"/>
      <x:c r="AD7" s="20"/>
      <x:c r="AE7" s="20" t="str">
        <x:v>Mechanistic</x:v>
      </x:c>
      <x:c r="AF7" s="20" t="str">
        <x:v>Alkaline pH favored AAARCR synthesis; mean diameter 79±6 nm reported for pH 9–10</x:v>
      </x:c>
      <x:c r="AG7" s="20" t="str">
        <x:v>Main text p.7–8; Fig.11</x:v>
      </x:c>
      <x:c r="AH7" s="20" t="str">
        <x:v>https://doi.org/10.1021/acsomega.6b00140</x:v>
      </x:c>
      <x:c r="AI7" s="24" t="n">
        <x:f>ROUND(100*COUNTA(G7,J7,L7,R7,S7,T7,V7,X7,AA7,AC7)/10,0)</x:f>
        <x:v>40</x:v>
      </x:c>
      <x:c r="AJ7" s="20" t="str">
        <x:v>MECHANISTIC_ONLY</x:v>
      </x:c>
      <x:c r="AK7" s="20" t="str">
        <x:v>EXACT_FROM_UPLOADED_PRIMARY</x:v>
      </x:c>
      <x:c r="AL7" s="20" t="str">
        <x:v>Cross-regime peptide→gold mechanism; not an atomically precise AuNC training target.</x:v>
      </x:c>
      <x:c r="AM7" s="20" t="str">
        <x:v>2026-09-07</x:v>
      </x:c>
      <x:c r="AN7" s="20" t="str">
        <x:v>UPLOADED_PRIMARY_OR_REVIEW</x:v>
      </x:c>
    </x:row>
    <x:row r="8" ht="19" customHeight="1">
      <x:c r="A8" s="20" t="str">
        <x:v>R005</x:v>
      </x:c>
      <x:c r="B8" s="20" t="str">
        <x:v>S01</x:v>
      </x:c>
      <x:c r="C8" s="20" t="str">
        <x:v>B1 PEPTIDE_AUNP_MECHANISM</x:v>
      </x:c>
      <x:c r="D8" s="20" t="str">
        <x:v>DIRECT</x:v>
      </x:c>
      <x:c r="E8" s="20" t="str">
        <x:v>gold_nanoparticle</x:v>
      </x:c>
      <x:c r="F8" s="20" t="str">
        <x:v>AAARCR</x:v>
      </x:c>
      <x:c r="G8" s="20" t="str">
        <x:v>AAARCR</x:v>
      </x:c>
      <x:c r="H8" s="20" t="str">
        <x:v>L</x:v>
      </x:c>
      <x:c r="I8" s="20" t="str">
        <x:v>None</x:v>
      </x:c>
      <x:c r="J8" s="20"/>
      <x:c r="K8" s="20"/>
      <x:c r="L8" s="20" t="n">
        <x:v>79</x:v>
      </x:c>
      <x:c r="M8" s="20"/>
      <x:c r="N8" s="20" t="str">
        <x:v>Low-polydispersity particles</x:v>
      </x:c>
      <x:c r="O8" s="20" t="str">
        <x:v>HAuCl4</x:v>
      </x:c>
      <x:c r="P8" s="20" t="str">
        <x:v>Same base protocol as alkaline peptide experiments</x:v>
      </x:c>
      <x:c r="Q8" s="20" t="str">
        <x:v>Peptide self-reduction</x:v>
      </x:c>
      <x:c r="R8" s="20" t="n">
        <x:v>10</x:v>
      </x:c>
      <x:c r="S8" s="20" t="n">
        <x:v>25</x:v>
      </x:c>
      <x:c r="T8" s="20"/>
      <x:c r="U8" s="20" t="str">
        <x:v>No stirring; room temperature</x:v>
      </x:c>
      <x:c r="V8" s="20"/>
      <x:c r="W8" s="20"/>
      <x:c r="X8" s="20"/>
      <x:c r="Y8" s="20" t="n">
        <x:v>536</x:v>
      </x:c>
      <x:c r="Z8" s="20" t="n">
        <x:v>33.2</x:v>
      </x:c>
      <x:c r="AA8" s="20"/>
      <x:c r="AB8" s="20"/>
      <x:c r="AC8" s="20"/>
      <x:c r="AD8" s="20"/>
      <x:c r="AE8" s="20" t="str">
        <x:v>Mechanistic</x:v>
      </x:c>
      <x:c r="AF8" s="20" t="str">
        <x:v>Narrow SPR ~536 nm; mean diameter 79±6 nm; positive zeta potential</x:v>
      </x:c>
      <x:c r="AG8" s="20" t="str">
        <x:v>Main text p.7–8; Fig.11</x:v>
      </x:c>
      <x:c r="AH8" s="20" t="str">
        <x:v>https://doi.org/10.1021/acsomega.6b00140</x:v>
      </x:c>
      <x:c r="AI8" s="24" t="n">
        <x:f>ROUND(100*COUNTA(G8,J8,L8,R8,S8,T8,V8,X8,AA8,AC8)/10,0)</x:f>
        <x:v>40</x:v>
      </x:c>
      <x:c r="AJ8" s="20" t="str">
        <x:v>MECHANISTIC_ONLY</x:v>
      </x:c>
      <x:c r="AK8" s="20" t="str">
        <x:v>EXACT_FROM_UPLOADED_PRIMARY</x:v>
      </x:c>
      <x:c r="AL8" s="20" t="str">
        <x:v>Cross-regime peptide→gold mechanism; not an atomically precise AuNC training target.</x:v>
      </x:c>
      <x:c r="AM8" s="20" t="str">
        <x:v>2026-09-07</x:v>
      </x:c>
      <x:c r="AN8" s="20" t="str">
        <x:v>UPLOADED_PRIMARY_OR_REVIEW</x:v>
      </x:c>
    </x:row>
    <x:row r="9" ht="19" customHeight="1">
      <x:c r="A9" s="20" t="str">
        <x:v>R006</x:v>
      </x:c>
      <x:c r="B9" s="20" t="str">
        <x:v>S01</x:v>
      </x:c>
      <x:c r="C9" s="20" t="str">
        <x:v>B1 PEPTIDE_AUNP_MECHANISM</x:v>
      </x:c>
      <x:c r="D9" s="20" t="str">
        <x:v>DIRECT</x:v>
      </x:c>
      <x:c r="E9" s="20" t="str">
        <x:v>gold_nanoparticle</x:v>
      </x:c>
      <x:c r="F9" s="20" t="str">
        <x:v>AAAACA</x:v>
      </x:c>
      <x:c r="G9" s="20" t="str">
        <x:v>AAAACA</x:v>
      </x:c>
      <x:c r="H9" s="20" t="str">
        <x:v>L</x:v>
      </x:c>
      <x:c r="I9" s="20" t="str">
        <x:v>PEG10 required</x:v>
      </x:c>
      <x:c r="J9" s="20"/>
      <x:c r="K9" s="20"/>
      <x:c r="L9" s="20"/>
      <x:c r="M9" s="20"/>
      <x:c r="N9" s="20" t="str">
        <x:v>GNP formation</x:v>
      </x:c>
      <x:c r="O9" s="20" t="str">
        <x:v>HAuCl4</x:v>
      </x:c>
      <x:c r="P9" s="20" t="str">
        <x:v>PEG10 present</x:v>
      </x:c>
      <x:c r="Q9" s="20" t="str">
        <x:v>Peptide + PEG-assisted</x:v>
      </x:c>
      <x:c r="R9" s="20" t="n">
        <x:v>8</x:v>
      </x:c>
      <x:c r="S9" s="20" t="n">
        <x:v>25</x:v>
      </x:c>
      <x:c r="T9" s="20"/>
      <x:c r="U9" s="20" t="str">
        <x:v>Room temperature</x:v>
      </x:c>
      <x:c r="V9" s="20"/>
      <x:c r="W9" s="20"/>
      <x:c r="X9" s="20"/>
      <x:c r="Y9" s="20"/>
      <x:c r="Z9" s="20"/>
      <x:c r="AA9" s="20"/>
      <x:c r="AB9" s="20"/>
      <x:c r="AC9" s="20"/>
      <x:c r="AD9" s="20"/>
      <x:c r="AE9" s="20" t="str">
        <x:v>Mechanistic</x:v>
      </x:c>
      <x:c r="AF9" s="20" t="str">
        <x:v>Neutral peptide required PEG10; GNP synthesis at pH 8 and 11</x:v>
      </x:c>
      <x:c r="AG9" s="20" t="str">
        <x:v>Main text p.8 + SI</x:v>
      </x:c>
      <x:c r="AH9" s="20" t="str">
        <x:v>https://doi.org/10.1021/acsomega.6b00140</x:v>
      </x:c>
      <x:c r="AI9" s="24" t="n">
        <x:f>ROUND(100*COUNTA(G9,J9,L9,R9,S9,T9,V9,X9,AA9,AC9)/10,0)</x:f>
        <x:v>30</x:v>
      </x:c>
      <x:c r="AJ9" s="20" t="str">
        <x:v>MECHANISTIC_ONLY</x:v>
      </x:c>
      <x:c r="AK9" s="20" t="str">
        <x:v>EXACT_FROM_UPLOADED_PRIMARY</x:v>
      </x:c>
      <x:c r="AL9" s="20" t="str">
        <x:v>Cross-regime peptide→gold mechanism; not an atomically precise AuNC training target.</x:v>
      </x:c>
      <x:c r="AM9" s="20" t="str">
        <x:v>2026-09-07</x:v>
      </x:c>
      <x:c r="AN9" s="20" t="str">
        <x:v>UPLOADED_PRIMARY_OR_REVIEW</x:v>
      </x:c>
    </x:row>
    <x:row r="10" ht="19" customHeight="1">
      <x:c r="A10" s="20" t="str">
        <x:v>R007</x:v>
      </x:c>
      <x:c r="B10" s="20" t="str">
        <x:v>S01</x:v>
      </x:c>
      <x:c r="C10" s="20" t="str">
        <x:v>B1 PEPTIDE_AUNP_MECHANISM</x:v>
      </x:c>
      <x:c r="D10" s="20" t="str">
        <x:v>DIRECT</x:v>
      </x:c>
      <x:c r="E10" s="20" t="str">
        <x:v>gold_nanoparticle</x:v>
      </x:c>
      <x:c r="F10" s="20" t="str">
        <x:v>AAAECE</x:v>
      </x:c>
      <x:c r="G10" s="20" t="str">
        <x:v>AAAECE</x:v>
      </x:c>
      <x:c r="H10" s="20" t="str">
        <x:v>L</x:v>
      </x:c>
      <x:c r="I10" s="20" t="str">
        <x:v>PEG10 required</x:v>
      </x:c>
      <x:c r="J10" s="20"/>
      <x:c r="K10" s="20"/>
      <x:c r="L10" s="20"/>
      <x:c r="M10" s="20"/>
      <x:c r="N10" s="20" t="str">
        <x:v>GNP formation</x:v>
      </x:c>
      <x:c r="O10" s="20" t="str">
        <x:v>HAuCl4</x:v>
      </x:c>
      <x:c r="P10" s="20" t="str">
        <x:v>PEG10 present</x:v>
      </x:c>
      <x:c r="Q10" s="20" t="str">
        <x:v>Peptide + PEG-assisted</x:v>
      </x:c>
      <x:c r="R10" s="20" t="n">
        <x:v>7</x:v>
      </x:c>
      <x:c r="S10" s="20" t="n">
        <x:v>80</x:v>
      </x:c>
      <x:c r="T10" s="20"/>
      <x:c r="U10" s="20" t="str">
        <x:v>Heating required</x:v>
      </x:c>
      <x:c r="V10" s="20"/>
      <x:c r="W10" s="20"/>
      <x:c r="X10" s="20"/>
      <x:c r="Y10" s="20"/>
      <x:c r="Z10" s="20"/>
      <x:c r="AA10" s="20"/>
      <x:c r="AB10" s="20"/>
      <x:c r="AC10" s="20"/>
      <x:c r="AD10" s="20"/>
      <x:c r="AE10" s="20" t="str">
        <x:v>Mechanistic</x:v>
      </x:c>
      <x:c r="AF10" s="20" t="str">
        <x:v>Acidic peptide required PEG10 and 80°C; synthesis observed at pH 7 and 11</x:v>
      </x:c>
      <x:c r="AG10" s="20" t="str">
        <x:v>Main text p.8 + SI</x:v>
      </x:c>
      <x:c r="AH10" s="20" t="str">
        <x:v>https://doi.org/10.1021/acsomega.6b00140</x:v>
      </x:c>
      <x:c r="AI10" s="24" t="n">
        <x:f>ROUND(100*COUNTA(G10,J10,L10,R10,S10,T10,V10,X10,AA10,AC10)/10,0)</x:f>
        <x:v>30</x:v>
      </x:c>
      <x:c r="AJ10" s="20" t="str">
        <x:v>MECHANISTIC_ONLY</x:v>
      </x:c>
      <x:c r="AK10" s="20" t="str">
        <x:v>EXACT_FROM_UPLOADED_PRIMARY</x:v>
      </x:c>
      <x:c r="AL10" s="20" t="str">
        <x:v>Cross-regime peptide→gold mechanism; not an atomically precise AuNC training target.</x:v>
      </x:c>
      <x:c r="AM10" s="20" t="str">
        <x:v>2026-09-07</x:v>
      </x:c>
      <x:c r="AN10" s="20" t="str">
        <x:v>UPLOADED_PRIMARY_OR_REVIEW</x:v>
      </x:c>
    </x:row>
    <x:row r="11" ht="19" customHeight="1">
      <x:c r="A11" s="20" t="str">
        <x:v>R008</x:v>
      </x:c>
      <x:c r="B11" s="20" t="str">
        <x:v>S01</x:v>
      </x:c>
      <x:c r="C11" s="20" t="str">
        <x:v>B1 PEPTIDE_AUNP_MECHANISM</x:v>
      </x:c>
      <x:c r="D11" s="20" t="str">
        <x:v>DIRECT</x:v>
      </x:c>
      <x:c r="E11" s="20" t="str">
        <x:v>gold_nanoparticle</x:v>
      </x:c>
      <x:c r="F11" s="20" t="str">
        <x:v>Glutathione (GSH)</x:v>
      </x:c>
      <x:c r="G11" s="20" t="str">
        <x:v>γ-ECG</x:v>
      </x:c>
      <x:c r="H11" s="20" t="str">
        <x:v>L</x:v>
      </x:c>
      <x:c r="I11" s="20" t="str">
        <x:v>PEG10 required</x:v>
      </x:c>
      <x:c r="J11" s="20"/>
      <x:c r="K11" s="20"/>
      <x:c r="L11" s="20"/>
      <x:c r="M11" s="20"/>
      <x:c r="N11" s="20" t="str">
        <x:v>GNP formation</x:v>
      </x:c>
      <x:c r="O11" s="20" t="str">
        <x:v>HAuCl4</x:v>
      </x:c>
      <x:c r="P11" s="20" t="str">
        <x:v>PEG10 present</x:v>
      </x:c>
      <x:c r="Q11" s="20" t="str">
        <x:v>Peptide + PEG-assisted</x:v>
      </x:c>
      <x:c r="R11" s="20" t="n">
        <x:v>11</x:v>
      </x:c>
      <x:c r="S11" s="20" t="n">
        <x:v>80</x:v>
      </x:c>
      <x:c r="T11" s="20"/>
      <x:c r="U11" s="20" t="str">
        <x:v>Heating required</x:v>
      </x:c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 t="str">
        <x:v>Mechanistic</x:v>
      </x:c>
      <x:c r="AF11" s="20" t="str">
        <x:v>GSH required PEG10 + 80°C and produced GNPs only at pH 11 in this study</x:v>
      </x:c>
      <x:c r="AG11" s="20" t="str">
        <x:v>Main text p.8 + SI</x:v>
      </x:c>
      <x:c r="AH11" s="20" t="str">
        <x:v>https://doi.org/10.1021/acsomega.6b00140</x:v>
      </x:c>
      <x:c r="AI11" s="24" t="n">
        <x:f>ROUND(100*COUNTA(G11,J11,L11,R11,S11,T11,V11,X11,AA11,AC11)/10,0)</x:f>
        <x:v>30</x:v>
      </x:c>
      <x:c r="AJ11" s="20" t="str">
        <x:v>MECHANISTIC_ONLY</x:v>
      </x:c>
      <x:c r="AK11" s="20" t="str">
        <x:v>EXACT_FROM_UPLOADED_PRIMARY</x:v>
      </x:c>
      <x:c r="AL11" s="20" t="str">
        <x:v>Cross-regime peptide→gold mechanism; not an atomically precise AuNC training target.</x:v>
      </x:c>
      <x:c r="AM11" s="20" t="str">
        <x:v>2026-09-07</x:v>
      </x:c>
      <x:c r="AN11" s="20" t="str">
        <x:v>UPLOADED_PRIMARY_OR_REVIEW</x:v>
      </x:c>
    </x:row>
    <x:row r="12" ht="19" customHeight="1">
      <x:c r="A12" s="20" t="str">
        <x:v>R009</x:v>
      </x:c>
      <x:c r="B12" s="20" t="str">
        <x:v>S02</x:v>
      </x:c>
      <x:c r="C12" s="20" t="str">
        <x:v>B1 PEPTIDE_AUNP_MECHANISM</x:v>
      </x:c>
      <x:c r="D12" s="20" t="str">
        <x:v>DIRECT</x:v>
      </x:c>
      <x:c r="E12" s="20" t="str">
        <x:v>gold_bipyramid</x:v>
      </x:c>
      <x:c r="F12" s="20" t="str">
        <x:v>D-Cys-Phe</x:v>
      </x:c>
      <x:c r="G12" s="20" t="str">
        <x:v>CF</x:v>
      </x:c>
      <x:c r="H12" s="20" t="str">
        <x:v>D</x:v>
      </x:c>
      <x:c r="I12" s="20" t="str">
        <x:v>Chiral D peptide; SH-PEG surface stabilization</x:v>
      </x:c>
      <x:c r="J12" s="20"/>
      <x:c r="K12" s="20"/>
      <x:c r="L12" s="20"/>
      <x:c r="M12" s="20"/>
      <x:c r="N12" s="20" t="str">
        <x:v>Sea-cucumber-like spiked GBP; ~200×50 nm</x:v>
      </x:c>
      <x:c r="O12" s="20" t="str">
        <x:v>HAuCl4</x:v>
      </x:c>
      <x:c r="P12" s="20" t="str">
        <x:v>Seed-mediated growth with Cys-Phe</x:v>
      </x:c>
      <x:c r="Q12" s="20" t="str">
        <x:v>Ascorbic acid</x:v>
      </x:c>
      <x:c r="R12" s="20"/>
      <x:c r="S12" s="20"/>
      <x:c r="T12" s="20"/>
      <x:c r="U12" s="20" t="str">
        <x:v>~100 nm Au NBP seeds; aqueous growth</x:v>
      </x:c>
      <x:c r="V12" s="20"/>
      <x:c r="W12" s="20"/>
      <x:c r="X12" s="20"/>
      <x:c r="Y12" s="20" t="n">
        <x:v>536</x:v>
      </x:c>
      <x:c r="Z12" s="20"/>
      <x:c r="AA12" s="20" t="n">
        <x:v>808</x:v>
      </x:c>
      <x:c r="AB12" s="20" t="n">
        <x:v>0.8</x:v>
      </x:c>
      <x:c r="AC12" s="20" t="str">
        <x:v>&gt;45</x:v>
      </x:c>
      <x:c r="AD12" s="20" t="n">
        <x:v>5</x:v>
      </x:c>
      <x:c r="AE12" s="20" t="str">
        <x:v>Antibacterial PTT</x:v>
      </x:c>
      <x:c r="AF12" s="20" t="str">
        <x:v>D-form gave stronger bacterial binding and higher PTT response than L-form</x:v>
      </x:c>
      <x:c r="AG12" s="20" t="str">
        <x:v>Main text pp.2–4</x:v>
      </x:c>
      <x:c r="AH12" s="20" t="str">
        <x:v>https://doi.org/10.1039/d2sc03443c</x:v>
      </x:c>
      <x:c r="AI12" s="24" t="n">
        <x:f>ROUND(100*COUNTA(G12,J12,L12,R12,S12,T12,V12,X12,AA12,AC12)/10,0)</x:f>
        <x:v>30</x:v>
      </x:c>
      <x:c r="AJ12" s="20" t="str">
        <x:v>MECHANISTIC_ONLY</x:v>
      </x:c>
      <x:c r="AK12" s="20" t="str">
        <x:v>EXACT_FROM_UPLOADED_PRIMARY</x:v>
      </x:c>
      <x:c r="AL12" s="20" t="str">
        <x:v>Cross-regime peptide→gold mechanism; not an atomically precise AuNC training target.</x:v>
      </x:c>
      <x:c r="AM12" s="20" t="str">
        <x:v>2026-09-07</x:v>
      </x:c>
      <x:c r="AN12" s="20" t="str">
        <x:v>UPLOADED_PRIMARY_OR_REVIEW</x:v>
      </x:c>
    </x:row>
    <x:row r="13" ht="19" customHeight="1">
      <x:c r="A13" s="20" t="str">
        <x:v>R010</x:v>
      </x:c>
      <x:c r="B13" s="20" t="str">
        <x:v>S02</x:v>
      </x:c>
      <x:c r="C13" s="20" t="str">
        <x:v>B1 PEPTIDE_AUNP_MECHANISM</x:v>
      </x:c>
      <x:c r="D13" s="20" t="str">
        <x:v>DIRECT</x:v>
      </x:c>
      <x:c r="E13" s="20" t="str">
        <x:v>gold_bipyramid</x:v>
      </x:c>
      <x:c r="F13" s="20" t="str">
        <x:v>L-Cys-Phe</x:v>
      </x:c>
      <x:c r="G13" s="20" t="str">
        <x:v>CF</x:v>
      </x:c>
      <x:c r="H13" s="20" t="str">
        <x:v>L</x:v>
      </x:c>
      <x:c r="I13" s="20" t="str">
        <x:v>Chiral L peptide; SH-PEG surface stabilization</x:v>
      </x:c>
      <x:c r="J13" s="20"/>
      <x:c r="K13" s="20"/>
      <x:c r="L13" s="20"/>
      <x:c r="M13" s="20"/>
      <x:c r="N13" s="20" t="str">
        <x:v>Sea-cucumber-like spiked GBP; ~200×50 nm</x:v>
      </x:c>
      <x:c r="O13" s="20" t="str">
        <x:v>HAuCl4</x:v>
      </x:c>
      <x:c r="P13" s="20" t="str">
        <x:v>Seed-mediated growth with Cys-Phe</x:v>
      </x:c>
      <x:c r="Q13" s="20" t="str">
        <x:v>Ascorbic acid</x:v>
      </x:c>
      <x:c r="R13" s="20"/>
      <x:c r="S13" s="20"/>
      <x:c r="T13" s="20"/>
      <x:c r="U13" s="20" t="str">
        <x:v>~100 nm Au NBP seeds; aqueous growth</x:v>
      </x:c>
      <x:c r="V13" s="20"/>
      <x:c r="W13" s="20"/>
      <x:c r="X13" s="20"/>
      <x:c r="Y13" s="20" t="n">
        <x:v>536</x:v>
      </x:c>
      <x:c r="Z13" s="20"/>
      <x:c r="AA13" s="20" t="n">
        <x:v>808</x:v>
      </x:c>
      <x:c r="AB13" s="20" t="n">
        <x:v>0.8</x:v>
      </x:c>
      <x:c r="AC13" s="20" t="str">
        <x:v>&gt;45</x:v>
      </x:c>
      <x:c r="AD13" s="20" t="n">
        <x:v>5</x:v>
      </x:c>
      <x:c r="AE13" s="20" t="str">
        <x:v>Antibacterial PTT</x:v>
      </x:c>
      <x:c r="AF13" s="20" t="str">
        <x:v>L-form forms mirror-chiral GBP and has lower bacterial affinity than D-form</x:v>
      </x:c>
      <x:c r="AG13" s="20" t="str">
        <x:v>Main text pp.2–4</x:v>
      </x:c>
      <x:c r="AH13" s="20" t="str">
        <x:v>https://doi.org/10.1039/d2sc03443c</x:v>
      </x:c>
      <x:c r="AI13" s="24" t="n">
        <x:f>ROUND(100*COUNTA(G13,J13,L13,R13,S13,T13,V13,X13,AA13,AC13)/10,0)</x:f>
        <x:v>30</x:v>
      </x:c>
      <x:c r="AJ13" s="20" t="str">
        <x:v>MECHANISTIC_ONLY</x:v>
      </x:c>
      <x:c r="AK13" s="20" t="str">
        <x:v>EXACT_FROM_UPLOADED_PRIMARY</x:v>
      </x:c>
      <x:c r="AL13" s="20" t="str">
        <x:v>Cross-regime peptide→gold mechanism; not an atomically precise AuNC training target.</x:v>
      </x:c>
      <x:c r="AM13" s="20" t="str">
        <x:v>2026-09-07</x:v>
      </x:c>
      <x:c r="AN13" s="20" t="str">
        <x:v>UPLOADED_PRIMARY_OR_REVIEW</x:v>
      </x:c>
    </x:row>
    <x:row r="14" ht="19" customHeight="1">
      <x:c r="A14" s="20" t="str">
        <x:v>R011</x:v>
      </x:c>
      <x:c r="B14" s="20" t="str">
        <x:v>S03</x:v>
      </x:c>
      <x:c r="C14" s="20" t="str">
        <x:v>B1 PEPTIDE_AUNP_MECHANISM</x:v>
      </x:c>
      <x:c r="D14" s="20" t="str">
        <x:v>DIRECT</x:v>
      </x:c>
      <x:c r="E14" s="20" t="str">
        <x:v>gold_superstructure</x:v>
      </x:c>
      <x:c r="F14" s="20" t="str">
        <x:v>C18-(PEPAuM-ox)2</x:v>
      </x:c>
      <x:c r="G14" s="20" t="str">
        <x:v>AYSSGAPPMoxPPF</x:v>
      </x:c>
      <x:c r="H14" s="20" t="str">
        <x:v>L</x:v>
      </x:c>
      <x:c r="I14" s="20" t="str">
        <x:v>C18 tail; methionine oxidized to sulfoxide</x:v>
      </x:c>
      <x:c r="J14" s="20"/>
      <x:c r="K14" s="20"/>
      <x:c r="L14" s="20"/>
      <x:c r="M14" s="20"/>
      <x:c r="N14" s="20" t="str">
        <x:v>Single-helical superstructure; rod-like AuNP 16.6×9.6 nm</x:v>
      </x:c>
      <x:c r="O14" s="20" t="str">
        <x:v>Gold salt</x:v>
      </x:c>
      <x:c r="P14" s="20" t="str">
        <x:v>Peptide conjugate + assembly buffer</x:v>
      </x:c>
      <x:c r="Q14" s="20" t="str">
        <x:v>Reducing agent used</x:v>
      </x:c>
      <x:c r="R14" s="20"/>
      <x:c r="S14" s="20"/>
      <x:c r="T14" s="20" t="n">
        <x:v>15</x:v>
      </x:c>
      <x:c r="U14" s="20" t="str">
        <x:v>In-situ growth on peptide fibers</x:v>
      </x:c>
      <x:c r="V14" s="20"/>
      <x:c r="W14" s="20"/>
      <x:c r="X14" s="20"/>
      <x:c r="Y14" s="20"/>
      <x:c r="Z14" s="20"/>
      <x:c r="AA14" s="20"/>
      <x:c r="AB14" s="20"/>
      <x:c r="AC14" s="20"/>
      <x:c r="AD14" s="20"/>
      <x:c r="AE14" s="20" t="str">
        <x:v>Chiral assembly</x:v>
      </x:c>
      <x:c r="AF14" s="20" t="str">
        <x:v>Methionine oxidation alone switches product toward single helices under otherwise nearly identical synthesis conditions</x:v>
      </x:c>
      <x:c r="AG14" s="20" t="str">
        <x:v>Main text p.2; Fig.1–2</x:v>
      </x:c>
      <x:c r="AH14" s="20" t="str">
        <x:v>https://doi.org/10.1021/jacs.6b07322</x:v>
      </x:c>
      <x:c r="AI14" s="24" t="n">
        <x:f>ROUND(100*COUNTA(G14,J14,L14,R14,S14,T14,V14,X14,AA14,AC14)/10,0)</x:f>
        <x:v>20</x:v>
      </x:c>
      <x:c r="AJ14" s="20" t="str">
        <x:v>MECHANISTIC_ONLY</x:v>
      </x:c>
      <x:c r="AK14" s="20" t="str">
        <x:v>EXACT_FROM_UPLOADED_PRIMARY</x:v>
      </x:c>
      <x:c r="AL14" s="20" t="str">
        <x:v>Cross-regime peptide→gold mechanism; not an atomically precise AuNC training target.</x:v>
      </x:c>
      <x:c r="AM14" s="20" t="str">
        <x:v>2026-09-07</x:v>
      </x:c>
      <x:c r="AN14" s="20" t="str">
        <x:v>UPLOADED_PRIMARY_OR_REVIEW</x:v>
      </x:c>
    </x:row>
    <x:row r="15" ht="19" customHeight="1">
      <x:c r="A15" s="20" t="str">
        <x:v>R012</x:v>
      </x:c>
      <x:c r="B15" s="20" t="str">
        <x:v>S03</x:v>
      </x:c>
      <x:c r="C15" s="20" t="str">
        <x:v>B1 PEPTIDE_AUNP_MECHANISM</x:v>
      </x:c>
      <x:c r="D15" s="20" t="str">
        <x:v>DIRECT</x:v>
      </x:c>
      <x:c r="E15" s="20" t="str">
        <x:v>gold_superstructure</x:v>
      </x:c>
      <x:c r="F15" s="20" t="str">
        <x:v>C18-(PEPAu)2</x:v>
      </x:c>
      <x:c r="G15" s="20" t="str">
        <x:v>AYSSGAPPMPPF</x:v>
      </x:c>
      <x:c r="H15" s="20" t="str">
        <x:v>L</x:v>
      </x:c>
      <x:c r="I15" s="20" t="str">
        <x:v>C18 tail; unoxidized methionine</x:v>
      </x:c>
      <x:c r="J15" s="20"/>
      <x:c r="K15" s="20"/>
      <x:c r="L15" s="20"/>
      <x:c r="M15" s="20"/>
      <x:c r="N15" s="20" t="str">
        <x:v>Double-helical superstructure</x:v>
      </x:c>
      <x:c r="O15" s="20" t="str">
        <x:v>Gold salt</x:v>
      </x:c>
      <x:c r="P15" s="20" t="str">
        <x:v>Peptide conjugate + assembly buffer</x:v>
      </x:c>
      <x:c r="Q15" s="20" t="str">
        <x:v>Reducing agent used</x:v>
      </x:c>
      <x:c r="R15" s="20"/>
      <x:c r="S15" s="20"/>
      <x:c r="T15" s="20"/>
      <x:c r="U15" s="20" t="str">
        <x:v>In-situ growth on peptide fibers</x:v>
      </x:c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 t="str">
        <x:v>Chiral assembly</x:v>
      </x:c>
      <x:c r="AF15" s="20" t="str">
        <x:v>Unoxidized conjugate directs double-helical assembly; serves as paired comparator to oxidized peptide</x:v>
      </x:c>
      <x:c r="AG15" s="20" t="str">
        <x:v>Main text pp.1–2</x:v>
      </x:c>
      <x:c r="AH15" s="20" t="str">
        <x:v>https://doi.org/10.1021/jacs.6b07322</x:v>
      </x:c>
      <x:c r="AI15" s="24" t="n">
        <x:f>ROUND(100*COUNTA(G15,J15,L15,R15,S15,T15,V15,X15,AA15,AC15)/10,0)</x:f>
        <x:v>10</x:v>
      </x:c>
      <x:c r="AJ15" s="20" t="str">
        <x:v>MECHANISTIC_ONLY</x:v>
      </x:c>
      <x:c r="AK15" s="20" t="str">
        <x:v>EXACT_FROM_UPLOADED_PRIMARY</x:v>
      </x:c>
      <x:c r="AL15" s="20" t="str">
        <x:v>Cross-regime peptide→gold mechanism; not an atomically precise AuNC training target.</x:v>
      </x:c>
      <x:c r="AM15" s="20" t="str">
        <x:v>2026-09-07</x:v>
      </x:c>
      <x:c r="AN15" s="20" t="str">
        <x:v>UPLOADED_PRIMARY_OR_REVIEW</x:v>
      </x:c>
    </x:row>
    <x:row r="16" ht="19" customHeight="1">
      <x:c r="A16" s="20" t="str">
        <x:v>R013</x:v>
      </x:c>
      <x:c r="B16" s="20" t="str">
        <x:v>S04</x:v>
      </x:c>
      <x:c r="C16" s="20" t="str">
        <x:v>B1 PEPTIDE_AUNP_MECHANISM</x:v>
      </x:c>
      <x:c r="D16" s="20" t="str">
        <x:v>DIRECT</x:v>
      </x:c>
      <x:c r="E16" s="20" t="str">
        <x:v>gold_superstructure</x:v>
      </x:c>
      <x:c r="F16" s="20" t="str">
        <x:v>C12-L-PEPAu</x:v>
      </x:c>
      <x:c r="G16" s="20" t="str">
        <x:v>AYSSGAPPMPPF</x:v>
      </x:c>
      <x:c r="H16" s="20" t="str">
        <x:v>L</x:v>
      </x:c>
      <x:c r="I16" s="20" t="str">
        <x:v>C12 acyl tail</x:v>
      </x:c>
      <x:c r="J16" s="20"/>
      <x:c r="K16" s="20"/>
      <x:c r="L16" s="20" t="n">
        <x:v>5.74</x:v>
      </x:c>
      <x:c r="M16" s="20"/>
      <x:c r="N16" s="20" t="str">
        <x:v>Left-handed double helix</x:v>
      </x:c>
      <x:c r="O16" s="20" t="str">
        <x:v>Gold precursor</x:v>
      </x:c>
      <x:c r="P16" s="20" t="str">
        <x:v>Mixed with HEPES buffer</x:v>
      </x:c>
      <x:c r="Q16" s="20"/>
      <x:c r="R16" s="20"/>
      <x:c r="S16" s="20"/>
      <x:c r="T16" s="20"/>
      <x:c r="U16" s="20" t="str">
        <x:v>Peptide self-assembly + Au growth</x:v>
      </x:c>
      <x:c r="V16" s="20"/>
      <x:c r="W16" s="20"/>
      <x:c r="X16" s="20"/>
      <x:c r="Y16" s="20"/>
      <x:c r="Z16" s="20"/>
      <x:c r="AA16" s="20"/>
      <x:c r="AB16" s="20"/>
      <x:c r="AC16" s="20"/>
      <x:c r="AD16" s="20"/>
      <x:c r="AE16" s="20" t="str">
        <x:v>Chiral plasmonics</x:v>
      </x:c>
      <x:c r="AF16" s="20" t="str">
        <x:v>L-peptide gives left-handed helices; initial particles 5.74±0.75 nm</x:v>
      </x:c>
      <x:c r="AG16" s="20" t="str">
        <x:v>Main text pp.1–2</x:v>
      </x:c>
      <x:c r="AH16" s="20" t="str">
        <x:v>https://doi.org/10.1021/nl4013776</x:v>
      </x:c>
      <x:c r="AI16" s="24" t="n">
        <x:f>ROUND(100*COUNTA(G16,J16,L16,R16,S16,T16,V16,X16,AA16,AC16)/10,0)</x:f>
        <x:v>20</x:v>
      </x:c>
      <x:c r="AJ16" s="20" t="str">
        <x:v>MECHANISTIC_ONLY</x:v>
      </x:c>
      <x:c r="AK16" s="20" t="str">
        <x:v>EXACT_FROM_UPLOADED_PRIMARY</x:v>
      </x:c>
      <x:c r="AL16" s="20" t="str">
        <x:v>Cross-regime peptide→gold mechanism; not an atomically precise AuNC training target.</x:v>
      </x:c>
      <x:c r="AM16" s="20" t="str">
        <x:v>2026-09-07</x:v>
      </x:c>
      <x:c r="AN16" s="20" t="str">
        <x:v>UPLOADED_PRIMARY_OR_REVIEW</x:v>
      </x:c>
    </x:row>
    <x:row r="17" ht="19" customHeight="1">
      <x:c r="A17" s="20" t="str">
        <x:v>R014</x:v>
      </x:c>
      <x:c r="B17" s="20" t="str">
        <x:v>S04</x:v>
      </x:c>
      <x:c r="C17" s="20" t="str">
        <x:v>B1 PEPTIDE_AUNP_MECHANISM</x:v>
      </x:c>
      <x:c r="D17" s="20" t="str">
        <x:v>DIRECT</x:v>
      </x:c>
      <x:c r="E17" s="20" t="str">
        <x:v>gold_superstructure</x:v>
      </x:c>
      <x:c r="F17" s="20" t="str">
        <x:v>C12-D-PEPAu</x:v>
      </x:c>
      <x:c r="G17" s="20" t="str">
        <x:v>AYSSGAPPMPPF</x:v>
      </x:c>
      <x:c r="H17" s="20" t="str">
        <x:v>D</x:v>
      </x:c>
      <x:c r="I17" s="20" t="str">
        <x:v>C12 acyl tail</x:v>
      </x:c>
      <x:c r="J17" s="20"/>
      <x:c r="K17" s="20"/>
      <x:c r="L17" s="20" t="n">
        <x:v>5.25</x:v>
      </x:c>
      <x:c r="M17" s="20"/>
      <x:c r="N17" s="20" t="str">
        <x:v>Right-handed double helix</x:v>
      </x:c>
      <x:c r="O17" s="20" t="str">
        <x:v>Gold precursor</x:v>
      </x:c>
      <x:c r="P17" s="20" t="str">
        <x:v>Mixed with HEPES buffer</x:v>
      </x:c>
      <x:c r="Q17" s="20"/>
      <x:c r="R17" s="20"/>
      <x:c r="S17" s="20"/>
      <x:c r="T17" s="20"/>
      <x:c r="U17" s="20" t="str">
        <x:v>Peptide self-assembly + Au growth</x:v>
      </x:c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 t="str">
        <x:v>Chiral plasmonics</x:v>
      </x:c>
      <x:c r="AF17" s="20" t="str">
        <x:v>D-peptide gives right-handed helices; initial particles 5.25±0.79 nm</x:v>
      </x:c>
      <x:c r="AG17" s="20" t="str">
        <x:v>Main text pp.1–2</x:v>
      </x:c>
      <x:c r="AH17" s="20" t="str">
        <x:v>https://doi.org/10.1021/nl4013776</x:v>
      </x:c>
      <x:c r="AI17" s="24" t="n">
        <x:f>ROUND(100*COUNTA(G17,J17,L17,R17,S17,T17,V17,X17,AA17,AC17)/10,0)</x:f>
        <x:v>20</x:v>
      </x:c>
      <x:c r="AJ17" s="20" t="str">
        <x:v>MECHANISTIC_ONLY</x:v>
      </x:c>
      <x:c r="AK17" s="20" t="str">
        <x:v>EXACT_FROM_UPLOADED_PRIMARY</x:v>
      </x:c>
      <x:c r="AL17" s="20" t="str">
        <x:v>Cross-regime peptide→gold mechanism; not an atomically precise AuNC training target.</x:v>
      </x:c>
      <x:c r="AM17" s="20" t="str">
        <x:v>2026-09-07</x:v>
      </x:c>
      <x:c r="AN17" s="20" t="str">
        <x:v>UPLOADED_PRIMARY_OR_REVIEW</x:v>
      </x:c>
    </x:row>
    <x:row r="18" ht="19" customHeight="1">
      <x:c r="A18" s="20" t="str">
        <x:v>R015</x:v>
      </x:c>
      <x:c r="B18" s="20" t="str">
        <x:v>S14</x:v>
      </x:c>
      <x:c r="C18" s="20" t="str">
        <x:v>A1 DIRECT_PEPTIDE_ATOMIC_AUNC</x:v>
      </x:c>
      <x:c r="D18" s="20" t="str">
        <x:v>DIRECT</x:v>
      </x:c>
      <x:c r="E18" s="20" t="str">
        <x:v>atomically_precise_AuNC</x:v>
      </x:c>
      <x:c r="F18" s="20" t="str">
        <x:v>Glutathione (SG)</x:v>
      </x:c>
      <x:c r="G18" s="20" t="str">
        <x:v>γ-ECG</x:v>
      </x:c>
      <x:c r="H18" s="20" t="str">
        <x:v>L</x:v>
      </x:c>
      <x:c r="I18" s="20" t="str">
        <x:v>Thiolate ligand</x:v>
      </x:c>
      <x:c r="J18" s="20" t="n">
        <x:v>22</x:v>
      </x:c>
      <x:c r="K18" s="20" t="n">
        <x:v>18</x:v>
      </x:c>
      <x:c r="L18" s="20" t="n">
        <x:v>1.5</x:v>
      </x:c>
      <x:c r="M18" s="20" t="n">
        <x:v>2.01</x:v>
      </x:c>
      <x:c r="N18" s="20" t="str">
        <x:v>Atomically precise Au22(SG)18</x:v>
      </x:c>
      <x:c r="O18" s="20" t="str">
        <x:v>HAuCl4</x:v>
      </x:c>
      <x:c r="P18" s="20" t="str">
        <x:v>20 mM HAuCl4 12.5 mL + 50 mM GSH 7.5 mL in 180 mL water</x:v>
      </x:c>
      <x:c r="Q18" s="20" t="str">
        <x:v>NaBH4</x:v>
      </x:c>
      <x:c r="R18" s="20" t="n">
        <x:v>12</x:v>
      </x:c>
      <x:c r="S18" s="20" t="n">
        <x:v>25</x:v>
      </x:c>
      <x:c r="T18" s="20" t="n">
        <x:v>0.5</x:v>
      </x:c>
      <x:c r="U18" s="20" t="str">
        <x:v>500 rpm after NaBH4; then acidification</x:v>
      </x:c>
      <x:c r="V18" s="20" t="n">
        <x:v>925</x:v>
      </x:c>
      <x:c r="W18" s="20" t="str">
        <x:v>925–1300 tail</x:v>
      </x:c>
      <x:c r="X18" s="20" t="n">
        <x:v>0.16</x:v>
      </x:c>
      <x:c r="Y18" s="20" t="n">
        <x:v>515</x:v>
      </x:c>
      <x:c r="Z18" s="20"/>
      <x:c r="AA18" s="20" t="n">
        <x:v>808</x:v>
      </x:c>
      <x:c r="AB18" s="20"/>
      <x:c r="AC18" s="20"/>
      <x:c r="AD18" s="20"/>
      <x:c r="AE18" s="20" t="str">
        <x:v>NIR-II imaging / bioactivity</x:v>
      </x:c>
      <x:c r="AF18" s="20" t="str">
        <x:v>Atomic-precision Au22; pH later shifted to 2.5 and sealed/stirred 8 h for size focusing/purification</x:v>
      </x:c>
      <x:c r="AG18" s="20" t="str">
        <x:v>Results p.2 + Methods p.13</x:v>
      </x:c>
      <x:c r="AH18" s="20" t="str">
        <x:v>https://doi.org/10.1126/sciadv.adh7828</x:v>
      </x:c>
      <x:c r="AI18" s="24" t="n">
        <x:f>ROUND(100*COUNTA(G18,J18,L18,R18,S18,T18,V18,X18,AA18,AC18)/10,0)</x:f>
        <x:v>90</x:v>
      </x:c>
      <x:c r="AJ18" s="20" t="str">
        <x:v>TRAIN_CORE</x:v>
      </x:c>
      <x:c r="AK18" s="20" t="str">
        <x:v>EXACT_FROM_UPLOADED_PRIMARY</x:v>
      </x:c>
      <x:c r="AL18" s="20" t="str">
        <x:v>Atomic record; keep same-paper records grouped in validation.</x:v>
      </x:c>
      <x:c r="AM18" s="20" t="str">
        <x:v>2026-09-07</x:v>
      </x:c>
      <x:c r="AN18" s="20" t="str">
        <x:v>UPLOADED_PRIMARY_OR_REVIEW</x:v>
      </x:c>
    </x:row>
    <x:row r="19" ht="19" customHeight="1">
      <x:c r="A19" s="20" t="str">
        <x:v>R016</x:v>
      </x:c>
      <x:c r="B19" s="20" t="str">
        <x:v>S14</x:v>
      </x:c>
      <x:c r="C19" s="20" t="str">
        <x:v>A1 DIRECT_PEPTIDE_ATOMIC_AUNC</x:v>
      </x:c>
      <x:c r="D19" s="20" t="str">
        <x:v>DIRECT</x:v>
      </x:c>
      <x:c r="E19" s="20" t="str">
        <x:v>atomically_precise_AuNC</x:v>
      </x:c>
      <x:c r="F19" s="20" t="str">
        <x:v>Glutathione (SG)</x:v>
      </x:c>
      <x:c r="G19" s="20" t="str">
        <x:v>γ-ECG</x:v>
      </x:c>
      <x:c r="H19" s="20" t="str">
        <x:v>L</x:v>
      </x:c>
      <x:c r="I19" s="20" t="str">
        <x:v>Single Cu atom doping</x:v>
      </x:c>
      <x:c r="J19" s="20" t="n">
        <x:v>21</x:v>
      </x:c>
      <x:c r="K19" s="20" t="n">
        <x:v>18</x:v>
      </x:c>
      <x:c r="L19" s="20" t="n">
        <x:v>1.5</x:v>
      </x:c>
      <x:c r="M19" s="20"/>
      <x:c r="N19" s="20" t="str">
        <x:v>Au21Cu1(SG)18</x:v>
      </x:c>
      <x:c r="O19" s="20" t="str">
        <x:v>HAuCl4 + Cu2+</x:v>
      </x:c>
      <x:c r="P19" s="20" t="str">
        <x:v>Same Au22 method; Cu2+ added</x:v>
      </x:c>
      <x:c r="Q19" s="20" t="str">
        <x:v>NaBH4</x:v>
      </x:c>
      <x:c r="R19" s="20" t="n">
        <x:v>12</x:v>
      </x:c>
      <x:c r="S19" s="20" t="n">
        <x:v>25</x:v>
      </x:c>
      <x:c r="T19" s="20" t="n">
        <x:v>8.5</x:v>
      </x:c>
      <x:c r="U19" s="20" t="str">
        <x:v>500 rpm 30 min; pH 2.5; sealed 200 rpm 8 h</x:v>
      </x:c>
      <x:c r="V19" s="20"/>
      <x:c r="W19" s="20"/>
      <x:c r="X19" s="20"/>
      <x:c r="Y19" s="20"/>
      <x:c r="Z19" s="20"/>
      <x:c r="AA19" s="20" t="n">
        <x:v>808</x:v>
      </x:c>
      <x:c r="AB19" s="20"/>
      <x:c r="AC19" s="20"/>
      <x:c r="AD19" s="20"/>
      <x:c r="AE19" s="20" t="str">
        <x:v>NIR-II imaging / nanozyme</x:v>
      </x:c>
      <x:c r="AF19" s="20" t="str">
        <x:v>Cu single-atom substitution lowers bandgap 1.33→1.28 eV and strongly increases enzyme-mimetic activity</x:v>
      </x:c>
      <x:c r="AG19" s="20" t="str">
        <x:v>Results pp.1–2 + Methods p.13</x:v>
      </x:c>
      <x:c r="AH19" s="20" t="str">
        <x:v>https://doi.org/10.1126/sciadv.adh7828</x:v>
      </x:c>
      <x:c r="AI19" s="24" t="n">
        <x:f>ROUND(100*COUNTA(G19,J19,L19,R19,S19,T19,V19,X19,AA19,AC19)/10,0)</x:f>
        <x:v>70</x:v>
      </x:c>
      <x:c r="AJ19" s="20" t="str">
        <x:v>TRAIN_CORE</x:v>
      </x:c>
      <x:c r="AK19" s="20" t="str">
        <x:v>EXACT_FROM_UPLOADED_PRIMARY</x:v>
      </x:c>
      <x:c r="AL19" s="20" t="str">
        <x:v>Atomic record; keep same-paper records grouped in validation.</x:v>
      </x:c>
      <x:c r="AM19" s="20" t="str">
        <x:v>2026-09-07</x:v>
      </x:c>
      <x:c r="AN19" s="20" t="str">
        <x:v>UPLOADED_PRIMARY_OR_REVIEW</x:v>
      </x:c>
    </x:row>
    <x:row r="20" ht="19" customHeight="1">
      <x:c r="A20" s="20" t="str">
        <x:v>R017</x:v>
      </x:c>
      <x:c r="B20" s="20" t="str">
        <x:v>S10</x:v>
      </x:c>
      <x:c r="C20" s="20" t="str">
        <x:v>A1 DIRECT_PEPTIDE_ATOMIC_AUNC</x:v>
      </x:c>
      <x:c r="D20" s="20" t="str">
        <x:v>DIRECT</x:v>
      </x:c>
      <x:c r="E20" s="20" t="str">
        <x:v>atomically_precise_AuNC</x:v>
      </x:c>
      <x:c r="F20" s="20" t="str">
        <x:v>Glutathione (SG)</x:v>
      </x:c>
      <x:c r="G20" s="20" t="str">
        <x:v>γ-ECG</x:v>
      </x:c>
      <x:c r="H20" s="20" t="str">
        <x:v>L</x:v>
      </x:c>
      <x:c r="I20" s="20" t="str">
        <x:v>Thiolate ligand</x:v>
      </x:c>
      <x:c r="J20" s="20" t="n">
        <x:v>25</x:v>
      </x:c>
      <x:c r="K20" s="20" t="n">
        <x:v>18</x:v>
      </x:c>
      <x:c r="L20" s="20" t="str">
        <x:v>&lt;2</x:v>
      </x:c>
      <x:c r="M20" s="20" t="n">
        <x:v>3.2</x:v>
      </x:c>
      <x:c r="N20" s="20" t="str">
        <x:v>Au25(SG)18; 13-Au core + six Au2(SG)3 shell motifs</x:v>
      </x:c>
      <x:c r="O20" s="20" t="str">
        <x:v>Not fully specified in main paper</x:v>
      </x:c>
      <x:c r="P20" s="20" t="str">
        <x:v>Main paper refers to prior method / SI</x:v>
      </x:c>
      <x:c r="Q20" s="20" t="str">
        <x:v>Not fully specified</x:v>
      </x:c>
      <x:c r="R20" s="20"/>
      <x:c r="S20" s="20"/>
      <x:c r="T20" s="20"/>
      <x:c r="U20" s="20" t="str">
        <x:v>See Supporting Information</x:v>
      </x:c>
      <x:c r="V20" s="20"/>
      <x:c r="W20" s="20" t="str">
        <x:v>1100–1350</x:v>
      </x:c>
      <x:c r="X20" s="20"/>
      <x:c r="Y20" s="20"/>
      <x:c r="Z20" s="20"/>
      <x:c r="AA20" s="20"/>
      <x:c r="AB20" s="20"/>
      <x:c r="AC20" s="20"/>
      <x:c r="AD20" s="20"/>
      <x:c r="AE20" s="20" t="str">
        <x:v>NIR-II imaging</x:v>
      </x:c>
      <x:c r="AF20" s="20" t="str">
        <x:v>Atomic-precision Au25 with strong NIR-II emission; exact synthesis must be taken from SI/primary synthesis method</x:v>
      </x:c>
      <x:c r="AG20" s="20" t="str">
        <x:v>Main text pp.1–2; Experimental points to SI</x:v>
      </x:c>
      <x:c r="AH20" s="20" t="str">
        <x:v>https://doi.org/10.1002/adma.201901015</x:v>
      </x:c>
      <x:c r="AI20" s="24" t="n">
        <x:f>ROUND(100*COUNTA(G20,J20,L20,R20,S20,T20,V20,X20,AA20,AC20)/10,0)</x:f>
        <x:v>30</x:v>
      </x:c>
      <x:c r="AJ20" s="20" t="str">
        <x:v>QC_HOLD</x:v>
      </x:c>
      <x:c r="AK20" s="20" t="str">
        <x:v>EXACT_LIGAND_ID</x:v>
      </x:c>
      <x:c r="AL20" s="20" t="str">
        <x:v>Atomic Au25(SG)18, but exact synthesis details require Supporting Information / prior method.</x:v>
      </x:c>
      <x:c r="AM20" s="20" t="str">
        <x:v>2026-09-07</x:v>
      </x:c>
      <x:c r="AN20" s="20" t="str">
        <x:v>UPLOADED_PRIMARY_OR_REVIEW</x:v>
      </x:c>
    </x:row>
    <x:row r="21" ht="19" customHeight="1">
      <x:c r="A21" s="20" t="str">
        <x:v>R018</x:v>
      </x:c>
      <x:c r="B21" s="20" t="str">
        <x:v>S11</x:v>
      </x:c>
      <x:c r="C21" s="20" t="str">
        <x:v>C1 AUNC_PTT_BENCHMARK</x:v>
      </x:c>
      <x:c r="D21" s="20" t="str">
        <x:v>DIRECT</x:v>
      </x:c>
      <x:c r="E21" s="20" t="str">
        <x:v>atomically_precise_AuNC</x:v>
      </x:c>
      <x:c r="F21" s="20" t="str">
        <x:v>Phosphorylcholine-functionalized Au25</x:v>
      </x:c>
      <x:c r="G21" s="20" t="str">
        <x:v>N/A</x:v>
      </x:c>
      <x:c r="H21" s="20" t="str">
        <x:v>N/A</x:v>
      </x:c>
      <x:c r="I21" s="20" t="str">
        <x:v>PC surface coating</x:v>
      </x:c>
      <x:c r="J21" s="20" t="n">
        <x:v>25</x:v>
      </x:c>
      <x:c r="K21" s="20"/>
      <x:c r="L21" s="20" t="str">
        <x:v>~2</x:v>
      </x:c>
      <x:c r="M21" s="20"/>
      <x:c r="N21" s="20" t="str">
        <x:v>Molecular Au25 cluster</x:v>
      </x:c>
      <x:c r="O21" s="20" t="str">
        <x:v>Au25 precursor/system</x:v>
      </x:c>
      <x:c r="P21" s="20" t="str">
        <x:v>25 mg/mL AuPC aqueous solution</x:v>
      </x:c>
      <x:c r="Q21" s="20" t="str">
        <x:v>N/A</x:v>
      </x:c>
      <x:c r="R21" s="20"/>
      <x:c r="S21" s="20"/>
      <x:c r="T21" s="20"/>
      <x:c r="U21" s="20" t="str">
        <x:v>Benchmark material</x:v>
      </x:c>
      <x:c r="V21" s="20" t="n">
        <x:v>1090</x:v>
      </x:c>
      <x:c r="W21" s="20" t="str">
        <x:v>900–1500</x:v>
      </x:c>
      <x:c r="X21" s="20" t="n">
        <x:v>0.38</x:v>
      </x:c>
      <x:c r="Y21" s="20"/>
      <x:c r="Z21" s="20"/>
      <x:c r="AA21" s="20" t="n">
        <x:v>808</x:v>
      </x:c>
      <x:c r="AB21" s="20" t="n">
        <x:v>0.3</x:v>
      </x:c>
      <x:c r="AC21" s="20" t="n">
        <x:v>70</x:v>
      </x:c>
      <x:c r="AD21" s="20" t="n">
        <x:v>10</x:v>
      </x:c>
      <x:c r="AE21" s="20" t="str">
        <x:v>Cancer PTT benchmark</x:v>
      </x:c>
      <x:c r="AF21" s="20" t="str">
        <x:v>In vitro: ~70°C from room temperature within 10 min under 808 nm, 0.3 W/cm²</x:v>
      </x:c>
      <x:c r="AG21" s="20" t="str">
        <x:v>Main text p.4; Fig.4</x:v>
      </x:c>
      <x:c r="AH21" s="20" t="str">
        <x:v>https://doi.org/10.1073/pnas.2318265121</x:v>
      </x:c>
      <x:c r="AI21" s="24" t="n">
        <x:f>ROUND(100*COUNTA(G21,J21,L21,R21,S21,T21,V21,X21,AA21,AC21)/10,0)</x:f>
        <x:v>70</x:v>
      </x:c>
      <x:c r="AJ21" s="20" t="str">
        <x:v>BENCHMARK_ONLY</x:v>
      </x:c>
      <x:c r="AK21" s="20" t="str">
        <x:v>NOT_APPLICABLE</x:v>
      </x:c>
      <x:c r="AL21" s="20" t="str">
        <x:v>Non-peptide AuNC biomedical/PTT benchmark; do not train peptide-sequence model.</x:v>
      </x:c>
      <x:c r="AM21" s="20" t="str">
        <x:v>2026-09-07</x:v>
      </x:c>
      <x:c r="AN21" s="20" t="str">
        <x:v>UPLOADED_PRIMARY_OR_REVIEW</x:v>
      </x:c>
    </x:row>
    <x:row r="22" ht="19" customHeight="1">
      <x:c r="A22" s="20" t="str">
        <x:v>R019</x:v>
      </x:c>
      <x:c r="B22" s="20" t="str">
        <x:v>S11</x:v>
      </x:c>
      <x:c r="C22" s="20" t="str">
        <x:v>C1 AUNC_PTT_BENCHMARK</x:v>
      </x:c>
      <x:c r="D22" s="20" t="str">
        <x:v>DIRECT</x:v>
      </x:c>
      <x:c r="E22" s="20" t="str">
        <x:v>atomically_precise_AuNC</x:v>
      </x:c>
      <x:c r="F22" s="20" t="str">
        <x:v>Phosphorylcholine-functionalized Au25</x:v>
      </x:c>
      <x:c r="G22" s="20" t="str">
        <x:v>N/A</x:v>
      </x:c>
      <x:c r="H22" s="20" t="str">
        <x:v>N/A</x:v>
      </x:c>
      <x:c r="I22" s="20" t="str">
        <x:v>PC surface coating</x:v>
      </x:c>
      <x:c r="J22" s="20" t="n">
        <x:v>25</x:v>
      </x:c>
      <x:c r="K22" s="20"/>
      <x:c r="L22" s="20" t="str">
        <x:v>~2</x:v>
      </x:c>
      <x:c r="M22" s="20"/>
      <x:c r="N22" s="20" t="str">
        <x:v>Molecular Au25 cluster</x:v>
      </x:c>
      <x:c r="O22" s="20" t="str">
        <x:v>Au25 precursor/system</x:v>
      </x:c>
      <x:c r="P22" s="20" t="str">
        <x:v>20–40 µL of 25 mg/mL intratumorally</x:v>
      </x:c>
      <x:c r="Q22" s="20" t="str">
        <x:v>N/A</x:v>
      </x:c>
      <x:c r="R22" s="20"/>
      <x:c r="S22" s="20"/>
      <x:c r="T22" s="20"/>
      <x:c r="U22" s="20" t="str">
        <x:v>4T1 tumor, intratumoral injection</x:v>
      </x:c>
      <x:c r="V22" s="20" t="n">
        <x:v>1090</x:v>
      </x:c>
      <x:c r="W22" s="20" t="str">
        <x:v>900–1500</x:v>
      </x:c>
      <x:c r="X22" s="20" t="n">
        <x:v>0.38</x:v>
      </x:c>
      <x:c r="Y22" s="20"/>
      <x:c r="Z22" s="20"/>
      <x:c r="AA22" s="20" t="n">
        <x:v>808</x:v>
      </x:c>
      <x:c r="AB22" s="20" t="n">
        <x:v>0.3</x:v>
      </x:c>
      <x:c r="AC22" s="20" t="n">
        <x:v>60</x:v>
      </x:c>
      <x:c r="AD22" s="20" t="n">
        <x:v>30</x:v>
      </x:c>
      <x:c r="AE22" s="20" t="str">
        <x:v>Cancer PTT benchmark</x:v>
      </x:c>
      <x:c r="AF22" s="20" t="str">
        <x:v>In vivo: ~53°C at 3 min, rising to ~60°C; 94.4% 60-day relative survival reported</x:v>
      </x:c>
      <x:c r="AG22" s="20" t="str">
        <x:v>Main text pp.4–6; Fig.5</x:v>
      </x:c>
      <x:c r="AH22" s="20" t="str">
        <x:v>https://doi.org/10.1073/pnas.2318265121</x:v>
      </x:c>
      <x:c r="AI22" s="24" t="n">
        <x:f>ROUND(100*COUNTA(G22,J22,L22,R22,S22,T22,V22,X22,AA22,AC22)/10,0)</x:f>
        <x:v>70</x:v>
      </x:c>
      <x:c r="AJ22" s="20" t="str">
        <x:v>BENCHMARK_ONLY</x:v>
      </x:c>
      <x:c r="AK22" s="20" t="str">
        <x:v>NOT_APPLICABLE</x:v>
      </x:c>
      <x:c r="AL22" s="20" t="str">
        <x:v>Non-peptide AuNC biomedical/PTT benchmark; do not train peptide-sequence model.</x:v>
      </x:c>
      <x:c r="AM22" s="20" t="str">
        <x:v>2026-09-07</x:v>
      </x:c>
      <x:c r="AN22" s="20" t="str">
        <x:v>UPLOADED_PRIMARY_OR_REVIEW</x:v>
      </x:c>
    </x:row>
    <x:row r="23" ht="19" customHeight="1">
      <x:c r="A23" s="20" t="str">
        <x:v>R020</x:v>
      </x:c>
      <x:c r="B23" s="20" t="str">
        <x:v>S13</x:v>
      </x:c>
      <x:c r="C23" s="20" t="str">
        <x:v>C2 AUNC_BIOMEDICAL_BENCHMARK</x:v>
      </x:c>
      <x:c r="D23" s="20" t="str">
        <x:v>DIRECT</x:v>
      </x:c>
      <x:c r="E23" s="20" t="str">
        <x:v>atomically_precise_AuNC</x:v>
      </x:c>
      <x:c r="F23" s="20" t="str">
        <x:v>Phosphorylcholine-functionalized Au25</x:v>
      </x:c>
      <x:c r="G23" s="20" t="str">
        <x:v>N/A</x:v>
      </x:c>
      <x:c r="H23" s="20" t="str">
        <x:v>N/A</x:v>
      </x:c>
      <x:c r="I23" s="20" t="str">
        <x:v>PC surface coating</x:v>
      </x:c>
      <x:c r="J23" s="20" t="n">
        <x:v>25</x:v>
      </x:c>
      <x:c r="K23" s="20"/>
      <x:c r="L23" s="20"/>
      <x:c r="M23" s="20"/>
      <x:c r="N23" s="20" t="str">
        <x:v>Au25-PC molecular cluster</x:v>
      </x:c>
      <x:c r="O23" s="20" t="str">
        <x:v>Au25 precursor/system</x:v>
      </x:c>
      <x:c r="P23" s="20" t="str">
        <x:v>Surface-functionalized with PC</x:v>
      </x:c>
      <x:c r="Q23" s="20" t="str">
        <x:v>N/A</x:v>
      </x:c>
      <x:c r="R23" s="20"/>
      <x:c r="S23" s="20"/>
      <x:c r="T23" s="20"/>
      <x:c r="U23" s="20" t="str">
        <x:v>Subcutaneous injection</x:v>
      </x:c>
      <x:c r="V23" s="20"/>
      <x:c r="W23" s="20" t="str">
        <x:v>1000–3000 imaging window</x:v>
      </x:c>
      <x:c r="X23" s="20"/>
      <x:c r="Y23" s="20"/>
      <x:c r="Z23" s="20"/>
      <x:c r="AA23" s="20"/>
      <x:c r="AB23" s="20"/>
      <x:c r="AC23" s="20"/>
      <x:c r="AD23" s="20"/>
      <x:c r="AE23" s="20" t="str">
        <x:v>Lymph-node NIR-II imaging</x:v>
      </x:c>
      <x:c r="AF23" s="20" t="str">
        <x:v>Super-stealth behavior; optimal LN imaging ~0.5–1 h with rapid renal clearance</x:v>
      </x:c>
      <x:c r="AG23" s="20" t="str">
        <x:v>Abstract / main text p.1</x:v>
      </x:c>
      <x:c r="AH23" s="20" t="str">
        <x:v>https://doi.org/10.1038/s41467-022-33341-6</x:v>
      </x:c>
      <x:c r="AI23" s="24" t="n">
        <x:f>ROUND(100*COUNTA(G23,J23,L23,R23,S23,T23,V23,X23,AA23,AC23)/10,0)</x:f>
        <x:v>20</x:v>
      </x:c>
      <x:c r="AJ23" s="20" t="str">
        <x:v>BENCHMARK_ONLY</x:v>
      </x:c>
      <x:c r="AK23" s="20" t="str">
        <x:v>NOT_APPLICABLE</x:v>
      </x:c>
      <x:c r="AL23" s="20" t="str">
        <x:v>Non-peptide AuNC biomedical/PTT benchmark; do not train peptide-sequence model.</x:v>
      </x:c>
      <x:c r="AM23" s="20" t="str">
        <x:v>2026-09-07</x:v>
      </x:c>
      <x:c r="AN23" s="20" t="str">
        <x:v>UPLOADED_PRIMARY_OR_REVIEW</x:v>
      </x:c>
    </x:row>
    <x:row r="24" ht="19" customHeight="1">
      <x:c r="A24" s="20" t="str">
        <x:v>R021</x:v>
      </x:c>
      <x:c r="B24" s="20" t="str">
        <x:v>S12</x:v>
      </x:c>
      <x:c r="C24" s="20" t="str">
        <x:v>D1 METHOD_REFERENCE</x:v>
      </x:c>
      <x:c r="D24" s="20" t="str">
        <x:v>REVIEW-DERIVED</x:v>
      </x:c>
      <x:c r="E24" s="20" t="str">
        <x:v>atomically_precise_AuNC</x:v>
      </x:c>
      <x:c r="F24" s="20" t="str">
        <x:v>Glutathione (GSH)</x:v>
      </x:c>
      <x:c r="G24" s="20" t="str">
        <x:v>γ-ECG</x:v>
      </x:c>
      <x:c r="H24" s="20" t="str">
        <x:v>L</x:v>
      </x:c>
      <x:c r="I24" s="20" t="str">
        <x:v>Review table entry</x:v>
      </x:c>
      <x:c r="J24" s="20" t="n">
        <x:v>25</x:v>
      </x:c>
      <x:c r="K24" s="20" t="n">
        <x:v>18</x:v>
      </x:c>
      <x:c r="L24" s="20"/>
      <x:c r="M24" s="20"/>
      <x:c r="N24" s="20" t="str">
        <x:v>Au25(GSH)18</x:v>
      </x:c>
      <x:c r="O24" s="20" t="str">
        <x:v>N/A</x:v>
      </x:c>
      <x:c r="P24" s="20" t="str">
        <x:v>Review-derived optical entry</x:v>
      </x:c>
      <x:c r="Q24" s="20" t="str">
        <x:v>N/A</x:v>
      </x:c>
      <x:c r="R24" s="20"/>
      <x:c r="S24" s="20"/>
      <x:c r="T24" s="20"/>
      <x:c r="U24" s="20" t="str">
        <x:v>Primary paper required</x:v>
      </x:c>
      <x:c r="V24" s="20" t="n">
        <x:v>1120</x:v>
      </x:c>
      <x:c r="W24" s="20" t="str">
        <x:v>900–1500</x:v>
      </x:c>
      <x:c r="X24" s="20" t="n">
        <x:v>0.13</x:v>
      </x:c>
      <x:c r="Y24" s="20"/>
      <x:c r="Z24" s="20"/>
      <x:c r="AA24" s="20" t="n">
        <x:v>808</x:v>
      </x:c>
      <x:c r="AB24" s="20"/>
      <x:c r="AC24" s="20"/>
      <x:c r="AD24" s="20"/>
      <x:c r="AE24" s="20" t="str">
        <x:v>Imaging benchmark</x:v>
      </x:c>
      <x:c r="AF24" s="20" t="str">
        <x:v>Review table lists Au25(GSH)18 with NIR-II emission and low PLQY; primary paper must be extracted before training</x:v>
      </x:c>
      <x:c r="AG24" s="20" t="str">
        <x:v>Chem. Rev. Table 1</x:v>
      </x:c>
      <x:c r="AH24" s="20" t="str">
        <x:v>https://doi.org/10.1021/acs.chemrev.4c00835</x:v>
      </x:c>
      <x:c r="AI24" s="24" t="n">
        <x:f>ROUND(100*COUNTA(G24,J24,L24,R24,S24,T24,V24,X24,AA24,AC24)/10,0)</x:f>
        <x:v>50</x:v>
      </x:c>
      <x:c r="AJ24" s="20" t="str">
        <x:v>REVIEW_LEAD</x:v>
      </x:c>
      <x:c r="AK24" s="20" t="str">
        <x:v>REVIEW_DERIVED</x:v>
      </x:c>
      <x:c r="AL24" s="20" t="str">
        <x:v>Primary paper must be extracted before model training.</x:v>
      </x:c>
      <x:c r="AM24" s="20" t="str">
        <x:v>2026-09-07</x:v>
      </x:c>
      <x:c r="AN24" s="20" t="str">
        <x:v>UPLOADED_PRIMARY_OR_REVIEW</x:v>
      </x:c>
    </x:row>
    <x:row r="25" ht="19" customHeight="1">
      <x:c r="A25" s="20" t="str">
        <x:v>R022</x:v>
      </x:c>
      <x:c r="B25" s="20" t="str">
        <x:v>S12</x:v>
      </x:c>
      <x:c r="C25" s="20" t="str">
        <x:v>D1 METHOD_REFERENCE</x:v>
      </x:c>
      <x:c r="D25" s="20" t="str">
        <x:v>REVIEW-DERIVED</x:v>
      </x:c>
      <x:c r="E25" s="20" t="str">
        <x:v>atomically_precise_AuNC</x:v>
      </x:c>
      <x:c r="F25" s="20" t="str">
        <x:v>4-mercaptobenzoic acid (MBA)</x:v>
      </x:c>
      <x:c r="G25" s="20" t="str">
        <x:v>N/A</x:v>
      </x:c>
      <x:c r="H25" s="20" t="str">
        <x:v>N/A</x:v>
      </x:c>
      <x:c r="I25" s="20" t="str">
        <x:v>Review table entry</x:v>
      </x:c>
      <x:c r="J25" s="20" t="n">
        <x:v>44</x:v>
      </x:c>
      <x:c r="K25" s="20" t="n">
        <x:v>26</x:v>
      </x:c>
      <x:c r="L25" s="20"/>
      <x:c r="M25" s="20"/>
      <x:c r="N25" s="20" t="str">
        <x:v>Au44(MBA)26</x:v>
      </x:c>
      <x:c r="O25" s="20" t="str">
        <x:v>N/A</x:v>
      </x:c>
      <x:c r="P25" s="20" t="str">
        <x:v>Review-derived optical/PTT entry</x:v>
      </x:c>
      <x:c r="Q25" s="20" t="str">
        <x:v>N/A</x:v>
      </x:c>
      <x:c r="R25" s="20"/>
      <x:c r="S25" s="20"/>
      <x:c r="T25" s="20"/>
      <x:c r="U25" s="20" t="str">
        <x:v>Primary paper required</x:v>
      </x:c>
      <x:c r="V25" s="20" t="n">
        <x:v>1080</x:v>
      </x:c>
      <x:c r="W25" s="20" t="str">
        <x:v>~1080 and 1280</x:v>
      </x:c>
      <x:c r="X25" s="20" t="n">
        <x:v>4.5</x:v>
      </x:c>
      <x:c r="Y25" s="20"/>
      <x:c r="Z25" s="20"/>
      <x:c r="AA25" s="20" t="n">
        <x:v>808</x:v>
      </x:c>
      <x:c r="AB25" s="20"/>
      <x:c r="AC25" s="20"/>
      <x:c r="AD25" s="20"/>
      <x:c r="AE25" s="20" t="str">
        <x:v>PTT / theranostics</x:v>
      </x:c>
      <x:c r="AF25" s="20" t="str">
        <x:v>Review identifies Au44(MBA)26 as high-PCE PTT-capable cluster; not peptide-templated and must remain a benchmark</x:v>
      </x:c>
      <x:c r="AG25" s="20" t="str">
        <x:v>Chem. Rev. Table 1 + PTT section</x:v>
      </x:c>
      <x:c r="AH25" s="20" t="str">
        <x:v>https://doi.org/10.1021/acs.chemrev.4c00835</x:v>
      </x:c>
      <x:c r="AI25" s="24" t="n">
        <x:f>ROUND(100*COUNTA(G25,J25,L25,R25,S25,T25,V25,X25,AA25,AC25)/10,0)</x:f>
        <x:v>50</x:v>
      </x:c>
      <x:c r="AJ25" s="20" t="str">
        <x:v>REVIEW_LEAD</x:v>
      </x:c>
      <x:c r="AK25" s="20" t="str">
        <x:v>REVIEW_DERIVED</x:v>
      </x:c>
      <x:c r="AL25" s="20" t="str">
        <x:v>Primary paper must be extracted before model training.</x:v>
      </x:c>
      <x:c r="AM25" s="20" t="str">
        <x:v>2026-09-07</x:v>
      </x:c>
      <x:c r="AN25" s="20" t="str">
        <x:v>UPLOADED_PRIMARY_OR_REVIEW</x:v>
      </x:c>
    </x:row>
    <x:row r="26" ht="19" customHeight="1">
      <x:c r="A26" s="20" t="str">
        <x:v>R023</x:v>
      </x:c>
      <x:c r="B26" s="20" t="str">
        <x:v>W01</x:v>
      </x:c>
      <x:c r="C26" s="20" t="str">
        <x:v>A2 DIRECT_PEPTIDE_NONPRECISE_AUNC</x:v>
      </x:c>
      <x:c r="D26" s="20" t="str">
        <x:v>DIRECT</x:v>
      </x:c>
      <x:c r="E26" s="20" t="str">
        <x:v>ultrasmall_AuNC_unknown_nuclearity</x:v>
      </x:c>
      <x:c r="F26" s="20" t="str">
        <x:v>SV polypeptide — blue AuNC</x:v>
      </x:c>
      <x:c r="G26" s="20" t="str">
        <x:v>CCYGGPKKKRKVG</x:v>
      </x:c>
      <x:c r="H26" s="20" t="str">
        <x:v>L</x:v>
      </x:c>
      <x:c r="I26" s="20" t="str">
        <x:v>NH2- / -COOH</x:v>
      </x:c>
      <x:c r="J26" s="20"/>
      <x:c r="K26" s="20"/>
      <x:c r="L26" s="20" t="str">
        <x:v>&lt;2</x:v>
      </x:c>
      <x:c r="M26" s="20"/>
      <x:c r="N26" s="20" t="str">
        <x:v>Blue-emitting peptide-templated AuNC</x:v>
      </x:c>
      <x:c r="O26" s="20" t="str">
        <x:v>HAuCl4</x:v>
      </x:c>
      <x:c r="P26" s="20" t="str">
        <x:v>Same SV peptide; synthesis conditions optimized separately from red product</x:v>
      </x:c>
      <x:c r="Q26" s="20" t="str">
        <x:v>Peptide-templated / conditions dependent</x:v>
      </x:c>
      <x:c r="R26" s="20"/>
      <x:c r="S26" s="20"/>
      <x:c r="T26" s="20"/>
      <x:c r="U26" s="20" t="str">
        <x:v>Light, pH, Au:peptide ratio, time and temperature were optimization variables</x:v>
      </x:c>
      <x:c r="V26" s="20" t="n">
        <x:v>405</x:v>
      </x:c>
      <x:c r="W26" s="20" t="str">
        <x:v>λex 320 / λem 405</x:v>
      </x:c>
      <x:c r="X26" s="20"/>
      <x:c r="Y26" s="20"/>
      <x:c r="Z26" s="20"/>
      <x:c r="AA26" s="20"/>
      <x:c r="AB26" s="20"/>
      <x:c r="AC26" s="20"/>
      <x:c r="AD26" s="20"/>
      <x:c r="AE26" s="20" t="str">
        <x:v>Cell-nucleus multimodal imaging</x:v>
      </x:c>
      <x:c r="AF26" s="20" t="str">
        <x:v>The same exact peptide produced a blue AuNC under one synthesis condition set and a red AuNC under another, proving synthesis context is indispensable.</x:v>
      </x:c>
      <x:c r="AG26" s="20" t="str">
        <x:v>ACS Applied Bio Materials abstract + SI listing</x:v>
      </x:c>
      <x:c r="AH26" s="20" t="str">
        <x:v>https://doi.org/10.1021/acsabm.9b01078</x:v>
      </x:c>
      <x:c r="AI26" s="24" t="n">
        <x:f>ROUND(100*COUNTA(G26,J26,L26,R26,S26,T26,V26,X26,AA26,AC26)/10,0)</x:f>
        <x:v>30</x:v>
      </x:c>
      <x:c r="AJ26" s="20" t="str">
        <x:v>QC_HOLD</x:v>
      </x:c>
      <x:c r="AK26" s="20" t="str">
        <x:v>EXACT_FROM_PRIMARY</x:v>
      </x:c>
      <x:c r="AL26" s="20" t="str">
        <x:v>Exact numerical synthesis condition set still needs full main-text/SI extraction.</x:v>
      </x:c>
      <x:c r="AM26" s="20" t="str">
        <x:v>2026-09-07</x:v>
      </x:c>
      <x:c r="AN26" s="20" t="str">
        <x:v>WEB_PRIMARY</x:v>
      </x:c>
    </x:row>
    <x:row r="27" ht="19" customHeight="1">
      <x:c r="A27" s="20" t="str">
        <x:v>R024</x:v>
      </x:c>
      <x:c r="B27" s="20" t="str">
        <x:v>W01</x:v>
      </x:c>
      <x:c r="C27" s="20" t="str">
        <x:v>A2 DIRECT_PEPTIDE_NONPRECISE_AUNC</x:v>
      </x:c>
      <x:c r="D27" s="20" t="str">
        <x:v>DIRECT</x:v>
      </x:c>
      <x:c r="E27" s="20" t="str">
        <x:v>ultrasmall_AuNC_unknown_nuclearity</x:v>
      </x:c>
      <x:c r="F27" s="20" t="str">
        <x:v>SV polypeptide — red AuNC</x:v>
      </x:c>
      <x:c r="G27" s="20" t="str">
        <x:v>CCYGGPKKKRKVG</x:v>
      </x:c>
      <x:c r="H27" s="20" t="str">
        <x:v>L</x:v>
      </x:c>
      <x:c r="I27" s="20" t="str">
        <x:v>NH2- / -COOH</x:v>
      </x:c>
      <x:c r="J27" s="20"/>
      <x:c r="K27" s="20"/>
      <x:c r="L27" s="20" t="str">
        <x:v>&lt;2</x:v>
      </x:c>
      <x:c r="M27" s="20"/>
      <x:c r="N27" s="20" t="str">
        <x:v>Red-emitting peptide-templated AuNC</x:v>
      </x:c>
      <x:c r="O27" s="20" t="str">
        <x:v>HAuCl4</x:v>
      </x:c>
      <x:c r="P27" s="20" t="str">
        <x:v>Same SV peptide; synthesis conditions optimized separately from blue product</x:v>
      </x:c>
      <x:c r="Q27" s="20" t="str">
        <x:v>Peptide-templated / conditions dependent</x:v>
      </x:c>
      <x:c r="R27" s="20"/>
      <x:c r="S27" s="20"/>
      <x:c r="T27" s="20"/>
      <x:c r="U27" s="20" t="str">
        <x:v>Light, pH, Au:peptide ratio, time and temperature were optimization variables</x:v>
      </x:c>
      <x:c r="V27" s="20" t="n">
        <x:v>657</x:v>
      </x:c>
      <x:c r="W27" s="20" t="str">
        <x:v>λex 560 / λem 657</x:v>
      </x:c>
      <x:c r="X27" s="20"/>
      <x:c r="Y27" s="20"/>
      <x:c r="Z27" s="20"/>
      <x:c r="AA27" s="20"/>
      <x:c r="AB27" s="20"/>
      <x:c r="AC27" s="20"/>
      <x:c r="AD27" s="20"/>
      <x:c r="AE27" s="20" t="str">
        <x:v>Cell-nucleus multimodal imaging</x:v>
      </x:c>
      <x:c r="AF27" s="20" t="str">
        <x:v>Paired with R023: identical peptide sequence can yield sharply different optical outcomes when the synthesis environment changes.</x:v>
      </x:c>
      <x:c r="AG27" s="20" t="str">
        <x:v>ACS Applied Bio Materials abstract + SI listing</x:v>
      </x:c>
      <x:c r="AH27" s="20" t="str">
        <x:v>https://doi.org/10.1021/acsabm.9b01078</x:v>
      </x:c>
      <x:c r="AI27" s="24" t="n">
        <x:f>ROUND(100*COUNTA(G27,J27,L27,R27,S27,T27,V27,X27,AA27,AC27)/10,0)</x:f>
        <x:v>30</x:v>
      </x:c>
      <x:c r="AJ27" s="20" t="str">
        <x:v>QC_HOLD</x:v>
      </x:c>
      <x:c r="AK27" s="20" t="str">
        <x:v>EXACT_FROM_PRIMARY</x:v>
      </x:c>
      <x:c r="AL27" s="20" t="str">
        <x:v>Exact numerical synthesis condition set still needs full main-text/SI extraction.</x:v>
      </x:c>
      <x:c r="AM27" s="20" t="str">
        <x:v>2026-09-07</x:v>
      </x:c>
      <x:c r="AN27" s="20" t="str">
        <x:v>WEB_PRIMARY</x:v>
      </x:c>
    </x:row>
    <x:row r="28" ht="19" customHeight="1">
      <x:c r="A28" s="20" t="str">
        <x:v>R025</x:v>
      </x:c>
      <x:c r="B28" s="20" t="str">
        <x:v>W02</x:v>
      </x:c>
      <x:c r="C28" s="20" t="str">
        <x:v>A2 DIRECT_PEPTIDE_NONPRECISE_AUNC</x:v>
      </x:c>
      <x:c r="D28" s="20" t="str">
        <x:v>DIRECT</x:v>
      </x:c>
      <x:c r="E28" s="20" t="str">
        <x:v>ultrasmall_AuNC_unknown_nuclearity</x:v>
      </x:c>
      <x:c r="F28" s="20" t="str">
        <x:v>Cyclodecapeptide-templated AuNC</x:v>
      </x:c>
      <x:c r="G28" s="20" t="str">
        <x:v>Cyclodecapeptide: 1 Tyr + 2 Cys; exact sequence pending</x:v>
      </x:c>
      <x:c r="H28" s="20" t="str">
        <x:v>L</x:v>
      </x:c>
      <x:c r="I28" s="20" t="str">
        <x:v>Cyclic peptide</x:v>
      </x:c>
      <x:c r="J28" s="20"/>
      <x:c r="K28" s="20"/>
      <x:c r="L28" s="20"/>
      <x:c r="M28" s="20"/>
      <x:c r="N28" s="20" t="str">
        <x:v>Red-fluorescent CP-AuNC</x:v>
      </x:c>
      <x:c r="O28" s="20" t="str">
        <x:v>HAuCl4</x:v>
      </x:c>
      <x:c r="P28" s="20" t="str">
        <x:v>100 µL 25 mM HAuCl4 + 1 mL 2 mM cyclodecapeptide</x:v>
      </x:c>
      <x:c r="Q28" s="20" t="str">
        <x:v>Peptide biomineralization / alkaline condition</x:v>
      </x:c>
      <x:c r="R28" s="20"/>
      <x:c r="S28" s="20" t="n">
        <x:v>37</x:v>
      </x:c>
      <x:c r="T28" s="20" t="n">
        <x:v>15</x:v>
      </x:c>
      <x:c r="U28" s="20" t="str">
        <x:v>Vigorous stirring; NaOH 75 µL 0.5 M added after 2 min; sealed 37°C</x:v>
      </x:c>
      <x:c r="V28" s="20"/>
      <x:c r="W28" s="20" t="str">
        <x:v>Red fluorescence; exact peak to extract</x:v>
      </x:c>
      <x:c r="X28" s="20"/>
      <x:c r="Y28" s="20"/>
      <x:c r="Z28" s="20"/>
      <x:c r="AA28" s="20"/>
      <x:c r="AB28" s="20"/>
      <x:c r="AC28" s="20"/>
      <x:c r="AD28" s="20"/>
      <x:c r="AE28" s="20" t="str">
        <x:v>Dual fluorescence/MR imaging after Gd3+ functionalization</x:v>
      </x:c>
      <x:c r="AF28" s="20" t="str">
        <x:v>Direct designed cyclic peptide acts as AuNC template and later Gd3+ chelator; exact peptide sequence must be recovered from structure figure/SI.</x:v>
      </x:c>
      <x:c r="AG28" s="20" t="str">
        <x:v>RSC Supporting Information synthesis</x:v>
      </x:c>
      <x:c r="AH28" s="20" t="str">
        <x:v>https://doi.org/10.1039/C3TB20440E</x:v>
      </x:c>
      <x:c r="AI28" s="24" t="n">
        <x:f>ROUND(100*COUNTA(G28,J28,L28,R28,S28,T28,V28,X28,AA28,AC28)/10,0)</x:f>
        <x:v>30</x:v>
      </x:c>
      <x:c r="AJ28" s="20" t="str">
        <x:v>QC_HOLD</x:v>
      </x:c>
      <x:c r="AK28" s="20" t="str">
        <x:v>INCOMPLETE_SEQUENCE</x:v>
      </x:c>
      <x:c r="AL28" s="20" t="str">
        <x:v>Exact cyclodecapeptide sequence not recovered from searchable text.</x:v>
      </x:c>
      <x:c r="AM28" s="20" t="str">
        <x:v>2026-09-07</x:v>
      </x:c>
      <x:c r="AN28" s="20" t="str">
        <x:v>WEB_PRIMARY+SI</x:v>
      </x:c>
    </x:row>
    <x:row r="29" ht="19" customHeight="1">
      <x:c r="A29" s="20" t="str">
        <x:v>R026</x:v>
      </x:c>
      <x:c r="B29" s="20" t="str">
        <x:v>W03</x:v>
      </x:c>
      <x:c r="C29" s="20" t="str">
        <x:v>A1 DIRECT_PEPTIDE_ATOMIC_AUNC</x:v>
      </x:c>
      <x:c r="D29" s="20" t="str">
        <x:v>DIRECT</x:v>
      </x:c>
      <x:c r="E29" s="20" t="str">
        <x:v>atomically_precise_AuNC</x:v>
      </x:c>
      <x:c r="F29" s="20" t="str">
        <x:v>CCYJNP5 peptide</x:v>
      </x:c>
      <x:c r="G29" s="20" t="str">
        <x:v>CCYLQLQAEER</x:v>
      </x:c>
      <x:c r="H29" s="20" t="str">
        <x:v>L</x:v>
      </x:c>
      <x:c r="I29" s="20" t="str">
        <x:v>C-terminal amide (-NH2)</x:v>
      </x:c>
      <x:c r="J29" s="20" t="n">
        <x:v>21</x:v>
      </x:c>
      <x:c r="K29" s="20"/>
      <x:c r="L29" s="20" t="n">
        <x:v>2</x:v>
      </x:c>
      <x:c r="M29" s="20"/>
      <x:c r="N29" s="20" t="str">
        <x:v>Peptide-conjugated Au21 nanocluster</x:v>
      </x:c>
      <x:c r="O29" s="20" t="str">
        <x:v>HAuCl4</x:v>
      </x:c>
      <x:c r="P29" s="20" t="str">
        <x:v>1 mL 4.428 mM HAuCl4 + 1 mL CCYJNP5; optimized peptide:HAuCl4 = 1:1</x:v>
      </x:c>
      <x:c r="Q29" s="20" t="str">
        <x:v>Peptide self-reduction via Tyr under alkaline pH</x:v>
      </x:c>
      <x:c r="R29" s="20" t="n">
        <x:v>11.5</x:v>
      </x:c>
      <x:c r="S29" s="20" t="n">
        <x:v>25</x:v>
      </x:c>
      <x:c r="T29" s="20" t="n">
        <x:v>18</x:v>
      </x:c>
      <x:c r="U29" s="20" t="str">
        <x:v>Magnetic stirring; 130 µL 1 M NaOH; dialysis MWCO 8000 for 12 h</x:v>
      </x:c>
      <x:c r="V29" s="20" t="n">
        <x:v>640</x:v>
      </x:c>
      <x:c r="W29" s="20" t="str">
        <x:v>λex 380 / λem 640</x:v>
      </x:c>
      <x:c r="X29" s="20" t="n">
        <x:v>2.86</x:v>
      </x:c>
      <x:c r="Y29" s="20"/>
      <x:c r="Z29" s="20"/>
      <x:c r="AA29" s="20"/>
      <x:c r="AB29" s="20"/>
      <x:c r="AC29" s="20"/>
      <x:c r="AD29" s="20"/>
      <x:c r="AE29" s="20" t="str">
        <x:v>FGFR2-targeted tumor-cell imaging</x:v>
      </x:c>
      <x:c r="AF29" s="20" t="str">
        <x:v>MALDI-TOF indicated 21 Au atoms; CCY motif is required for strong fluorescence; ~33% Au(I) at surface.</x:v>
      </x:c>
      <x:c r="AG29" s="20" t="str">
        <x:v>RSC Adv. main text, Methods + Results</x:v>
      </x:c>
      <x:c r="AH29" s="20" t="str">
        <x:v>https://doi.org/10.1039/C5RA20113F</x:v>
      </x:c>
      <x:c r="AI29" s="24" t="n">
        <x:f>ROUND(100*COUNTA(G29,J29,L29,R29,S29,T29,V29,X29,AA29,AC29)/10,0)</x:f>
        <x:v>80</x:v>
      </x:c>
      <x:c r="AJ29" s="20" t="str">
        <x:v>TRAIN_CORE</x:v>
      </x:c>
      <x:c r="AK29" s="20" t="str">
        <x:v>EXACT_FROM_PRIMARY</x:v>
      </x:c>
      <x:c r="AL29" s="20" t="str">
        <x:v>High-value atomic sequence+synthesis+optical record. Group with all same-paper variants in validation.</x:v>
      </x:c>
      <x:c r="AM29" s="20" t="str">
        <x:v>2026-09-07</x:v>
      </x:c>
      <x:c r="AN29" s="20" t="str">
        <x:v>WEB_PRIMARY</x:v>
      </x:c>
    </x:row>
    <x:row r="30" ht="19" customHeight="1">
      <x:c r="A30" s="20" t="str">
        <x:v>R027</x:v>
      </x:c>
      <x:c r="B30" s="20" t="str">
        <x:v>W04</x:v>
      </x:c>
      <x:c r="C30" s="20" t="str">
        <x:v>A1 DIRECT_PEPTIDE_ATOMIC_AUNC</x:v>
      </x:c>
      <x:c r="D30" s="20" t="str">
        <x:v>DIRECT</x:v>
      </x:c>
      <x:c r="E30" s="20" t="str">
        <x:v>atomically_precise_AuNC</x:v>
      </x:c>
      <x:c r="F30" s="20" t="str">
        <x:v>Integrin-targeting peptide Au cluster</x:v>
      </x:c>
      <x:c r="G30" s="20" t="str">
        <x:v>CONFLICT: CGPDGRDGRDGPDGR (Materials) | CCGPDGRDGRDGRDGR (Results)</x:v>
      </x:c>
      <x:c r="H30" s="20" t="str">
        <x:v>L</x:v>
      </x:c>
      <x:c r="I30" s="20" t="str">
        <x:v>N- and C-termini reported NH2-/ -COOH</x:v>
      </x:c>
      <x:c r="J30" s="20" t="n">
        <x:v>7</x:v>
      </x:c>
      <x:c r="K30" s="20" t="n">
        <x:v>5</x:v>
      </x:c>
      <x:c r="L30" s="20" t="n">
        <x:v>2.85</x:v>
      </x:c>
      <x:c r="M30" s="20"/>
      <x:c r="N30" s="20" t="str">
        <x:v>Au7Peptide5 inferred from MALDI-TOF</x:v>
      </x:c>
      <x:c r="O30" s="20" t="str">
        <x:v>HAuCl4</x:v>
      </x:c>
      <x:c r="P30" s="20" t="str">
        <x:v>6 mg peptide in 1 mL water + 40 µL 25 mM HAuCl4</x:v>
      </x:c>
      <x:c r="Q30" s="20" t="str">
        <x:v>Peptide biomimetic mineralization; NaOH-assisted</x:v>
      </x:c>
      <x:c r="R30" s="20"/>
      <x:c r="S30" s="20" t="n">
        <x:v>55</x:v>
      </x:c>
      <x:c r="T30" s="20" t="n">
        <x:v>12</x:v>
      </x:c>
      <x:c r="U30" s="20" t="str">
        <x:v>5 min after Au addition: 200 µL 0.5 M NaOH; MWCO 3 kDa purification</x:v>
      </x:c>
      <x:c r="V30" s="20" t="n">
        <x:v>420</x:v>
      </x:c>
      <x:c r="W30" s="20" t="str">
        <x:v>λex 330 / λem 420</x:v>
      </x:c>
      <x:c r="X30" s="20"/>
      <x:c r="Y30" s="20"/>
      <x:c r="Z30" s="20"/>
      <x:c r="AA30" s="20"/>
      <x:c r="AB30" s="20"/>
      <x:c r="AC30" s="20"/>
      <x:c r="AD30" s="20"/>
      <x:c r="AE30" s="20" t="str">
        <x:v>Tumor-selective enzyme-like catalysis / apoptosis</x:v>
      </x:c>
      <x:c r="AF30" s="20" t="str">
        <x:v>MALDI peaks assigned Au7SxNay; Au7Peptide5 inferred. HRTEM-derived ~2.85±0.55 nm may be beam-affected.</x:v>
      </x:c>
      <x:c r="AG30" s="20" t="str">
        <x:v>Nanomaterials Methods 2.1–2.3 and Results 3.1</x:v>
      </x:c>
      <x:c r="AH30" s="20" t="str">
        <x:v>https://doi.org/10.3390/nano8121040</x:v>
      </x:c>
      <x:c r="AI30" s="24" t="n">
        <x:f>ROUND(100*COUNTA(G30,J30,L30,R30,S30,T30,V30,X30,AA30,AC30)/10,0)</x:f>
        <x:v>60</x:v>
      </x:c>
      <x:c r="AJ30" s="20" t="str">
        <x:v>QC_HOLD</x:v>
      </x:c>
      <x:c r="AK30" s="20" t="str">
        <x:v>SOURCE_CONFLICT</x:v>
      </x:c>
      <x:c r="AL30" s="20" t="str">
        <x:v>Critical sequence inconsistency inside the primary article; verify typeset PDF/author correction before encoding sequence.</x:v>
      </x:c>
      <x:c r="AM30" s="20" t="str">
        <x:v>2026-09-07</x:v>
      </x:c>
      <x:c r="AN30" s="20" t="str">
        <x:v>WEB_PRIMARY</x:v>
      </x:c>
    </x:row>
    <x:row r="31" ht="19" customHeight="1">
      <x:c r="A31" s="20" t="str">
        <x:v>R028</x:v>
      </x:c>
      <x:c r="B31" s="20" t="str">
        <x:v>W05</x:v>
      </x:c>
      <x:c r="C31" s="20" t="str">
        <x:v>A1 DIRECT_PEPTIDE_ATOMIC_AUNC</x:v>
      </x:c>
      <x:c r="D31" s="20" t="str">
        <x:v>DIRECT</x:v>
      </x:c>
      <x:c r="E31" s="20" t="str">
        <x:v>atomically_precise_AuNC</x:v>
      </x:c>
      <x:c r="F31" s="20" t="str">
        <x:v>Sv peptide</x:v>
      </x:c>
      <x:c r="G31" s="20" t="str">
        <x:v>CCYGGPKKKRKPG</x:v>
      </x:c>
      <x:c r="H31" s="20" t="str">
        <x:v>L</x:v>
      </x:c>
      <x:c r="I31" s="20" t="str">
        <x:v>NH2- / -COOH</x:v>
      </x:c>
      <x:c r="J31" s="20" t="n">
        <x:v>25</x:v>
      </x:c>
      <x:c r="K31" s="20" t="n">
        <x:v>9</x:v>
      </x:c>
      <x:c r="L31" s="20"/>
      <x:c r="M31" s="20"/>
      <x:c r="N31" s="20" t="str">
        <x:v>Au25Sv9</x:v>
      </x:c>
      <x:c r="O31" s="20" t="str">
        <x:v>HAuCl4</x:v>
      </x:c>
      <x:c r="P31" s="20" t="str">
        <x:v>Original study reports designed tridecapeptide Sv; exact protocol requires final primary extraction</x:v>
      </x:c>
      <x:c r="Q31" s="20" t="str">
        <x:v>Peptide-templated</x:v>
      </x:c>
      <x:c r="R31" s="20" t="n">
        <x:v>10</x:v>
      </x:c>
      <x:c r="S31" s="20"/>
      <x:c r="T31" s="20" t="n">
        <x:v>15</x:v>
      </x:c>
      <x:c r="U31" s="20" t="str">
        <x:v>Sealed/dark protocol reported in source family; verify exact reagent quantities before training synthesis model</x:v>
      </x:c>
      <x:c r="V31" s="20" t="n">
        <x:v>645</x:v>
      </x:c>
      <x:c r="W31" s="20" t="str">
        <x:v>Red fluorescence; emission peak ~645</x:v>
      </x:c>
      <x:c r="X31" s="20"/>
      <x:c r="Y31" s="20"/>
      <x:c r="Z31" s="20"/>
      <x:c r="AA31" s="20"/>
      <x:c r="AB31" s="20"/>
      <x:c r="AC31" s="20"/>
      <x:c r="AD31" s="20"/>
      <x:c r="AE31" s="20" t="str">
        <x:v>Chronic lymphocytic leukemia therapy</x:v>
      </x:c>
      <x:c r="AF31" s="20" t="str">
        <x:v>Atomic Au25Sv9 binds/inhibits thioredoxin reductase 1 and increases oxidative stress in CLL cells.</x:v>
      </x:c>
      <x:c r="AG31" s="20" t="str">
        <x:v>Science Bulletin primary article / PubMed</x:v>
      </x:c>
      <x:c r="AH31" s="20" t="str">
        <x:v>https://doi.org/10.1016/j.scib.2017.03.024</x:v>
      </x:c>
      <x:c r="AI31" s="24" t="n">
        <x:f>ROUND(100*COUNTA(G31,J31,L31,R31,S31,T31,V31,X31,AA31,AC31)/10,0)</x:f>
        <x:v>50</x:v>
      </x:c>
      <x:c r="AJ31" s="20" t="str">
        <x:v>TRAIN_STRUCTURE_ONLY</x:v>
      </x:c>
      <x:c r="AK31" s="20" t="str">
        <x:v>EXACT_FROM_2017_PRIMARY</x:v>
      </x:c>
      <x:c r="AL31" s="20" t="str">
        <x:v>Do not merge with 2020 SV variant CCYGGPKKKRKVG; sequence-cluster leakage risk is high.</x:v>
      </x:c>
      <x:c r="AM31" s="20" t="str">
        <x:v>2026-09-07</x:v>
      </x:c>
      <x:c r="AN31" s="20" t="str">
        <x:v>WEB_PRIMARY</x:v>
      </x:c>
    </x:row>
    <x:row r="32" ht="19" customHeight="1">
      <x:c r="A32" s="20" t="str">
        <x:v>R029</x:v>
      </x:c>
      <x:c r="B32" s="20" t="str">
        <x:v>W06</x:v>
      </x:c>
      <x:c r="C32" s="20" t="str">
        <x:v>A2 DIRECT_PEPTIDE_NONPRECISE_AUNC</x:v>
      </x:c>
      <x:c r="D32" s="20" t="str">
        <x:v>DIRECT</x:v>
      </x:c>
      <x:c r="E32" s="20" t="str">
        <x:v>ultrasmall_AuNC_unknown_nuclearity</x:v>
      </x:c>
      <x:c r="F32" s="20" t="str">
        <x:v>DGEAGC oligopeptide</x:v>
      </x:c>
      <x:c r="G32" s="20" t="str">
        <x:v>DGEAGC</x:v>
      </x:c>
      <x:c r="H32" s="20" t="str">
        <x:v>L</x:v>
      </x:c>
      <x:c r="I32" s="20" t="str">
        <x:v>None</x:v>
      </x:c>
      <x:c r="J32" s="20"/>
      <x:c r="K32" s="20"/>
      <x:c r="L32" s="20" t="n">
        <x:v>1.3</x:v>
      </x:c>
      <x:c r="M32" s="20"/>
      <x:c r="N32" s="20" t="str">
        <x:v>Monodispersed ultrasmall peptide-protected AuNC</x:v>
      </x:c>
      <x:c r="O32" s="20" t="str">
        <x:v>HAuCl4</x:v>
      </x:c>
      <x:c r="P32" s="20" t="str">
        <x:v>68 µL HAuCl4 0.2 g/mL + 1.0 mL peptide 50 mg/mL + 17.6 mL water</x:v>
      </x:c>
      <x:c r="Q32" s="20" t="str">
        <x:v>Thermal reduction</x:v>
      </x:c>
      <x:c r="R32" s="20"/>
      <x:c r="S32" s="20" t="n">
        <x:v>70</x:v>
      </x:c>
      <x:c r="T32" s="20" t="n">
        <x:v>2</x:v>
      </x:c>
      <x:c r="U32" s="20" t="str">
        <x:v>Vigorous stirring RT 5 min, then 70°C for 2 h; PAGE purification used for characterization</x:v>
      </x:c>
      <x:c r="V32" s="20" t="n">
        <x:v>600</x:v>
      </x:c>
      <x:c r="W32" s="20" t="str">
        <x:v>λex 400 / λem 600</x:v>
      </x:c>
      <x:c r="X32" s="20"/>
      <x:c r="Y32" s="20" t="n">
        <x:v>400</x:v>
      </x:c>
      <x:c r="Z32" s="20"/>
      <x:c r="AA32" s="20"/>
      <x:c r="AB32" s="20"/>
      <x:c r="AC32" s="20"/>
      <x:c r="AD32" s="20"/>
      <x:c r="AE32" s="20" t="str">
        <x:v>Peroxidase mimic / cell imaging</x:v>
      </x:c>
      <x:c r="AF32" s="20" t="str">
        <x:v>Straightforward one-pot sequence+synthesis+size+optical record; article introduction contains a DGECGC typo but Methods specify DGEAGC.</x:v>
      </x:c>
      <x:c r="AG32" s="20" t="str">
        <x:v>Molecules 2023 Methods 3.1/3.3 + Results 2.1</x:v>
      </x:c>
      <x:c r="AH32" s="20" t="str">
        <x:v>https://doi.org/10.3390/molecules28010070</x:v>
      </x:c>
      <x:c r="AI32" s="24" t="n">
        <x:f>ROUND(100*COUNTA(G32,J32,L32,R32,S32,T32,V32,X32,AA32,AC32)/10,0)</x:f>
        <x:v>50</x:v>
      </x:c>
      <x:c r="AJ32" s="20" t="str">
        <x:v>TRAIN_OPTICAL_SIZE</x:v>
      </x:c>
      <x:c r="AK32" s="20" t="str">
        <x:v>EXACT_FROM_METHODS</x:v>
      </x:c>
      <x:c r="AL32" s="20" t="str">
        <x:v>Use DGEAGC from Materials/Methods; record introduction typo DGECGC in QC log.</x:v>
      </x:c>
      <x:c r="AM32" s="20" t="str">
        <x:v>2026-09-07</x:v>
      </x:c>
      <x:c r="AN32" s="20" t="str">
        <x:v>WEB_PRIMARY</x:v>
      </x:c>
    </x:row>
    <x:row r="33" ht="19" customHeight="1">
      <x:c r="A33" s="20" t="str">
        <x:v>R030</x:v>
      </x:c>
      <x:c r="B33" s="20" t="str">
        <x:v>W07</x:v>
      </x:c>
      <x:c r="C33" s="20" t="str">
        <x:v>A2 DIRECT_PEPTIDE_NONPRECISE_AUNC</x:v>
      </x:c>
      <x:c r="D33" s="20" t="str">
        <x:v>DIRECT</x:v>
      </x:c>
      <x:c r="E33" s="20" t="str">
        <x:v>ultrasmall_AuNC_unknown_nuclearity</x:v>
      </x:c>
      <x:c r="F33" s="20" t="str">
        <x:v>Cyclic RGD peptide</x:v>
      </x:c>
      <x:c r="G33" s="20" t="str">
        <x:v>c(RGD) / c(RGDyE) family; exact sequence requires SI verification</x:v>
      </x:c>
      <x:c r="H33" s="20" t="str">
        <x:v>L</x:v>
      </x:c>
      <x:c r="I33" s="20" t="str">
        <x:v>Cyclic peptide</x:v>
      </x:c>
      <x:c r="J33" s="20"/>
      <x:c r="K33" s="20"/>
      <x:c r="L33" s="20"/>
      <x:c r="M33" s="20"/>
      <x:c r="N33" s="20" t="str">
        <x:v>RGD-conjugated AuNC</x:v>
      </x:c>
      <x:c r="O33" s="20" t="str">
        <x:v>Chloraurate</x:v>
      </x:c>
      <x:c r="P33" s="20" t="str">
        <x:v>Cyclic RGD used as both reducing and protecting agent</x:v>
      </x:c>
      <x:c r="Q33" s="20" t="str">
        <x:v>Peptide self-reduction under alkaline condition</x:v>
      </x:c>
      <x:c r="R33" s="20"/>
      <x:c r="S33" s="20" t="n">
        <x:v>25</x:v>
      </x:c>
      <x:c r="T33" s="20" t="n">
        <x:v>0.25</x:v>
      </x:c>
      <x:c r="U33" s="20" t="str">
        <x:v>Direct alkaline synthesis; complete in 15 min at room temperature</x:v>
      </x:c>
      <x:c r="V33" s="20"/>
      <x:c r="W33" s="20" t="str">
        <x:v>Fluorescent; exact λ from full paper/SI to extract</x:v>
      </x:c>
      <x:c r="X33" s="20"/>
      <x:c r="Y33" s="20"/>
      <x:c r="Z33" s="20"/>
      <x:c r="AA33" s="20"/>
      <x:c r="AB33" s="20"/>
      <x:c r="AC33" s="20"/>
      <x:c r="AD33" s="20"/>
      <x:c r="AE33" s="20" t="str">
        <x:v>αvβ3-positive melanoma A375 imaging</x:v>
      </x:c>
      <x:c r="AF33" s="20" t="str">
        <x:v>Very fast direct peptide-AuNC synthesis; exact cyclic peptide identity/condition optimization resides in SI.</x:v>
      </x:c>
      <x:c r="AG33" s="20" t="str">
        <x:v>Bioconjugate Chemistry abstract + SI description</x:v>
      </x:c>
      <x:c r="AH33" s="20" t="str">
        <x:v>https://doi.org/10.1021/bc500505c</x:v>
      </x:c>
      <x:c r="AI33" s="24" t="n">
        <x:f>ROUND(100*COUNTA(G33,J33,L33,R33,S33,T33,V33,X33,AA33,AC33)/10,0)</x:f>
        <x:v>30</x:v>
      </x:c>
      <x:c r="AJ33" s="20" t="str">
        <x:v>QC_HOLD</x:v>
      </x:c>
      <x:c r="AK33" s="20" t="str">
        <x:v>PARTIAL_SEQUENCE</x:v>
      </x:c>
      <x:c r="AL33" s="20" t="str">
        <x:v>Acquire SI/full text before model training.</x:v>
      </x:c>
      <x:c r="AM33" s="20" t="str">
        <x:v>2026-09-07</x:v>
      </x:c>
      <x:c r="AN33" s="20" t="str">
        <x:v>WEB_PRIMARY</x:v>
      </x:c>
    </x:row>
    <x:row r="34" ht="19" customHeight="1">
      <x:c r="A34" s="20" t="str">
        <x:v>R031</x:v>
      </x:c>
      <x:c r="B34" s="20" t="str">
        <x:v>W08</x:v>
      </x:c>
      <x:c r="C34" s="20" t="str">
        <x:v>C1 AUNC_PTT_BENCHMARK</x:v>
      </x:c>
      <x:c r="D34" s="20" t="str">
        <x:v>DIRECT</x:v>
      </x:c>
      <x:c r="E34" s="20" t="str">
        <x:v>ultrasmall_AuNC_unknown_nuclearity</x:v>
      </x:c>
      <x:c r="F34" s="20" t="str">
        <x:v>LHRH analogue-functionalized AuNC</x:v>
      </x:c>
      <x:c r="G34" s="20" t="str">
        <x:v>LHRHa; exact sequence pending primary full text</x:v>
      </x:c>
      <x:c r="H34" s="20" t="str">
        <x:v>L</x:v>
      </x:c>
      <x:c r="I34" s="20" t="str">
        <x:v>Post-synthesis peptide functionalization</x:v>
      </x:c>
      <x:c r="J34" s="20"/>
      <x:c r="K34" s="20"/>
      <x:c r="L34" s="20"/>
      <x:c r="M34" s="20"/>
      <x:c r="N34" s="20" t="str">
        <x:v>PEI-modified AuNC + LHRHa nanosystem</x:v>
      </x:c>
      <x:c r="O34" s="20"/>
      <x:c r="P34" s="20" t="str">
        <x:v>PEI-AuNC combined with LHRH analogue</x:v>
      </x:c>
      <x:c r="Q34" s="20"/>
      <x:c r="R34" s="20"/>
      <x:c r="S34" s="20"/>
      <x:c r="T34" s="20"/>
      <x:c r="U34" s="20" t="str">
        <x:v>Post-functionalized targeting nanosystem</x:v>
      </x:c>
      <x:c r="V34" s="20"/>
      <x:c r="W34" s="20"/>
      <x:c r="X34" s="20"/>
      <x:c r="Y34" s="20"/>
      <x:c r="Z34" s="20"/>
      <x:c r="AA34" s="20"/>
      <x:c r="AB34" s="20"/>
      <x:c r="AC34" s="20"/>
      <x:c r="AD34" s="20"/>
      <x:c r="AE34" s="20" t="str">
        <x:v>Targeted prostate-cancer FL/CT + PTT</x:v>
      </x:c>
      <x:c r="AF34" s="20" t="str">
        <x:v>Useful peptide-functionalized AuNC PTT benchmark, but not a peptide-templated atomic-nuclearity training record.</x:v>
      </x:c>
      <x:c r="AG34" s="20" t="str">
        <x:v>J. Mater. Chem. B abstract</x:v>
      </x:c>
      <x:c r="AH34" s="20" t="str">
        <x:v>https://doi.org/10.1039/D2TB00531J</x:v>
      </x:c>
      <x:c r="AI34" s="24" t="n">
        <x:f>ROUND(100*COUNTA(G34,J34,L34,R34,S34,T34,V34,X34,AA34,AC34)/10,0)</x:f>
        <x:v>10</x:v>
      </x:c>
      <x:c r="AJ34" s="20" t="str">
        <x:v>BENCHMARK_ONLY</x:v>
      </x:c>
      <x:c r="AK34" s="20" t="str">
        <x:v>INCOMPLETE_SEQUENCE</x:v>
      </x:c>
      <x:c r="AL34" s="20" t="str">
        <x:v>Need exact LHRHa identity and laser/PCE/heating data from full primary paper.</x:v>
      </x:c>
      <x:c r="AM34" s="20" t="str">
        <x:v>2026-09-07</x:v>
      </x:c>
      <x:c r="AN34" s="20" t="str">
        <x:v>WEB_PRIMARY</x:v>
      </x:c>
    </x:row>
    <x:row r="35" ht="19" customHeight="1">
      <x:c r="A35" s="20" t="str">
        <x:v>R032</x:v>
      </x:c>
      <x:c r="B35" s="20" t="str">
        <x:v>W09</x:v>
      </x:c>
      <x:c r="C35" s="20" t="str">
        <x:v>A2 DIRECT_PEPTIDE_NONPRECISE_AUNC</x:v>
      </x:c>
      <x:c r="D35" s="20" t="str">
        <x:v>DIRECT</x:v>
      </x:c>
      <x:c r="E35" s="20" t="str">
        <x:v>ultrasmall_AuNC_unknown_nuclearity</x:v>
      </x:c>
      <x:c r="F35" s="20" t="str">
        <x:v>CMMMMM peptide</x:v>
      </x:c>
      <x:c r="G35" s="20" t="str">
        <x:v>CMMMMM</x:v>
      </x:c>
      <x:c r="H35" s="20" t="str">
        <x:v>L</x:v>
      </x:c>
      <x:c r="I35" s="20" t="str">
        <x:v>None</x:v>
      </x:c>
      <x:c r="J35" s="20"/>
      <x:c r="K35" s="20"/>
      <x:c r="L35" s="20"/>
      <x:c r="M35" s="20"/>
      <x:c r="N35" s="20" t="str">
        <x:v>Peptide-coated fluorescent AuNC</x:v>
      </x:c>
      <x:c r="O35" s="20" t="str">
        <x:v>Gold precursor; exact SI protocol pending</x:v>
      </x:c>
      <x:c r="P35" s="20" t="str">
        <x:v>Screened peptide synthesis</x:v>
      </x:c>
      <x:c r="Q35" s="20"/>
      <x:c r="R35" s="20"/>
      <x:c r="S35" s="20"/>
      <x:c r="T35" s="20"/>
      <x:c r="U35" s="20" t="str">
        <x:v>Exact synthesis conditions in Supporting Information</x:v>
      </x:c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 t="str">
        <x:v>Protein/serum discrimination</x:v>
      </x:c>
      <x:c r="AF35" s="20" t="str">
        <x:v>CMMMMM-AuNC fluorescence intensity was 230% higher than CYYYYY comparator; &gt;90% fluorescence remained after 60 min UV vs &lt;30% for CYYYYY.</x:v>
      </x:c>
      <x:c r="AG35" s="20" t="str">
        <x:v>Analytical Chemistry abstract</x:v>
      </x:c>
      <x:c r="AH35" s="20" t="str">
        <x:v>https://doi.org/10.1021/acs.analchem.9b03463</x:v>
      </x:c>
      <x:c r="AI35" s="24" t="n">
        <x:f>ROUND(100*COUNTA(G35,J35,L35,R35,S35,T35,V35,X35,AA35,AC35)/10,0)</x:f>
        <x:v>10</x:v>
      </x:c>
      <x:c r="AJ35" s="20" t="str">
        <x:v>QC_HOLD</x:v>
      </x:c>
      <x:c r="AK35" s="20" t="str">
        <x:v>EXACT_FROM_PRIMARY</x:v>
      </x:c>
      <x:c r="AL35" s="20" t="str">
        <x:v>Strong sequence-effect pair, but exact synthesis variables must be extracted before training.</x:v>
      </x:c>
      <x:c r="AM35" s="20" t="str">
        <x:v>2026-09-07</x:v>
      </x:c>
      <x:c r="AN35" s="20" t="str">
        <x:v>WEB_PRIMARY</x:v>
      </x:c>
    </x:row>
    <x:row r="36" ht="19" customHeight="1">
      <x:c r="A36" s="20" t="str">
        <x:v>R033</x:v>
      </x:c>
      <x:c r="B36" s="20" t="str">
        <x:v>W09</x:v>
      </x:c>
      <x:c r="C36" s="20" t="str">
        <x:v>A2 DIRECT_PEPTIDE_NONPRECISE_AUNC</x:v>
      </x:c>
      <x:c r="D36" s="20" t="str">
        <x:v>DIRECT</x:v>
      </x:c>
      <x:c r="E36" s="20" t="str">
        <x:v>ultrasmall_AuNC_unknown_nuclearity</x:v>
      </x:c>
      <x:c r="F36" s="20" t="str">
        <x:v>CYYYYY comparator</x:v>
      </x:c>
      <x:c r="G36" s="20" t="str">
        <x:v>CYYYYY</x:v>
      </x:c>
      <x:c r="H36" s="20" t="str">
        <x:v>L</x:v>
      </x:c>
      <x:c r="I36" s="20" t="str">
        <x:v>None</x:v>
      </x:c>
      <x:c r="J36" s="20"/>
      <x:c r="K36" s="20"/>
      <x:c r="L36" s="20"/>
      <x:c r="M36" s="20"/>
      <x:c r="N36" s="20" t="str">
        <x:v>Comparator peptide-coated AuNC</x:v>
      </x:c>
      <x:c r="O36" s="20" t="str">
        <x:v>Gold precursor; exact SI protocol pending</x:v>
      </x:c>
      <x:c r="P36" s="20" t="str">
        <x:v>Comparator peptide synthesis</x:v>
      </x:c>
      <x:c r="Q36" s="20"/>
      <x:c r="R36" s="20"/>
      <x:c r="S36" s="20"/>
      <x:c r="T36" s="20"/>
      <x:c r="U36" s="20" t="str">
        <x:v>Exact synthesis conditions in Supporting Information</x:v>
      </x:c>
      <x:c r="V36" s="20"/>
      <x:c r="W36" s="20"/>
      <x:c r="X36" s="20"/>
      <x:c r="Y36" s="20"/>
      <x:c r="Z36" s="20"/>
      <x:c r="AA36" s="20"/>
      <x:c r="AB36" s="20"/>
      <x:c r="AC36" s="20"/>
      <x:c r="AD36" s="20"/>
      <x:c r="AE36" s="20" t="str">
        <x:v>Comparator for fluorescence/stability</x:v>
      </x:c>
      <x:c r="AF36" s="20" t="str">
        <x:v>Matched comparator to CMMMMM; lower fluorescence and markedly poorer UV photostability.</x:v>
      </x:c>
      <x:c r="AG36" s="20" t="str">
        <x:v>Analytical Chemistry abstract</x:v>
      </x:c>
      <x:c r="AH36" s="20" t="str">
        <x:v>https://doi.org/10.1021/acs.analchem.9b03463</x:v>
      </x:c>
      <x:c r="AI36" s="24" t="n">
        <x:f>ROUND(100*COUNTA(G36,J36,L36,R36,S36,T36,V36,X36,AA36,AC36)/10,0)</x:f>
        <x:v>10</x:v>
      </x:c>
      <x:c r="AJ36" s="20" t="str">
        <x:v>QC_HOLD</x:v>
      </x:c>
      <x:c r="AK36" s="20" t="str">
        <x:v>EXACT_FROM_PRIMARY</x:v>
      </x:c>
      <x:c r="AL36" s="20" t="str">
        <x:v>Paired comparator is highly informative once SI synthesis variables are obtained.</x:v>
      </x:c>
      <x:c r="AM36" s="20" t="str">
        <x:v>2026-09-07</x:v>
      </x:c>
      <x:c r="AN36" s="20" t="str">
        <x:v>WEB_PRIMARY</x:v>
      </x:c>
    </x:row>
    <x:row r="37" ht="19" customHeight="1">
      <x:c r="A37" s="20" t="str">
        <x:v>R034</x:v>
      </x:c>
      <x:c r="B37" s="20" t="str">
        <x:v>W17</x:v>
      </x:c>
      <x:c r="C37" s="20" t="str">
        <x:v>A2 DIRECT_PEPTIDE_NONPRECISE_AUNC</x:v>
      </x:c>
      <x:c r="D37" s="20" t="str">
        <x:v>DIRECT</x:v>
      </x:c>
      <x:c r="E37" s="20" t="str">
        <x:v>ultrasmall_AuNC_unknown_nuclearity</x:v>
      </x:c>
      <x:c r="F37" s="20" t="str">
        <x:v>Blue-YCY AuNC</x:v>
      </x:c>
      <x:c r="G37" s="20" t="str">
        <x:v>YCY</x:v>
      </x:c>
      <x:c r="H37" s="20" t="str">
        <x:v>L</x:v>
      </x:c>
      <x:c r="I37" s="20" t="str">
        <x:v>Blue fraction / supernatant</x:v>
      </x:c>
      <x:c r="J37" s="20"/>
      <x:c r="K37" s="20"/>
      <x:c r="L37" s="20" t="n">
        <x:v>1.8</x:v>
      </x:c>
      <x:c r="M37" s="20"/>
      <x:c r="N37" s="20" t="str">
        <x:v>Blue fluorescent peptide AuNC</x:v>
      </x:c>
      <x:c r="O37" s="20" t="str">
        <x:v>HAuCl4</x:v>
      </x:c>
      <x:c r="P37" s="20" t="str">
        <x:v>0.5 mL peptide 25 mM + 0.5 mL HAuCl4·3H2O 25 mM</x:v>
      </x:c>
      <x:c r="Q37" s="20" t="str">
        <x:v>Peptide-assisted alkaline thermal synthesis</x:v>
      </x:c>
      <x:c r="R37" s="20" t="n">
        <x:v>10</x:v>
      </x:c>
      <x:c r="S37" s="20" t="n">
        <x:v>70</x:v>
      </x:c>
      <x:c r="T37" s="20" t="n">
        <x:v>8.25</x:v>
      </x:c>
      <x:c r="U37" s="20" t="str">
        <x:v>Stir 15 min at 70°C; adjust pH 10 with 1 M NaOH; continue 70°C 8 h; centrifuge 16,000×g 10 min; blue product in supernatant</x:v>
      </x:c>
      <x:c r="V37" s="20" t="n">
        <x:v>415</x:v>
      </x:c>
      <x:c r="W37" s="20" t="str">
        <x:v>λex 325 / λem 415</x:v>
      </x:c>
      <x:c r="X37" s="20" t="n">
        <x:v>1.2</x:v>
      </x:c>
      <x:c r="Y37" s="20"/>
      <x:c r="Z37" s="20"/>
      <x:c r="AA37" s="20"/>
      <x:c r="AB37" s="20"/>
      <x:c r="AC37" s="20"/>
      <x:c r="AD37" s="20"/>
      <x:c r="AE37" s="20" t="str">
        <x:v>Optical/sensing platform</x:v>
      </x:c>
      <x:c r="AF37" s="20" t="str">
        <x:v>Exact same synthesis platform as SCY comparator; provides a controlled sequence comparison with Tyr-Cys-Tyr.</x:v>
      </x:c>
      <x:c r="AG37" s="20" t="str">
        <x:v>Molecules 2024 Methods + characterization</x:v>
      </x:c>
      <x:c r="AH37" s="20" t="str">
        <x:v>https://doi.org/10.3390/molecules29112416</x:v>
      </x:c>
      <x:c r="AI37" s="24" t="n">
        <x:f>ROUND(100*COUNTA(G37,J37,L37,R37,S37,T37,V37,X37,AA37,AC37)/10,0)</x:f>
        <x:v>70</x:v>
      </x:c>
      <x:c r="AJ37" s="20" t="str">
        <x:v>TRAIN_OPTICAL_SIZE</x:v>
      </x:c>
      <x:c r="AK37" s="20" t="str">
        <x:v>EXACT_FROM_PRIMARY</x:v>
      </x:c>
      <x:c r="AL37" s="20" t="str">
        <x:v>Direct same-paper sequence comparison. Group all W17 records together during validation.</x:v>
      </x:c>
      <x:c r="AM37" s="20" t="str">
        <x:v>2026-09-07</x:v>
      </x:c>
      <x:c r="AN37" s="20" t="str">
        <x:v>WEB_PRIMARY</x:v>
      </x:c>
    </x:row>
    <x:row r="38" ht="19" customHeight="1">
      <x:c r="A38" s="20" t="str">
        <x:v>R035</x:v>
      </x:c>
      <x:c r="B38" s="20" t="str">
        <x:v>W17</x:v>
      </x:c>
      <x:c r="C38" s="20" t="str">
        <x:v>A2 DIRECT_PEPTIDE_NONPRECISE_AUNC</x:v>
      </x:c>
      <x:c r="D38" s="20" t="str">
        <x:v>DIRECT</x:v>
      </x:c>
      <x:c r="E38" s="20" t="str">
        <x:v>ultrasmall_AuNC_unknown_nuclearity</x:v>
      </x:c>
      <x:c r="F38" s="20" t="str">
        <x:v>Blue-SCY AuNC</x:v>
      </x:c>
      <x:c r="G38" s="20" t="str">
        <x:v>SCY</x:v>
      </x:c>
      <x:c r="H38" s="20" t="str">
        <x:v>L</x:v>
      </x:c>
      <x:c r="I38" s="20" t="str">
        <x:v>Blue fraction / supernatant</x:v>
      </x:c>
      <x:c r="J38" s="20"/>
      <x:c r="K38" s="20"/>
      <x:c r="L38" s="20" t="n">
        <x:v>1.7</x:v>
      </x:c>
      <x:c r="M38" s="20"/>
      <x:c r="N38" s="20" t="str">
        <x:v>Blue fluorescent peptide AuNC</x:v>
      </x:c>
      <x:c r="O38" s="20" t="str">
        <x:v>HAuCl4</x:v>
      </x:c>
      <x:c r="P38" s="20" t="str">
        <x:v>0.5 mL peptide 25 mM + 0.5 mL HAuCl4·3H2O 25 mM</x:v>
      </x:c>
      <x:c r="Q38" s="20" t="str">
        <x:v>Peptide-assisted alkaline thermal synthesis</x:v>
      </x:c>
      <x:c r="R38" s="20" t="n">
        <x:v>10</x:v>
      </x:c>
      <x:c r="S38" s="20" t="n">
        <x:v>70</x:v>
      </x:c>
      <x:c r="T38" s="20" t="n">
        <x:v>8.25</x:v>
      </x:c>
      <x:c r="U38" s="20" t="str">
        <x:v>Stir 15 min at 70°C; adjust pH 10 with 1 M NaOH; continue 70°C 8 h; centrifuge 16,000×g 10 min; blue product in supernatant</x:v>
      </x:c>
      <x:c r="V38" s="20" t="n">
        <x:v>415</x:v>
      </x:c>
      <x:c r="W38" s="20" t="str">
        <x:v>λex 325 / λem 415</x:v>
      </x:c>
      <x:c r="X38" s="20" t="n">
        <x:v>1.5</x:v>
      </x:c>
      <x:c r="Y38" s="20"/>
      <x:c r="Z38" s="20"/>
      <x:c r="AA38" s="20"/>
      <x:c r="AB38" s="20"/>
      <x:c r="AC38" s="20"/>
      <x:c r="AD38" s="20"/>
      <x:c r="AE38" s="20" t="str">
        <x:v>Optical/sensing platform</x:v>
      </x:c>
      <x:c r="AF38" s="20" t="str">
        <x:v>SCY provides a matched one-residue substitution comparison against YCY under the same synthesis workflow.</x:v>
      </x:c>
      <x:c r="AG38" s="20" t="str">
        <x:v>Molecules 2024 Methods + characterization</x:v>
      </x:c>
      <x:c r="AH38" s="20" t="str">
        <x:v>https://doi.org/10.3390/molecules29112416</x:v>
      </x:c>
      <x:c r="AI38" s="24" t="n">
        <x:f>ROUND(100*COUNTA(G38,J38,L38,R38,S38,T38,V38,X38,AA38,AC38)/10,0)</x:f>
        <x:v>70</x:v>
      </x:c>
      <x:c r="AJ38" s="20" t="str">
        <x:v>TRAIN_OPTICAL_SIZE</x:v>
      </x:c>
      <x:c r="AK38" s="20" t="str">
        <x:v>EXACT_FROM_PRIMARY</x:v>
      </x:c>
      <x:c r="AL38" s="20" t="str">
        <x:v>Direct same-paper sequence comparison. Group all W17 records together during validation.</x:v>
      </x:c>
      <x:c r="AM38" s="20" t="str">
        <x:v>2026-09-07</x:v>
      </x:c>
      <x:c r="AN38" s="20" t="str">
        <x:v>WEB_PRIMARY</x:v>
      </x:c>
    </x:row>
    <x:row r="39" ht="19" customHeight="1">
      <x:c r="A39" s="20" t="str">
        <x:v>R036</x:v>
      </x:c>
      <x:c r="B39" s="20" t="str">
        <x:v>W17</x:v>
      </x:c>
      <x:c r="C39" s="20" t="str">
        <x:v>A2 DIRECT_PEPTIDE_NONPRECISE_AUNC</x:v>
      </x:c>
      <x:c r="D39" s="20" t="str">
        <x:v>DIRECT</x:v>
      </x:c>
      <x:c r="E39" s="20" t="str">
        <x:v>ultrasmall_AuNC_unknown_nuclearity</x:v>
      </x:c>
      <x:c r="F39" s="20" t="str">
        <x:v>Red-YCY AuNC</x:v>
      </x:c>
      <x:c r="G39" s="20" t="str">
        <x:v>YCY</x:v>
      </x:c>
      <x:c r="H39" s="20" t="str">
        <x:v>L</x:v>
      </x:c>
      <x:c r="I39" s="20" t="str">
        <x:v>Red fraction / precipitate; recovered with 10% acetic acid:DMSO 1:1</x:v>
      </x:c>
      <x:c r="J39" s="20"/>
      <x:c r="K39" s="20"/>
      <x:c r="L39" s="20" t="n">
        <x:v>1.8</x:v>
      </x:c>
      <x:c r="M39" s="20"/>
      <x:c r="N39" s="20" t="str">
        <x:v>Red fluorescent peptide AuNC</x:v>
      </x:c>
      <x:c r="O39" s="20" t="str">
        <x:v>HAuCl4</x:v>
      </x:c>
      <x:c r="P39" s="20" t="str">
        <x:v>0.5 mL peptide 25 mM + 0.5 mL HAuCl4·3H2O 25 mM</x:v>
      </x:c>
      <x:c r="Q39" s="20" t="str">
        <x:v>Peptide-assisted alkaline thermal synthesis</x:v>
      </x:c>
      <x:c r="R39" s="20" t="n">
        <x:v>10</x:v>
      </x:c>
      <x:c r="S39" s="20" t="n">
        <x:v>70</x:v>
      </x:c>
      <x:c r="T39" s="20" t="n">
        <x:v>8.25</x:v>
      </x:c>
      <x:c r="U39" s="20" t="str">
        <x:v>Same synthesis as Blue-YCY; red product isolated from precipitate after centrifugation and redissolved/purified</x:v>
      </x:c>
      <x:c r="V39" s="20" t="n">
        <x:v>670</x:v>
      </x:c>
      <x:c r="W39" s="20" t="str">
        <x:v>λem 670; excitation not entered pending direct verification</x:v>
      </x:c>
      <x:c r="X39" s="20" t="n">
        <x:v>0.8</x:v>
      </x:c>
      <x:c r="Y39" s="20"/>
      <x:c r="Z39" s="20"/>
      <x:c r="AA39" s="20"/>
      <x:c r="AB39" s="20"/>
      <x:c r="AC39" s="20"/>
      <x:c r="AD39" s="20"/>
      <x:c r="AE39" s="20" t="str">
        <x:v>Optical/sensing platform</x:v>
      </x:c>
      <x:c r="AF39" s="20" t="str">
        <x:v>Same YCY sequence and batch workflow yields a distinct red fraction, reinforcing the need to encode fractionation/process state in addition to sequence.</x:v>
      </x:c>
      <x:c r="AG39" s="20" t="str">
        <x:v>Molecules 2024 Methods + characterization</x:v>
      </x:c>
      <x:c r="AH39" s="20" t="str">
        <x:v>https://doi.org/10.3390/molecules29112416</x:v>
      </x:c>
      <x:c r="AI39" s="24" t="n">
        <x:f>ROUND(100*COUNTA(G39,J39,L39,R39,S39,T39,V39,X39,AA39,AC39)/10,0)</x:f>
        <x:v>70</x:v>
      </x:c>
      <x:c r="AJ39" s="20" t="str">
        <x:v>TRAIN_OPTICAL_SIZE</x:v>
      </x:c>
      <x:c r="AK39" s="20" t="str">
        <x:v>EXACT_FROM_PRIMARY</x:v>
      </x:c>
      <x:c r="AL39" s="20" t="str">
        <x:v>Do not collapse with Blue-YCY; process/fraction label is an explanatory variable.</x:v>
      </x:c>
      <x:c r="AM39" s="20" t="str">
        <x:v>2026-09-07</x:v>
      </x:c>
      <x:c r="AN39" s="20" t="str">
        <x:v>WEB_PRIMARY</x:v>
      </x:c>
    </x:row>
    <x:row r="40" ht="19" customHeight="1">
      <x:c r="A40" s="20" t="str">
        <x:v>R037</x:v>
      </x:c>
      <x:c r="B40" s="20" t="str">
        <x:v>W15</x:v>
      </x:c>
      <x:c r="C40" s="20" t="str">
        <x:v>A2 DIRECT_PEPTIDE_NONPRECISE_AUNC</x:v>
      </x:c>
      <x:c r="D40" s="20" t="str">
        <x:v>DIRECT</x:v>
      </x:c>
      <x:c r="E40" s="20" t="str">
        <x:v>ultrasmall_AuNC_unknown_nuclearity</x:v>
      </x:c>
      <x:c r="F40" s="20" t="str">
        <x:v>PKA-substrate peptide AuNC</x:v>
      </x:c>
      <x:c r="G40" s="20" t="str">
        <x:v>CCYLRRASLG</x:v>
      </x:c>
      <x:c r="H40" s="20" t="str">
        <x:v>L</x:v>
      </x:c>
      <x:c r="I40" s="20" t="str">
        <x:v>None</x:v>
      </x:c>
      <x:c r="J40" s="20"/>
      <x:c r="K40" s="20"/>
      <x:c r="L40" s="20"/>
      <x:c r="M40" s="20"/>
      <x:c r="N40" s="20" t="str">
        <x:v>Fluorescent peptide-templated AuNC</x:v>
      </x:c>
      <x:c r="O40" s="20" t="str">
        <x:v>HAuCl4</x:v>
      </x:c>
      <x:c r="P40" s="20" t="str">
        <x:v>376 µL peptide 1.06 mM + 16 µL HAuCl4 25 mM</x:v>
      </x:c>
      <x:c r="Q40" s="20" t="str">
        <x:v>Peptide self-reduction under alkaline condition</x:v>
      </x:c>
      <x:c r="R40" s="20" t="n">
        <x:v>9</x:v>
      </x:c>
      <x:c r="S40" s="20"/>
      <x:c r="T40" s="20" t="n">
        <x:v>13</x:v>
      </x:c>
      <x:c r="U40" s="20" t="str">
        <x:v>Vigorous stirring; 8 µL 0.5 M NaOH added within 30 s; sealed and kept dark 13 h; 3 kDa ultrafiltration</x:v>
      </x:c>
      <x:c r="V40" s="20"/>
      <x:c r="W40" s="20" t="str">
        <x:v>Exact excitation/emission held pending main-paper cross-check</x:v>
      </x:c>
      <x:c r="X40" s="20" t="n">
        <x:v>14.6</x:v>
      </x:c>
      <x:c r="Y40" s="20"/>
      <x:c r="Z40" s="20"/>
      <x:c r="AA40" s="20"/>
      <x:c r="AB40" s="20"/>
      <x:c r="AC40" s="20"/>
      <x:c r="AD40" s="20"/>
      <x:c r="AE40" s="20" t="str">
        <x:v>Protein kinase activity probe</x:v>
      </x:c>
      <x:c r="AF40" s="20" t="str">
        <x:v>Excellent exact sequence+synthesis+QY record from the primary Supporting Information.</x:v>
      </x:c>
      <x:c r="AG40" s="20" t="str">
        <x:v>RSC Supporting Information</x:v>
      </x:c>
      <x:c r="AH40" s="20" t="str">
        <x:v>https://doi.org/10.1039/C5CC02280K</x:v>
      </x:c>
      <x:c r="AI40" s="24" t="n">
        <x:f>ROUND(100*COUNTA(G40,J40,L40,R40,S40,T40,V40,X40,AA40,AC40)/10,0)</x:f>
        <x:v>40</x:v>
      </x:c>
      <x:c r="AJ40" s="20" t="str">
        <x:v>TRAIN_OPTICAL_QY</x:v>
      </x:c>
      <x:c r="AK40" s="20" t="str">
        <x:v>EXACT_FROM_PRIMARY_SI</x:v>
      </x:c>
      <x:c r="AL40" s="20" t="str">
        <x:v>Keep excitation/emission blank until directly reconciled because secondary sources disagree.</x:v>
      </x:c>
      <x:c r="AM40" s="20" t="str">
        <x:v>2026-09-07</x:v>
      </x:c>
      <x:c r="AN40" s="20" t="str">
        <x:v>WEB_PRIMARY+SI</x:v>
      </x:c>
    </x:row>
    <x:row r="41" ht="19" customHeight="1">
      <x:c r="A41" s="20" t="str">
        <x:v>R038</x:v>
      </x:c>
      <x:c r="B41" s="20" t="str">
        <x:v>W16</x:v>
      </x:c>
      <x:c r="C41" s="20" t="str">
        <x:v>AUXILIARY AG_DOPED_PEPTIDE_AUNC</x:v>
      </x:c>
      <x:c r="D41" s="20" t="str">
        <x:v>DIRECT</x:v>
      </x:c>
      <x:c r="E41" s="20" t="str">
        <x:v>Ag_doped_AuNC</x:v>
      </x:c>
      <x:c r="F41" s="20" t="str">
        <x:v>DCG-stabilized Ag-doped AuNC</x:v>
      </x:c>
      <x:c r="G41" s="20" t="str">
        <x:v>DCG</x:v>
      </x:c>
      <x:c r="H41" s="20" t="str">
        <x:v>L</x:v>
      </x:c>
      <x:c r="I41" s="20" t="str">
        <x:v>Asp-Cys-Gly</x:v>
      </x:c>
      <x:c r="J41" s="20"/>
      <x:c r="K41" s="20"/>
      <x:c r="L41" s="20"/>
      <x:c r="M41" s="20"/>
      <x:c r="N41" s="20" t="str">
        <x:v>Red fluorescent Ag-doped gold nanocluster</x:v>
      </x:c>
      <x:c r="O41" s="20" t="str">
        <x:v>HAuCl4 + Ag source</x:v>
      </x:c>
      <x:c r="P41" s="20" t="str">
        <x:v>Tripeptide acts as reducing/stabilizing ligand; exact full condition set pending extraction</x:v>
      </x:c>
      <x:c r="Q41" s="20" t="str">
        <x:v>Tripeptide-assisted synthesis</x:v>
      </x:c>
      <x:c r="R41" s="20"/>
      <x:c r="S41" s="20"/>
      <x:c r="T41" s="20"/>
      <x:c r="U41" s="20" t="str">
        <x:v>Primary article reports peptide-stabilized Ag-doped AuNCs</x:v>
      </x:c>
      <x:c r="V41" s="20"/>
      <x:c r="W41" s="20" t="str">
        <x:v>Red fluorescence</x:v>
      </x:c>
      <x:c r="X41" s="20" t="n">
        <x:v>18</x:v>
      </x:c>
      <x:c r="Y41" s="20"/>
      <x:c r="Z41" s="20"/>
      <x:c r="AA41" s="20"/>
      <x:c r="AB41" s="20"/>
      <x:c r="AC41" s="20"/>
      <x:c r="AD41" s="20"/>
      <x:c r="AE41" s="20" t="str">
        <x:v>Photodynamic therapy / bioimaging</x:v>
      </x:c>
      <x:c r="AF41" s="20" t="str">
        <x:v>Adjacent therapeutic nanocluster domain; QY value is review-derived and must not train the pure-Au core model.</x:v>
      </x:c>
      <x:c r="AG41" s="20" t="str">
        <x:v>Primary article + secondary QY mapping</x:v>
      </x:c>
      <x:c r="AH41" s="20" t="str">
        <x:v>https://doi.org/10.1021/acssuschemeng.2c04857</x:v>
      </x:c>
      <x:c r="AI41" s="24" t="n">
        <x:f>ROUND(100*COUNTA(G41,J41,L41,R41,S41,T41,V41,X41,AA41,AC41)/10,0)</x:f>
        <x:v>20</x:v>
      </x:c>
      <x:c r="AJ41" s="20" t="str">
        <x:v>AUXILIARY_ONLY</x:v>
      </x:c>
      <x:c r="AK41" s="20" t="str">
        <x:v>EXACT_SEQUENCE_QY_SECONDARY</x:v>
      </x:c>
      <x:c r="AL41" s="20" t="str">
        <x:v>Ag doping changes the material domain; separate model/transfer feature only.</x:v>
      </x:c>
      <x:c r="AM41" s="20" t="str">
        <x:v>2026-09-07</x:v>
      </x:c>
      <x:c r="AN41" s="20" t="str">
        <x:v>WEB_PRIMARY+SECONDARY_VALUE</x:v>
      </x:c>
    </x:row>
    <x:row r="42" ht="19" customHeight="1">
      <x:c r="A42" s="20" t="str">
        <x:v>R039</x:v>
      </x:c>
      <x:c r="B42" s="20" t="str">
        <x:v>W16</x:v>
      </x:c>
      <x:c r="C42" s="20" t="str">
        <x:v>AUXILIARY AG_DOPED_PEPTIDE_AUNC</x:v>
      </x:c>
      <x:c r="D42" s="20" t="str">
        <x:v>DIRECT</x:v>
      </x:c>
      <x:c r="E42" s="20" t="str">
        <x:v>Ag_doped_AuNC</x:v>
      </x:c>
      <x:c r="F42" s="20" t="str">
        <x:v>DCS-stabilized Ag-doped AuNC</x:v>
      </x:c>
      <x:c r="G42" s="20" t="str">
        <x:v>DCS</x:v>
      </x:c>
      <x:c r="H42" s="20" t="str">
        <x:v>L</x:v>
      </x:c>
      <x:c r="I42" s="20" t="str">
        <x:v>Asp-Cys-Ser</x:v>
      </x:c>
      <x:c r="J42" s="20"/>
      <x:c r="K42" s="20"/>
      <x:c r="L42" s="20"/>
      <x:c r="M42" s="20"/>
      <x:c r="N42" s="20" t="str">
        <x:v>Red fluorescent Ag-doped gold nanocluster</x:v>
      </x:c>
      <x:c r="O42" s="20" t="str">
        <x:v>HAuCl4 + Ag source</x:v>
      </x:c>
      <x:c r="P42" s="20" t="str">
        <x:v>Tripeptide acts as reducing/stabilizing ligand; exact full condition set pending extraction</x:v>
      </x:c>
      <x:c r="Q42" s="20" t="str">
        <x:v>Tripeptide-assisted synthesis</x:v>
      </x:c>
      <x:c r="R42" s="20"/>
      <x:c r="S42" s="20"/>
      <x:c r="T42" s="20"/>
      <x:c r="U42" s="20" t="str">
        <x:v>Primary article reports peptide-stabilized Ag-doped AuNCs</x:v>
      </x:c>
      <x:c r="V42" s="20"/>
      <x:c r="W42" s="20" t="str">
        <x:v>Red fluorescence</x:v>
      </x:c>
      <x:c r="X42" s="20" t="n">
        <x:v>16</x:v>
      </x:c>
      <x:c r="Y42" s="20"/>
      <x:c r="Z42" s="20"/>
      <x:c r="AA42" s="20"/>
      <x:c r="AB42" s="20"/>
      <x:c r="AC42" s="20"/>
      <x:c r="AD42" s="20"/>
      <x:c r="AE42" s="20" t="str">
        <x:v>Photodynamic therapy / bioimaging</x:v>
      </x:c>
      <x:c r="AF42" s="20" t="str">
        <x:v>Matched DCG/DCS sequence comparison, but in an Ag-doped AuNC domain and PDT rather than PTT.</x:v>
      </x:c>
      <x:c r="AG42" s="20" t="str">
        <x:v>Primary article + secondary QY mapping</x:v>
      </x:c>
      <x:c r="AH42" s="20" t="str">
        <x:v>https://doi.org/10.1021/acssuschemeng.2c04857</x:v>
      </x:c>
      <x:c r="AI42" s="24" t="n">
        <x:f>ROUND(100*COUNTA(G42,J42,L42,R42,S42,T42,V42,X42,AA42,AC42)/10,0)</x:f>
        <x:v>20</x:v>
      </x:c>
      <x:c r="AJ42" s="20" t="str">
        <x:v>AUXILIARY_ONLY</x:v>
      </x:c>
      <x:c r="AK42" s="20" t="str">
        <x:v>EXACT_SEQUENCE_QY_SECONDARY</x:v>
      </x:c>
      <x:c r="AL42" s="20" t="str">
        <x:v>Do not mix with pure peptide-AuNC targets.</x:v>
      </x:c>
      <x:c r="AM42" s="20" t="str">
        <x:v>2026-09-07</x:v>
      </x:c>
      <x:c r="AN42" s="20" t="str">
        <x:v>WEB_PRIMARY+SECONDARY_VALUE</x:v>
      </x:c>
    </x:row>
    <x:row r="43" ht="19" customHeight="1">
      <x:c r="A43" s="20" t="str">
        <x:v>R040</x:v>
      </x:c>
      <x:c r="B43" s="20" t="str">
        <x:v>W10</x:v>
      </x:c>
      <x:c r="C43" s="20" t="str">
        <x:v>A2 DIRECT_PEPTIDE_NONPRECISE_AUNC</x:v>
      </x:c>
      <x:c r="D43" s="20" t="str">
        <x:v>DIRECT</x:v>
      </x:c>
      <x:c r="E43" s="20" t="str">
        <x:v>ultrasmall_AuNC_unknown_nuclearity</x:v>
      </x:c>
      <x:c r="F43" s="20" t="str">
        <x:v>Motif-panel peptide 1</x:v>
      </x:c>
      <x:c r="G43" s="20" t="str">
        <x:v>KFFAAKCCYKFFAAKCCYKFFAAK</x:v>
      </x:c>
      <x:c r="H43" s="20" t="str">
        <x:v>L</x:v>
      </x:c>
      <x:c r="I43" s="20" t="str">
        <x:v>Repeated KFFAAK/CCY architecture</x:v>
      </x:c>
      <x:c r="J43" s="20"/>
      <x:c r="K43" s="20"/>
      <x:c r="L43" s="20"/>
      <x:c r="M43" s="20"/>
      <x:c r="N43" s="20" t="str">
        <x:v>Peptide-coupled AuNC panel</x:v>
      </x:c>
      <x:c r="O43" s="20" t="str">
        <x:v>Gold precursor</x:v>
      </x:c>
      <x:c r="P43" s="20" t="str">
        <x:v>Exact per-sequence condition/outcome mapping pending full-text extraction</x:v>
      </x:c>
      <x:c r="Q43" s="20" t="str">
        <x:v>Peptide motif-coupled one-step synthesis</x:v>
      </x:c>
      <x:c r="R43" s="20"/>
      <x:c r="S43" s="20"/>
      <x:c r="T43" s="20"/>
      <x:c r="U43" s="20" t="str">
        <x:v>Seven-sequence motif library; per-sequence quantitative outcomes pending</x:v>
      </x:c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 t="str">
        <x:v>Sequence-motif study</x:v>
      </x:c>
      <x:c r="AF43" s="20" t="str">
        <x:v>One of seven exact sequences designed to study how CCY and KFFAAK motif identity/order change AuNC optical behavior.</x:v>
      </x:c>
      <x:c r="AG43" s="20" t="str">
        <x:v>Colloids Surf B 2022 abstract/indexed sequence data</x:v>
      </x:c>
      <x:c r="AH43" s="20" t="str">
        <x:v>https://doi.org/10.1016/j.colsurfb.2022.112820</x:v>
      </x:c>
      <x:c r="AI43" s="24" t="n">
        <x:f>ROUND(100*COUNTA(G43,J43,L43,R43,S43,T43,V43,X43,AA43,AC43)/10,0)</x:f>
        <x:v>10</x:v>
      </x:c>
      <x:c r="AJ43" s="20" t="str">
        <x:v>QC_HOLD_PANEL</x:v>
      </x:c>
      <x:c r="AK43" s="20" t="str">
        <x:v>EXACT_SEQUENCE</x:v>
      </x:c>
      <x:c r="AL43" s="20" t="str">
        <x:v>No numeric target populated until full paper/SI maps outcome to this sequence.</x:v>
      </x:c>
      <x:c r="AM43" s="20" t="str">
        <x:v>2026-09-07</x:v>
      </x:c>
      <x:c r="AN43" s="20" t="str">
        <x:v>WEB_PRIMARY_INDEXED</x:v>
      </x:c>
    </x:row>
    <x:row r="44" ht="19" customHeight="1">
      <x:c r="A44" s="20" t="str">
        <x:v>R041</x:v>
      </x:c>
      <x:c r="B44" s="20" t="str">
        <x:v>W10</x:v>
      </x:c>
      <x:c r="C44" s="20" t="str">
        <x:v>A2 DIRECT_PEPTIDE_NONPRECISE_AUNC</x:v>
      </x:c>
      <x:c r="D44" s="20" t="str">
        <x:v>DIRECT</x:v>
      </x:c>
      <x:c r="E44" s="20" t="str">
        <x:v>ultrasmall_AuNC_unknown_nuclearity</x:v>
      </x:c>
      <x:c r="F44" s="20" t="str">
        <x:v>Motif-panel peptide 2</x:v>
      </x:c>
      <x:c r="G44" s="20" t="str">
        <x:v>CCY</x:v>
      </x:c>
      <x:c r="H44" s="20" t="str">
        <x:v>L</x:v>
      </x:c>
      <x:c r="I44" s="20" t="str">
        <x:v>Minimal CCY motif</x:v>
      </x:c>
      <x:c r="J44" s="20"/>
      <x:c r="K44" s="20"/>
      <x:c r="L44" s="20"/>
      <x:c r="M44" s="20"/>
      <x:c r="N44" s="20" t="str">
        <x:v>Peptide-coupled AuNC panel</x:v>
      </x:c>
      <x:c r="O44" s="20" t="str">
        <x:v>Gold precursor</x:v>
      </x:c>
      <x:c r="P44" s="20" t="str">
        <x:v>Per-sequence quantitative condition/outcome pending</x:v>
      </x:c>
      <x:c r="Q44" s="20" t="str">
        <x:v>Peptide motif-coupled one-step synthesis</x:v>
      </x:c>
      <x:c r="R44" s="20"/>
      <x:c r="S44" s="20"/>
      <x:c r="T44" s="20"/>
      <x:c r="U44" s="20" t="str">
        <x:v>Seven-sequence motif library</x:v>
      </x:c>
      <x:c r="V44" s="20"/>
      <x:c r="W44" s="20"/>
      <x:c r="X44" s="20"/>
      <x:c r="Y44" s="20"/>
      <x:c r="Z44" s="20"/>
      <x:c r="AA44" s="20"/>
      <x:c r="AB44" s="20"/>
      <x:c r="AC44" s="20"/>
      <x:c r="AD44" s="20"/>
      <x:c r="AE44" s="20" t="str">
        <x:v>Sequence-motif study</x:v>
      </x:c>
      <x:c r="AF44" s="20" t="str">
        <x:v>Minimal Cys-Cys-Tyr mineralization/reduction motif in the controlled sequence panel.</x:v>
      </x:c>
      <x:c r="AG44" s="20" t="str">
        <x:v>Colloids Surf B 2022 indexed sequence data</x:v>
      </x:c>
      <x:c r="AH44" s="20" t="str">
        <x:v>https://doi.org/10.1016/j.colsurfb.2022.112820</x:v>
      </x:c>
      <x:c r="AI44" s="24" t="n">
        <x:f>ROUND(100*COUNTA(G44,J44,L44,R44,S44,T44,V44,X44,AA44,AC44)/10,0)</x:f>
        <x:v>10</x:v>
      </x:c>
      <x:c r="AJ44" s="20" t="str">
        <x:v>QC_HOLD_PANEL</x:v>
      </x:c>
      <x:c r="AK44" s="20" t="str">
        <x:v>EXACT_SEQUENCE</x:v>
      </x:c>
      <x:c r="AL44" s="20" t="str">
        <x:v>Potentially critical minimal motif/control; await full outcome mapping.</x:v>
      </x:c>
      <x:c r="AM44" s="20" t="str">
        <x:v>2026-09-07</x:v>
      </x:c>
      <x:c r="AN44" s="20" t="str">
        <x:v>WEB_PRIMARY_INDEXED</x:v>
      </x:c>
    </x:row>
    <x:row r="45" ht="19" customHeight="1">
      <x:c r="A45" s="20" t="str">
        <x:v>R042</x:v>
      </x:c>
      <x:c r="B45" s="20" t="str">
        <x:v>W10</x:v>
      </x:c>
      <x:c r="C45" s="20" t="str">
        <x:v>A2 DIRECT_PEPTIDE_NONPRECISE_AUNC</x:v>
      </x:c>
      <x:c r="D45" s="20" t="str">
        <x:v>DIRECT</x:v>
      </x:c>
      <x:c r="E45" s="20" t="str">
        <x:v>ultrasmall_AuNC_unknown_nuclearity</x:v>
      </x:c>
      <x:c r="F45" s="20" t="str">
        <x:v>Motif-panel peptide 3</x:v>
      </x:c>
      <x:c r="G45" s="20" t="str">
        <x:v>KFFAAK</x:v>
      </x:c>
      <x:c r="H45" s="20" t="str">
        <x:v>L</x:v>
      </x:c>
      <x:c r="I45" s="20" t="str">
        <x:v>Self-assembly motif control</x:v>
      </x:c>
      <x:c r="J45" s="20"/>
      <x:c r="K45" s="20"/>
      <x:c r="L45" s="20"/>
      <x:c r="M45" s="20"/>
      <x:c r="N45" s="20" t="str">
        <x:v>Peptide-coupled AuNC panel</x:v>
      </x:c>
      <x:c r="O45" s="20" t="str">
        <x:v>Gold precursor</x:v>
      </x:c>
      <x:c r="P45" s="20" t="str">
        <x:v>Per-sequence quantitative condition/outcome pending</x:v>
      </x:c>
      <x:c r="Q45" s="20" t="str">
        <x:v>Peptide motif-coupled one-step synthesis</x:v>
      </x:c>
      <x:c r="R45" s="20"/>
      <x:c r="S45" s="20"/>
      <x:c r="T45" s="20"/>
      <x:c r="U45" s="20" t="str">
        <x:v>Seven-sequence motif library</x:v>
      </x:c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 t="str">
        <x:v>Sequence-motif study</x:v>
      </x:c>
      <x:c r="AF45" s="20" t="str">
        <x:v>KFFAAK-only control is especially valuable for learning the absence of the CCY gold-binding/reducing motif.</x:v>
      </x:c>
      <x:c r="AG45" s="20" t="str">
        <x:v>Colloids Surf B 2022 indexed sequence data</x:v>
      </x:c>
      <x:c r="AH45" s="20" t="str">
        <x:v>https://doi.org/10.1016/j.colsurfb.2022.112820</x:v>
      </x:c>
      <x:c r="AI45" s="24" t="n">
        <x:f>ROUND(100*COUNTA(G45,J45,L45,R45,S45,T45,V45,X45,AA45,AC45)/10,0)</x:f>
        <x:v>10</x:v>
      </x:c>
      <x:c r="AJ45" s="20" t="str">
        <x:v>QC_HOLD_PANEL</x:v>
      </x:c>
      <x:c r="AK45" s="20" t="str">
        <x:v>EXACT_SEQUENCE</x:v>
      </x:c>
      <x:c r="AL45" s="20" t="str">
        <x:v>May become a useful negative/control record only after the primary outcome is verified.</x:v>
      </x:c>
      <x:c r="AM45" s="20" t="str">
        <x:v>2026-09-07</x:v>
      </x:c>
      <x:c r="AN45" s="20" t="str">
        <x:v>WEB_PRIMARY_INDEXED</x:v>
      </x:c>
    </x:row>
    <x:row r="46" ht="19" customHeight="1">
      <x:c r="A46" s="20" t="str">
        <x:v>R043</x:v>
      </x:c>
      <x:c r="B46" s="20" t="str">
        <x:v>W10</x:v>
      </x:c>
      <x:c r="C46" s="20" t="str">
        <x:v>A2 DIRECT_PEPTIDE_NONPRECISE_AUNC</x:v>
      </x:c>
      <x:c r="D46" s="20" t="str">
        <x:v>DIRECT</x:v>
      </x:c>
      <x:c r="E46" s="20" t="str">
        <x:v>ultrasmall_AuNC_unknown_nuclearity</x:v>
      </x:c>
      <x:c r="F46" s="20" t="str">
        <x:v>Motif-panel peptide 4</x:v>
      </x:c>
      <x:c r="G46" s="20" t="str">
        <x:v>CCYKFFAAKKFFAAK</x:v>
      </x:c>
      <x:c r="H46" s="20" t="str">
        <x:v>L</x:v>
      </x:c>
      <x:c r="I46" s="20" t="str">
        <x:v>CCY followed by tandem KFFAAK-like architecture</x:v>
      </x:c>
      <x:c r="J46" s="20"/>
      <x:c r="K46" s="20"/>
      <x:c r="L46" s="20"/>
      <x:c r="M46" s="20"/>
      <x:c r="N46" s="20" t="str">
        <x:v>Peptide-coupled AuNC panel</x:v>
      </x:c>
      <x:c r="O46" s="20" t="str">
        <x:v>Gold precursor</x:v>
      </x:c>
      <x:c r="P46" s="20" t="str">
        <x:v>Per-sequence quantitative condition/outcome pending</x:v>
      </x:c>
      <x:c r="Q46" s="20" t="str">
        <x:v>Peptide motif-coupled one-step synthesis</x:v>
      </x:c>
      <x:c r="R46" s="20"/>
      <x:c r="S46" s="20"/>
      <x:c r="T46" s="20"/>
      <x:c r="U46" s="20" t="str">
        <x:v>Seven-sequence motif library</x:v>
      </x:c>
      <x:c r="V46" s="20"/>
      <x:c r="W46" s="20"/>
      <x:c r="X46" s="20"/>
      <x:c r="Y46" s="20"/>
      <x:c r="Z46" s="20"/>
      <x:c r="AA46" s="20"/>
      <x:c r="AB46" s="20"/>
      <x:c r="AC46" s="20"/>
      <x:c r="AD46" s="20"/>
      <x:c r="AE46" s="20" t="str">
        <x:v>Sequence-motif study</x:v>
      </x:c>
      <x:c r="AF46" s="20" t="str">
        <x:v>Exact motif permutation for position-sensitive feature engineering.</x:v>
      </x:c>
      <x:c r="AG46" s="20" t="str">
        <x:v>Colloids Surf B 2022 indexed sequence data</x:v>
      </x:c>
      <x:c r="AH46" s="20" t="str">
        <x:v>https://doi.org/10.1016/j.colsurfb.2022.112820</x:v>
      </x:c>
      <x:c r="AI46" s="24" t="n">
        <x:f>ROUND(100*COUNTA(G46,J46,L46,R46,S46,T46,V46,X46,AA46,AC46)/10,0)</x:f>
        <x:v>10</x:v>
      </x:c>
      <x:c r="AJ46" s="20" t="str">
        <x:v>QC_HOLD_PANEL</x:v>
      </x:c>
      <x:c r="AK46" s="20" t="str">
        <x:v>EXACT_SEQUENCE</x:v>
      </x:c>
      <x:c r="AL46" s="20" t="str">
        <x:v>Await full outcome mapping.</x:v>
      </x:c>
      <x:c r="AM46" s="20" t="str">
        <x:v>2026-09-07</x:v>
      </x:c>
      <x:c r="AN46" s="20" t="str">
        <x:v>WEB_PRIMARY_INDEXED</x:v>
      </x:c>
    </x:row>
    <x:row r="47" ht="19" customHeight="1">
      <x:c r="A47" s="20" t="str">
        <x:v>R044</x:v>
      </x:c>
      <x:c r="B47" s="20" t="str">
        <x:v>W10</x:v>
      </x:c>
      <x:c r="C47" s="20" t="str">
        <x:v>A2 DIRECT_PEPTIDE_NONPRECISE_AUNC</x:v>
      </x:c>
      <x:c r="D47" s="20" t="str">
        <x:v>DIRECT</x:v>
      </x:c>
      <x:c r="E47" s="20" t="str">
        <x:v>ultrasmall_AuNC_unknown_nuclearity</x:v>
      </x:c>
      <x:c r="F47" s="20" t="str">
        <x:v>Motif-panel peptide 5</x:v>
      </x:c>
      <x:c r="G47" s="20" t="str">
        <x:v>KFFAAKCCYKFFAAK</x:v>
      </x:c>
      <x:c r="H47" s="20" t="str">
        <x:v>L</x:v>
      </x:c>
      <x:c r="I47" s="20" t="str">
        <x:v>Interleaved KFFAAK-CCY-KFFAAK</x:v>
      </x:c>
      <x:c r="J47" s="20"/>
      <x:c r="K47" s="20"/>
      <x:c r="L47" s="20"/>
      <x:c r="M47" s="20"/>
      <x:c r="N47" s="20" t="str">
        <x:v>Peptide-coupled AuNC panel</x:v>
      </x:c>
      <x:c r="O47" s="20" t="str">
        <x:v>Gold precursor</x:v>
      </x:c>
      <x:c r="P47" s="20" t="str">
        <x:v>Per-sequence quantitative condition/outcome pending</x:v>
      </x:c>
      <x:c r="Q47" s="20" t="str">
        <x:v>Peptide motif-coupled one-step synthesis</x:v>
      </x:c>
      <x:c r="R47" s="20"/>
      <x:c r="S47" s="20"/>
      <x:c r="T47" s="20"/>
      <x:c r="U47" s="20" t="str">
        <x:v>Seven-sequence motif library</x:v>
      </x:c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 t="str">
        <x:v>Sequence-motif study</x:v>
      </x:c>
      <x:c r="AF47" s="20" t="str">
        <x:v>Exact motif-position variant suitable for spacing/order descriptors once outcomes are recovered.</x:v>
      </x:c>
      <x:c r="AG47" s="20" t="str">
        <x:v>Colloids Surf B 2022 indexed sequence data</x:v>
      </x:c>
      <x:c r="AH47" s="20" t="str">
        <x:v>https://doi.org/10.1016/j.colsurfb.2022.112820</x:v>
      </x:c>
      <x:c r="AI47" s="24" t="n">
        <x:f>ROUND(100*COUNTA(G47,J47,L47,R47,S47,T47,V47,X47,AA47,AC47)/10,0)</x:f>
        <x:v>10</x:v>
      </x:c>
      <x:c r="AJ47" s="20" t="str">
        <x:v>QC_HOLD_PANEL</x:v>
      </x:c>
      <x:c r="AK47" s="20" t="str">
        <x:v>EXACT_SEQUENCE</x:v>
      </x:c>
      <x:c r="AL47" s="20" t="str">
        <x:v>Await full outcome mapping.</x:v>
      </x:c>
      <x:c r="AM47" s="20" t="str">
        <x:v>2026-09-07</x:v>
      </x:c>
      <x:c r="AN47" s="20" t="str">
        <x:v>WEB_PRIMARY_INDEXED</x:v>
      </x:c>
    </x:row>
    <x:row r="48" ht="19" customHeight="1">
      <x:c r="A48" s="20" t="str">
        <x:v>R045</x:v>
      </x:c>
      <x:c r="B48" s="20" t="str">
        <x:v>W10</x:v>
      </x:c>
      <x:c r="C48" s="20" t="str">
        <x:v>A2 DIRECT_PEPTIDE_NONPRECISE_AUNC</x:v>
      </x:c>
      <x:c r="D48" s="20" t="str">
        <x:v>DIRECT</x:v>
      </x:c>
      <x:c r="E48" s="20" t="str">
        <x:v>ultrasmall_AuNC_unknown_nuclearity</x:v>
      </x:c>
      <x:c r="F48" s="20" t="str">
        <x:v>Motif-panel peptide 6</x:v>
      </x:c>
      <x:c r="G48" s="20" t="str">
        <x:v>CCYKFFAAKYCC</x:v>
      </x:c>
      <x:c r="H48" s="20" t="str">
        <x:v>L</x:v>
      </x:c>
      <x:c r="I48" s="20" t="str">
        <x:v>CCY + KFFAAK + YCC</x:v>
      </x:c>
      <x:c r="J48" s="20"/>
      <x:c r="K48" s="20"/>
      <x:c r="L48" s="20"/>
      <x:c r="M48" s="20"/>
      <x:c r="N48" s="20" t="str">
        <x:v>Peptide-coupled AuNC panel</x:v>
      </x:c>
      <x:c r="O48" s="20" t="str">
        <x:v>Gold precursor</x:v>
      </x:c>
      <x:c r="P48" s="20" t="str">
        <x:v>Per-sequence quantitative condition/outcome pending</x:v>
      </x:c>
      <x:c r="Q48" s="20" t="str">
        <x:v>Peptide motif-coupled one-step synthesis</x:v>
      </x:c>
      <x:c r="R48" s="20"/>
      <x:c r="S48" s="20"/>
      <x:c r="T48" s="20"/>
      <x:c r="U48" s="20" t="str">
        <x:v>Seven-sequence motif library</x:v>
      </x:c>
      <x:c r="V48" s="20"/>
      <x:c r="W48" s="20"/>
      <x:c r="X48" s="20"/>
      <x:c r="Y48" s="20"/>
      <x:c r="Z48" s="20"/>
      <x:c r="AA48" s="20"/>
      <x:c r="AB48" s="20"/>
      <x:c r="AC48" s="20"/>
      <x:c r="AD48" s="20"/>
      <x:c r="AE48" s="20" t="str">
        <x:v>Sequence-motif study</x:v>
      </x:c>
      <x:c r="AF48" s="20" t="str">
        <x:v>Two Cys-rich termini and altered Tyr/Cys positioning make this high-value for positional descriptor design.</x:v>
      </x:c>
      <x:c r="AG48" s="20" t="str">
        <x:v>Colloids Surf B 2022 indexed sequence data</x:v>
      </x:c>
      <x:c r="AH48" s="20" t="str">
        <x:v>https://doi.org/10.1016/j.colsurfb.2022.112820</x:v>
      </x:c>
      <x:c r="AI48" s="24" t="n">
        <x:f>ROUND(100*COUNTA(G48,J48,L48,R48,S48,T48,V48,X48,AA48,AC48)/10,0)</x:f>
        <x:v>10</x:v>
      </x:c>
      <x:c r="AJ48" s="20" t="str">
        <x:v>QC_HOLD_PANEL</x:v>
      </x:c>
      <x:c r="AK48" s="20" t="str">
        <x:v>EXACT_SEQUENCE</x:v>
      </x:c>
      <x:c r="AL48" s="20" t="str">
        <x:v>Await full outcome mapping.</x:v>
      </x:c>
      <x:c r="AM48" s="20" t="str">
        <x:v>2026-09-07</x:v>
      </x:c>
      <x:c r="AN48" s="20" t="str">
        <x:v>WEB_PRIMARY_INDEXED</x:v>
      </x:c>
    </x:row>
    <x:row r="49" ht="19" customHeight="1">
      <x:c r="A49" s="20" t="str">
        <x:v>R046</x:v>
      </x:c>
      <x:c r="B49" s="20" t="str">
        <x:v>W10</x:v>
      </x:c>
      <x:c r="C49" s="20" t="str">
        <x:v>A2 DIRECT_PEPTIDE_NONPRECISE_AUNC</x:v>
      </x:c>
      <x:c r="D49" s="20" t="str">
        <x:v>DIRECT</x:v>
      </x:c>
      <x:c r="E49" s="20" t="str">
        <x:v>ultrasmall_AuNC_unknown_nuclearity</x:v>
      </x:c>
      <x:c r="F49" s="20" t="str">
        <x:v>Motif-panel peptide 7</x:v>
      </x:c>
      <x:c r="G49" s="20" t="str">
        <x:v>CCYKFFAAK</x:v>
      </x:c>
      <x:c r="H49" s="20" t="str">
        <x:v>L</x:v>
      </x:c>
      <x:c r="I49" s="20" t="str">
        <x:v>Minimal combined CCY + KFFAAK motif</x:v>
      </x:c>
      <x:c r="J49" s="20"/>
      <x:c r="K49" s="20"/>
      <x:c r="L49" s="20"/>
      <x:c r="M49" s="20"/>
      <x:c r="N49" s="20" t="str">
        <x:v>Peptide-coupled AuNC panel</x:v>
      </x:c>
      <x:c r="O49" s="20" t="str">
        <x:v>Gold precursor</x:v>
      </x:c>
      <x:c r="P49" s="20" t="str">
        <x:v>Per-sequence quantitative condition/outcome pending</x:v>
      </x:c>
      <x:c r="Q49" s="20" t="str">
        <x:v>Peptide motif-coupled one-step synthesis</x:v>
      </x:c>
      <x:c r="R49" s="20"/>
      <x:c r="S49" s="20"/>
      <x:c r="T49" s="20"/>
      <x:c r="U49" s="20" t="str">
        <x:v>Seven-sequence motif library</x:v>
      </x:c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 t="str">
        <x:v>Sequence-motif study</x:v>
      </x:c>
      <x:c r="AF49" s="20" t="str">
        <x:v>Compact combined motif candidate; useful for sequence-length and motif-order comparisons.</x:v>
      </x:c>
      <x:c r="AG49" s="20" t="str">
        <x:v>Colloids Surf B 2022 indexed sequence data</x:v>
      </x:c>
      <x:c r="AH49" s="20" t="str">
        <x:v>https://doi.org/10.1016/j.colsurfb.2022.112820</x:v>
      </x:c>
      <x:c r="AI49" s="24" t="n">
        <x:f>ROUND(100*COUNTA(G49,J49,L49,R49,S49,T49,V49,X49,AA49,AC49)/10,0)</x:f>
        <x:v>10</x:v>
      </x:c>
      <x:c r="AJ49" s="20" t="str">
        <x:v>QC_HOLD_PANEL</x:v>
      </x:c>
      <x:c r="AK49" s="20" t="str">
        <x:v>EXACT_SEQUENCE</x:v>
      </x:c>
      <x:c r="AL49" s="20" t="str">
        <x:v>Await full outcome mapping.</x:v>
      </x:c>
      <x:c r="AM49" s="20" t="str">
        <x:v>2026-09-07</x:v>
      </x:c>
      <x:c r="AN49" s="20" t="str">
        <x:v>WEB_PRIMARY_INDEXED</x:v>
      </x:c>
    </x:row>
    <x:row r="50" ht="19" customHeight="1">
      <x:c r="A50" s="20" t="str">
        <x:v>R047</x:v>
      </x:c>
      <x:c r="B50" s="20" t="str">
        <x:v>W20</x:v>
      </x:c>
      <x:c r="C50" s="20" t="str">
        <x:v>A2 DIRECT_PEPTIDE_NONPRECISE_AUNC</x:v>
      </x:c>
      <x:c r="D50" s="20" t="str">
        <x:v>DIRECT</x:v>
      </x:c>
      <x:c r="E50" s="20" t="str">
        <x:v>ultrasmall_AuNC_unknown_nuclearity</x:v>
      </x:c>
      <x:c r="F50" s="20" t="str">
        <x:v>ECE-stabilized AuNC</x:v>
      </x:c>
      <x:c r="G50" s="20" t="str">
        <x:v>ECE</x:v>
      </x:c>
      <x:c r="H50" s="20" t="str">
        <x:v>L</x:v>
      </x:c>
      <x:c r="I50" s="20" t="str">
        <x:v>None</x:v>
      </x:c>
      <x:c r="J50" s="20"/>
      <x:c r="K50" s="20"/>
      <x:c r="L50" s="20"/>
      <x:c r="M50" s="20"/>
      <x:c r="N50" s="20" t="str">
        <x:v>NIR-emitting peptide-stabilized AuNC</x:v>
      </x:c>
      <x:c r="O50" s="20" t="str">
        <x:v>HAuCl4</x:v>
      </x:c>
      <x:c r="P50" s="20" t="str">
        <x:v>500 µL 20 mM HAuCl4 + 500 µL 20 mM ECE + 500 µL 20 mM TCEP</x:v>
      </x:c>
      <x:c r="Q50" s="20" t="str">
        <x:v>TCEP pretreatment + NaBH4 nucleation</x:v>
      </x:c>
      <x:c r="R50" s="20"/>
      <x:c r="S50" s="20" t="n">
        <x:v>70</x:v>
      </x:c>
      <x:c r="T50" s="20" t="n">
        <x:v>8.25</x:v>
      </x:c>
      <x:c r="U50" s="20" t="str">
        <x:v>Incubate HAuCl4/peptide/TCEP 70°C 15 min; add 58 µL 13.8 mM NaBH4; continue 70°C 8 h; dialysis purification</x:v>
      </x:c>
      <x:c r="V50" s="20"/>
      <x:c r="W50" s="20" t="str">
        <x:v>Maximum emission &gt;740 nm; exact peak left blank pending direct numeric figure extraction</x:v>
      </x:c>
      <x:c r="X50" s="20" t="n">
        <x:v>7</x:v>
      </x:c>
      <x:c r="Y50" s="20"/>
      <x:c r="Z50" s="20"/>
      <x:c r="AA50" s="20"/>
      <x:c r="AB50" s="20"/>
      <x:c r="AC50" s="20"/>
      <x:c r="AD50" s="20"/>
      <x:c r="AE50" s="20" t="str">
        <x:v>NIR bioimaging / sequence-QY study</x:v>
      </x:c>
      <x:c r="AF50" s="20" t="str">
        <x:v>Exact primary QY = 7.0% under 480 nm excitation. Part of a controlled five-peptide sequence panel.</x:v>
      </x:c>
      <x:c r="AG50" s="20" t="str">
        <x:v>Analytical Chemistry 2024 primary full text</x:v>
      </x:c>
      <x:c r="AH50" s="20" t="str">
        <x:v>https://doi.org/10.1021/acs.analchem.4c00321</x:v>
      </x:c>
      <x:c r="AI50" s="24" t="n">
        <x:f>ROUND(100*COUNTA(G50,J50,L50,R50,S50,T50,V50,X50,AA50,AC50)/10,0)</x:f>
        <x:v>40</x:v>
      </x:c>
      <x:c r="AJ50" s="20" t="str">
        <x:v>TRAIN_OPTICAL_QY</x:v>
      </x:c>
      <x:c r="AK50" s="20" t="str">
        <x:v>EXACT_FROM_PRIMARY</x:v>
      </x:c>
      <x:c r="AL50" s="20" t="str">
        <x:v>Same-paper panel; keep W20 rows grouped in validation.</x:v>
      </x:c>
      <x:c r="AM50" s="20" t="str">
        <x:v>2026-09-07</x:v>
      </x:c>
      <x:c r="AN50" s="20" t="str">
        <x:v>WEB_PRIMARY_OPEN_ACCESS</x:v>
      </x:c>
    </x:row>
    <x:row r="51" ht="19" customHeight="1">
      <x:c r="A51" s="20" t="str">
        <x:v>R048</x:v>
      </x:c>
      <x:c r="B51" s="20" t="str">
        <x:v>W20</x:v>
      </x:c>
      <x:c r="C51" s="20" t="str">
        <x:v>A2 DIRECT_PEPTIDE_NONPRECISE_AUNC</x:v>
      </x:c>
      <x:c r="D51" s="20" t="str">
        <x:v>DIRECT</x:v>
      </x:c>
      <x:c r="E51" s="20" t="str">
        <x:v>ultrasmall_AuNC_unknown_nuclearity</x:v>
      </x:c>
      <x:c r="F51" s="20" t="str">
        <x:v>EECEE-stabilized AuNC</x:v>
      </x:c>
      <x:c r="G51" s="20" t="str">
        <x:v>EECEE</x:v>
      </x:c>
      <x:c r="H51" s="20" t="str">
        <x:v>L</x:v>
      </x:c>
      <x:c r="I51" s="20" t="str">
        <x:v>None</x:v>
      </x:c>
      <x:c r="J51" s="20"/>
      <x:c r="K51" s="20"/>
      <x:c r="L51" s="20" t="n">
        <x:v>0.9</x:v>
      </x:c>
      <x:c r="M51" s="20" t="n">
        <x:v>1.1</x:v>
      </x:c>
      <x:c r="N51" s="20" t="str">
        <x:v>NIR-emitting peptide-stabilized AuNC</x:v>
      </x:c>
      <x:c r="O51" s="20" t="str">
        <x:v>HAuCl4</x:v>
      </x:c>
      <x:c r="P51" s="20" t="str">
        <x:v>500 µL 20 mM HAuCl4 + 500 µL 20 mM EECEE + 500 µL 20 mM TCEP</x:v>
      </x:c>
      <x:c r="Q51" s="20" t="str">
        <x:v>TCEP pretreatment + NaBH4 nucleation</x:v>
      </x:c>
      <x:c r="R51" s="20"/>
      <x:c r="S51" s="20" t="n">
        <x:v>70</x:v>
      </x:c>
      <x:c r="T51" s="20" t="n">
        <x:v>8.25</x:v>
      </x:c>
      <x:c r="U51" s="20" t="str">
        <x:v>Incubate HAuCl4/peptide/TCEP 70°C 15 min; add 58 µL 13.8 mM NaBH4; continue 70°C 8 h; dialysis purification</x:v>
      </x:c>
      <x:c r="V51" s="20" t="n">
        <x:v>740</x:v>
      </x:c>
      <x:c r="W51" s="20" t="str">
        <x:v>Primary conclusion reports maximum emission 740 nm</x:v>
      </x:c>
      <x:c r="X51" s="20" t="n">
        <x:v>14</x:v>
      </x:c>
      <x:c r="Y51" s="20"/>
      <x:c r="Z51" s="20"/>
      <x:c r="AA51" s="20"/>
      <x:c r="AB51" s="20"/>
      <x:c r="AC51" s="20"/>
      <x:c r="AD51" s="20"/>
      <x:c r="AE51" s="20" t="str">
        <x:v>Lysosome / αvβ3 imaging</x:v>
      </x:c>
      <x:c r="AF51" s="20" t="str">
        <x:v>Primary TEM core 0.9±0.2 nm; DLS 1.1±0.2 nm; QY 14%. MALDI strongest peak assigned Au25S11+3EECEE species but authors explicitly caution this does not prove exact kernel nuclearity.</x:v>
      </x:c>
      <x:c r="AG51" s="20" t="str">
        <x:v>Analytical Chemistry 2024 primary full text</x:v>
      </x:c>
      <x:c r="AH51" s="20" t="str">
        <x:v>https://doi.org/10.1021/acs.analchem.4c00321</x:v>
      </x:c>
      <x:c r="AI51" s="24" t="n">
        <x:f>ROUND(100*COUNTA(G51,J51,L51,R51,S51,T51,V51,X51,AA51,AC51)/10,0)</x:f>
        <x:v>60</x:v>
      </x:c>
      <x:c r="AJ51" s="20" t="str">
        <x:v>TRAIN_OPTICAL_SIZE_QY</x:v>
      </x:c>
      <x:c r="AK51" s="20" t="str">
        <x:v>EXACT_FROM_PRIMARY</x:v>
      </x:c>
      <x:c r="AL51" s="20" t="str">
        <x:v>Do NOT encode Au25 as exact nuclearity; mass spectrum is composition evidence, not definitive kernel structure.</x:v>
      </x:c>
      <x:c r="AM51" s="20" t="str">
        <x:v>2026-09-07</x:v>
      </x:c>
      <x:c r="AN51" s="20" t="str">
        <x:v>WEB_PRIMARY_OPEN_ACCESS</x:v>
      </x:c>
    </x:row>
    <x:row r="52" ht="19" customHeight="1">
      <x:c r="A52" s="20" t="str">
        <x:v>R049</x:v>
      </x:c>
      <x:c r="B52" s="20" t="str">
        <x:v>W20</x:v>
      </x:c>
      <x:c r="C52" s="20" t="str">
        <x:v>A2 DIRECT_PEPTIDE_NONPRECISE_AUNC</x:v>
      </x:c>
      <x:c r="D52" s="20" t="str">
        <x:v>DIRECT</x:v>
      </x:c>
      <x:c r="E52" s="20" t="str">
        <x:v>ultrasmall_AuNC_unknown_nuclearity</x:v>
      </x:c>
      <x:c r="F52" s="20" t="str">
        <x:v>EEECEEE-stabilized AuNC</x:v>
      </x:c>
      <x:c r="G52" s="20" t="str">
        <x:v>EEECEEE</x:v>
      </x:c>
      <x:c r="H52" s="20" t="str">
        <x:v>L</x:v>
      </x:c>
      <x:c r="I52" s="20" t="str">
        <x:v>None</x:v>
      </x:c>
      <x:c r="J52" s="20"/>
      <x:c r="K52" s="20"/>
      <x:c r="L52" s="20"/>
      <x:c r="M52" s="20"/>
      <x:c r="N52" s="20" t="str">
        <x:v>NIR-emitting peptide-stabilized AuNC</x:v>
      </x:c>
      <x:c r="O52" s="20" t="str">
        <x:v>HAuCl4</x:v>
      </x:c>
      <x:c r="P52" s="20" t="str">
        <x:v>500 µL 20 mM HAuCl4 + 500 µL 20 mM EEECEEE + 500 µL 20 mM TCEP</x:v>
      </x:c>
      <x:c r="Q52" s="20" t="str">
        <x:v>TCEP pretreatment + NaBH4 nucleation</x:v>
      </x:c>
      <x:c r="R52" s="20"/>
      <x:c r="S52" s="20" t="n">
        <x:v>70</x:v>
      </x:c>
      <x:c r="T52" s="20" t="n">
        <x:v>8.25</x:v>
      </x:c>
      <x:c r="U52" s="20" t="str">
        <x:v>Incubate 70°C 15 min; NaBH4; 70°C 8 h; dialysis</x:v>
      </x:c>
      <x:c r="V52" s="20"/>
      <x:c r="W52" s="20" t="str">
        <x:v>Maximum emission &gt;740 nm</x:v>
      </x:c>
      <x:c r="X52" s="20" t="n">
        <x:v>7</x:v>
      </x:c>
      <x:c r="Y52" s="20"/>
      <x:c r="Z52" s="20"/>
      <x:c r="AA52" s="20"/>
      <x:c r="AB52" s="20"/>
      <x:c r="AC52" s="20"/>
      <x:c r="AD52" s="20"/>
      <x:c r="AE52" s="20" t="str">
        <x:v>NIR bioimaging / sequence-QY study</x:v>
      </x:c>
      <x:c r="AF52" s="20" t="str">
        <x:v>Exact primary QY = 7.0% at 480 nm. More Glu residues did not outperform EECEE, consistent with ligand-bulk/coverage effects.</x:v>
      </x:c>
      <x:c r="AG52" s="20" t="str">
        <x:v>Analytical Chemistry 2024 primary full text</x:v>
      </x:c>
      <x:c r="AH52" s="20" t="str">
        <x:v>https://doi.org/10.1021/acs.analchem.4c00321</x:v>
      </x:c>
      <x:c r="AI52" s="24" t="n">
        <x:f>ROUND(100*COUNTA(G52,J52,L52,R52,S52,T52,V52,X52,AA52,AC52)/10,0)</x:f>
        <x:v>40</x:v>
      </x:c>
      <x:c r="AJ52" s="20" t="str">
        <x:v>TRAIN_OPTICAL_QY</x:v>
      </x:c>
      <x:c r="AK52" s="20" t="str">
        <x:v>EXACT_FROM_PRIMARY</x:v>
      </x:c>
      <x:c r="AL52" s="20" t="str">
        <x:v>Same-paper panel.</x:v>
      </x:c>
      <x:c r="AM52" s="20" t="str">
        <x:v>2026-09-07</x:v>
      </x:c>
      <x:c r="AN52" s="20" t="str">
        <x:v>WEB_PRIMARY_OPEN_ACCESS</x:v>
      </x:c>
    </x:row>
    <x:row r="53" ht="19" customHeight="1">
      <x:c r="A53" s="20" t="str">
        <x:v>R050</x:v>
      </x:c>
      <x:c r="B53" s="20" t="str">
        <x:v>W20</x:v>
      </x:c>
      <x:c r="C53" s="20" t="str">
        <x:v>A2 DIRECT_PEPTIDE_NONPRECISE_AUNC</x:v>
      </x:c>
      <x:c r="D53" s="20" t="str">
        <x:v>DIRECT</x:v>
      </x:c>
      <x:c r="E53" s="20" t="str">
        <x:v>ultrasmall_AuNC_unknown_nuclearity</x:v>
      </x:c>
      <x:c r="F53" s="20" t="str">
        <x:v>GGCGG-stabilized AuNC</x:v>
      </x:c>
      <x:c r="G53" s="20" t="str">
        <x:v>GGCGG</x:v>
      </x:c>
      <x:c r="H53" s="20" t="str">
        <x:v>L</x:v>
      </x:c>
      <x:c r="I53" s="20" t="str">
        <x:v>None</x:v>
      </x:c>
      <x:c r="J53" s="20"/>
      <x:c r="K53" s="20"/>
      <x:c r="L53" s="20"/>
      <x:c r="M53" s="20"/>
      <x:c r="N53" s="20" t="str">
        <x:v>NIR-emitting peptide-stabilized AuNC</x:v>
      </x:c>
      <x:c r="O53" s="20" t="str">
        <x:v>HAuCl4</x:v>
      </x:c>
      <x:c r="P53" s="20" t="str">
        <x:v>500 µL 20 mM HAuCl4 + 500 µL 20 mM GGCGG + 500 µL 20 mM TCEP</x:v>
      </x:c>
      <x:c r="Q53" s="20" t="str">
        <x:v>TCEP pretreatment + NaBH4 nucleation</x:v>
      </x:c>
      <x:c r="R53" s="20"/>
      <x:c r="S53" s="20" t="n">
        <x:v>70</x:v>
      </x:c>
      <x:c r="T53" s="20" t="n">
        <x:v>8.25</x:v>
      </x:c>
      <x:c r="U53" s="20" t="str">
        <x:v>Incubate 70°C 15 min; NaBH4; 70°C 8 h; dialysis</x:v>
      </x:c>
      <x:c r="V53" s="20"/>
      <x:c r="W53" s="20" t="str">
        <x:v>Maximum emission &gt;740 nm</x:v>
      </x:c>
      <x:c r="X53" s="20" t="n">
        <x:v>5.6</x:v>
      </x:c>
      <x:c r="Y53" s="20"/>
      <x:c r="Z53" s="20"/>
      <x:c r="AA53" s="20"/>
      <x:c r="AB53" s="20"/>
      <x:c r="AC53" s="20"/>
      <x:c r="AD53" s="20"/>
      <x:c r="AE53" s="20" t="str">
        <x:v>NIR bioimaging / sequence-QY study</x:v>
      </x:c>
      <x:c r="AF53" s="20" t="str">
        <x:v>Exact primary QY = 5.6% at 480 nm.</x:v>
      </x:c>
      <x:c r="AG53" s="20" t="str">
        <x:v>Analytical Chemistry 2024 primary full text</x:v>
      </x:c>
      <x:c r="AH53" s="20" t="str">
        <x:v>https://doi.org/10.1021/acs.analchem.4c00321</x:v>
      </x:c>
      <x:c r="AI53" s="24" t="n">
        <x:f>ROUND(100*COUNTA(G53,J53,L53,R53,S53,T53,V53,X53,AA53,AC53)/10,0)</x:f>
        <x:v>40</x:v>
      </x:c>
      <x:c r="AJ53" s="20" t="str">
        <x:v>TRAIN_OPTICAL_QY</x:v>
      </x:c>
      <x:c r="AK53" s="20" t="str">
        <x:v>EXACT_FROM_PRIMARY</x:v>
      </x:c>
      <x:c r="AL53" s="20" t="str">
        <x:v>Same-paper panel.</x:v>
      </x:c>
      <x:c r="AM53" s="20" t="str">
        <x:v>2026-09-07</x:v>
      </x:c>
      <x:c r="AN53" s="20" t="str">
        <x:v>WEB_PRIMARY_OPEN_ACCESS</x:v>
      </x:c>
    </x:row>
    <x:row r="54" ht="19" customHeight="1">
      <x:c r="A54" s="20" t="str">
        <x:v>R051</x:v>
      </x:c>
      <x:c r="B54" s="20" t="str">
        <x:v>W20</x:v>
      </x:c>
      <x:c r="C54" s="20" t="str">
        <x:v>A2 DIRECT_PEPTIDE_NONPRECISE_AUNC</x:v>
      </x:c>
      <x:c r="D54" s="20" t="str">
        <x:v>DIRECT</x:v>
      </x:c>
      <x:c r="E54" s="20" t="str">
        <x:v>ultrasmall_AuNC_unknown_nuclearity</x:v>
      </x:c>
      <x:c r="F54" s="20" t="str">
        <x:v>RRCRR-stabilized AuNC</x:v>
      </x:c>
      <x:c r="G54" s="20" t="str">
        <x:v>RRCRR</x:v>
      </x:c>
      <x:c r="H54" s="20" t="str">
        <x:v>L</x:v>
      </x:c>
      <x:c r="I54" s="20" t="str">
        <x:v>None</x:v>
      </x:c>
      <x:c r="J54" s="20"/>
      <x:c r="K54" s="20"/>
      <x:c r="L54" s="20"/>
      <x:c r="M54" s="20"/>
      <x:c r="N54" s="20" t="str">
        <x:v>NIR-emitting peptide-stabilized AuNC</x:v>
      </x:c>
      <x:c r="O54" s="20" t="str">
        <x:v>HAuCl4</x:v>
      </x:c>
      <x:c r="P54" s="20" t="str">
        <x:v>500 µL 20 mM HAuCl4 + 500 µL 20 mM RRCRR + 500 µL 20 mM TCEP</x:v>
      </x:c>
      <x:c r="Q54" s="20" t="str">
        <x:v>TCEP pretreatment + NaBH4 nucleation</x:v>
      </x:c>
      <x:c r="R54" s="20"/>
      <x:c r="S54" s="20" t="n">
        <x:v>70</x:v>
      </x:c>
      <x:c r="T54" s="20" t="n">
        <x:v>8.25</x:v>
      </x:c>
      <x:c r="U54" s="20" t="str">
        <x:v>Incubate 70°C 15 min; NaBH4; 70°C 8 h; dialysis</x:v>
      </x:c>
      <x:c r="V54" s="20"/>
      <x:c r="W54" s="20" t="str">
        <x:v>Maximum emission &gt;740 nm</x:v>
      </x:c>
      <x:c r="X54" s="20" t="n">
        <x:v>1.8</x:v>
      </x:c>
      <x:c r="Y54" s="20"/>
      <x:c r="Z54" s="20"/>
      <x:c r="AA54" s="20"/>
      <x:c r="AB54" s="20"/>
      <x:c r="AC54" s="20"/>
      <x:c r="AD54" s="20"/>
      <x:c r="AE54" s="20" t="str">
        <x:v>NIR bioimaging / sequence-QY study</x:v>
      </x:c>
      <x:c r="AF54" s="20" t="str">
        <x:v>Exact primary QY = 1.8% at 480 nm; useful charge-contrast endpoint versus acidic Glu-rich peptides.</x:v>
      </x:c>
      <x:c r="AG54" s="20" t="str">
        <x:v>Analytical Chemistry 2024 primary full text</x:v>
      </x:c>
      <x:c r="AH54" s="20" t="str">
        <x:v>https://doi.org/10.1021/acs.analchem.4c00321</x:v>
      </x:c>
      <x:c r="AI54" s="24" t="n">
        <x:f>ROUND(100*COUNTA(G54,J54,L54,R54,S54,T54,V54,X54,AA54,AC54)/10,0)</x:f>
        <x:v>40</x:v>
      </x:c>
      <x:c r="AJ54" s="20" t="str">
        <x:v>TRAIN_OPTICAL_QY</x:v>
      </x:c>
      <x:c r="AK54" s="20" t="str">
        <x:v>EXACT_FROM_PRIMARY</x:v>
      </x:c>
      <x:c r="AL54" s="20" t="str">
        <x:v>Same-paper panel.</x:v>
      </x:c>
      <x:c r="AM54" s="20" t="str">
        <x:v>2026-09-07</x:v>
      </x:c>
      <x:c r="AN54" s="20" t="str">
        <x:v>WEB_PRIMARY_OPEN_ACCESS</x:v>
      </x:c>
    </x:row>
    <x:row r="55" ht="19" customHeight="1">
      <x:c r="A55" s="20" t="str">
        <x:v>R052</x:v>
      </x:c>
      <x:c r="B55" s="20" t="str">
        <x:v>W21</x:v>
      </x:c>
      <x:c r="C55" s="20" t="str">
        <x:v>A2 DIRECT_PEPTIDE_NONPRECISE_AUNC</x:v>
      </x:c>
      <x:c r="D55" s="20" t="str">
        <x:v>DIRECT</x:v>
      </x:c>
      <x:c r="E55" s="20" t="str">
        <x:v>ultrasmall_AuNC_unknown_nuclearity</x:v>
      </x:c>
      <x:c r="F55" s="20" t="str">
        <x:v>CCY(EAAAK)3-AuNC</x:v>
      </x:c>
      <x:c r="G55" s="20" t="str">
        <x:v>CCYEAAAKEAAAKEAAAK</x:v>
      </x:c>
      <x:c r="H55" s="20" t="str">
        <x:v>L</x:v>
      </x:c>
      <x:c r="I55" s="20" t="str">
        <x:v>CCY mineralization motif + rigid EAAAK repeats</x:v>
      </x:c>
      <x:c r="J55" s="20"/>
      <x:c r="K55" s="20"/>
      <x:c r="L55" s="20" t="n">
        <x:v>1.1</x:v>
      </x:c>
      <x:c r="M55" s="20" t="n">
        <x:v>3</x:v>
      </x:c>
      <x:c r="N55" s="20" t="str">
        <x:v>Short rigid peptide-conjugated AuNC</x:v>
      </x:c>
      <x:c r="O55" s="20" t="str">
        <x:v>HAuCl4</x:v>
      </x:c>
      <x:c r="P55" s="20" t="str">
        <x:v>3.4 mg CCY(EAAAK)3 in 1.65 mL H2O; 66 µL 25 mM HAuCl4</x:v>
      </x:c>
      <x:c r="Q55" s="20" t="str">
        <x:v>Peptide-assisted alkaline synthesis</x:v>
      </x:c>
      <x:c r="R55" s="20" t="n">
        <x:v>13</x:v>
      </x:c>
      <x:c r="S55" s="20"/>
      <x:c r="T55" s="20" t="n">
        <x:v>12</x:v>
      </x:c>
      <x:c r="U55" s="20" t="str">
        <x:v>HAuCl4 added slowly under vigorous stirring; 300 µL 0.5 M NaOH; 12 h in dark; 10 kDa dialysis 3 d</x:v>
      </x:c>
      <x:c r="V55" s="20" t="n">
        <x:v>660</x:v>
      </x:c>
      <x:c r="W55" s="20" t="str">
        <x:v>λex 498 / λem 660</x:v>
      </x:c>
      <x:c r="X55" s="20"/>
      <x:c r="Y55" s="20" t="n">
        <x:v>273</x:v>
      </x:c>
      <x:c r="Z55" s="20"/>
      <x:c r="AA55" s="20"/>
      <x:c r="AB55" s="20"/>
      <x:c r="AC55" s="20"/>
      <x:c r="AD55" s="20"/>
      <x:c r="AE55" s="20" t="str">
        <x:v>Peptide-conjugated AuNC mechanics / optical characterization</x:v>
      </x:c>
      <x:c r="AF55" s="20" t="str">
        <x:v>Direct primary record: core 1.1 nm; apparent DLS ~3 nm; emission 660 nm at 498 nm excitation.</x:v>
      </x:c>
      <x:c r="AG55" s="20" t="str">
        <x:v>Nanomaterials 2021 Methods 2.6 + Results 3.3</x:v>
      </x:c>
      <x:c r="AH55" s="20" t="str">
        <x:v>https://doi.org/10.3390/nano11112932</x:v>
      </x:c>
      <x:c r="AI55" s="24" t="n">
        <x:f>ROUND(100*COUNTA(G55,J55,L55,R55,S55,T55,V55,X55,AA55,AC55)/10,0)</x:f>
        <x:v>50</x:v>
      </x:c>
      <x:c r="AJ55" s="20" t="str">
        <x:v>TRAIN_OPTICAL_SIZE</x:v>
      </x:c>
      <x:c r="AK55" s="20" t="str">
        <x:v>EXACT_FROM_PRIMARY_OPEN_ACCESS</x:v>
      </x:c>
      <x:c r="AL55" s="20" t="str">
        <x:v>Temperature not explicitly populated; do not infer room temperature into training.</x:v>
      </x:c>
      <x:c r="AM55" s="20" t="str">
        <x:v>2026-09-07</x:v>
      </x:c>
      <x:c r="AN55" s="20" t="str">
        <x:v>WEB_PRIMARY_OPEN_ACCESS</x:v>
      </x:c>
    </x:row>
    <x:row r="56" ht="19" customHeight="1">
      <x:c r="A56" s="20" t="str">
        <x:v>R053</x:v>
      </x:c>
      <x:c r="B56" s="20" t="str">
        <x:v>W22</x:v>
      </x:c>
      <x:c r="C56" s="20" t="str">
        <x:v>A2 DIRECT_PEPTIDE_NONPRECISE_AUNC</x:v>
      </x:c>
      <x:c r="D56" s="20" t="str">
        <x:v>DIRECT</x:v>
      </x:c>
      <x:c r="E56" s="20" t="str">
        <x:v>ultrasmall_AuNC_unknown_nuclearity</x:v>
      </x:c>
      <x:c r="F56" s="20" t="str">
        <x:v>Self-assembling PNF-AuNC peptide</x:v>
      </x:c>
      <x:c r="G56" s="20" t="str">
        <x:v>RGDAEAKAEAKCCYYCCAEAKAEAKRGD</x:v>
      </x:c>
      <x:c r="H56" s="20" t="str">
        <x:v>L</x:v>
      </x:c>
      <x:c r="I56" s="20" t="str">
        <x:v>Multidomain RGD + assembly + CCYYCC Au-forming motif</x:v>
      </x:c>
      <x:c r="J56" s="20"/>
      <x:c r="K56" s="20"/>
      <x:c r="L56" s="20" t="n">
        <x:v>1.8</x:v>
      </x:c>
      <x:c r="M56" s="20"/>
      <x:c r="N56" s="20" t="str">
        <x:v>Peptide-AuNC followed by self-assembled nanofiber enhancement</x:v>
      </x:c>
      <x:c r="O56" s="20" t="str">
        <x:v>HAuCl4</x:v>
      </x:c>
      <x:c r="P56" s="20" t="str">
        <x:v>Motif-designed peptide used as reducing/protecting/self-assembling scaffold; full reagent quantities remain to be SI-audited</x:v>
      </x:c>
      <x:c r="Q56" s="20" t="str">
        <x:v>CCY/CCYYCC biomimetic reduction + supramolecular assembly</x:v>
      </x:c>
      <x:c r="R56" s="20"/>
      <x:c r="S56" s="20"/>
      <x:c r="T56" s="20"/>
      <x:c r="U56" s="20" t="str">
        <x:v>Peptide-AuNC formation followed by controlled self-assembly into PNF-AuNC</x:v>
      </x:c>
      <x:c r="V56" s="20" t="n">
        <x:v>660</x:v>
      </x:c>
      <x:c r="W56" s="20" t="str">
        <x:v>λex 480 / λem 660</x:v>
      </x:c>
      <x:c r="X56" s="20" t="n">
        <x:v>21.3</x:v>
      </x:c>
      <x:c r="Y56" s="20"/>
      <x:c r="Z56" s="20"/>
      <x:c r="AA56" s="20"/>
      <x:c r="AB56" s="20"/>
      <x:c r="AC56" s="20"/>
      <x:c r="AD56" s="20"/>
      <x:c r="AE56" s="20" t="str">
        <x:v>Temperature sensing and cellular imaging</x:v>
      </x:c>
      <x:c r="AF56" s="20" t="str">
        <x:v>Peptide-AuNC core average 1.8±0.2 nm. Nanofiber self-assembly enhanced luminescence ~70-fold; PNF-AuNC QY 21.3±1.8%.</x:v>
      </x:c>
      <x:c r="AG56" s="20" t="str">
        <x:v>Bioconjugate Chemistry 2017 primary article</x:v>
      </x:c>
      <x:c r="AH56" s="20" t="str">
        <x:v>https://doi.org/10.1021/acs.bioconjchem.7b00312</x:v>
      </x:c>
      <x:c r="AI56" s="24" t="n">
        <x:f>ROUND(100*COUNTA(G56,J56,L56,R56,S56,T56,V56,X56,AA56,AC56)/10,0)</x:f>
        <x:v>40</x:v>
      </x:c>
      <x:c r="AJ56" s="20" t="str">
        <x:v>TRAIN_THERANOSTIC_OPTICAL</x:v>
      </x:c>
      <x:c r="AK56" s="20" t="str">
        <x:v>EXACT_SEQUENCE_PRIMARY; PARTIAL_SYNTHESIS</x:v>
      </x:c>
      <x:c r="AL56" s="20" t="str">
        <x:v>QY reflects assembled PNF-AuNC suprastructure, not isolated free AuNC; use assembly-state feature.</x:v>
      </x:c>
      <x:c r="AM56" s="20" t="str">
        <x:v>2026-09-07</x:v>
      </x:c>
      <x:c r="AN56" s="20" t="str">
        <x:v>WEB_PRIMARY</x:v>
      </x:c>
    </x:row>
    <x:row r="57" ht="19" customHeight="1">
      <x:c r="A57" s="20" t="str">
        <x:v>R054</x:v>
      </x:c>
      <x:c r="B57" s="20" t="str">
        <x:v>W22</x:v>
      </x:c>
      <x:c r="C57" s="20" t="str">
        <x:v>FORMATION_CONTROL</x:v>
      </x:c>
      <x:c r="D57" s="20" t="str">
        <x:v>DIRECT</x:v>
      </x:c>
      <x:c r="E57" s="20" t="str">
        <x:v>gold_nanoparticle_failure_control</x:v>
      </x:c>
      <x:c r="F57" s="20" t="str">
        <x:v>Pep II control</x:v>
      </x:c>
      <x:c r="G57" s="20" t="str">
        <x:v>RGDAEAKAEAKAEAKCCY</x:v>
      </x:c>
      <x:c r="H57" s="20" t="str">
        <x:v>L</x:v>
      </x:c>
      <x:c r="I57" s="20" t="str">
        <x:v>Shorter assembly/capping motif</x:v>
      </x:c>
      <x:c r="J57" s="20"/>
      <x:c r="K57" s="20"/>
      <x:c r="L57" s="20"/>
      <x:c r="M57" s="20"/>
      <x:c r="N57" s="20" t="str">
        <x:v>Predominantly Au nanoparticles; almost no fluorescence under same conditions</x:v>
      </x:c>
      <x:c r="O57" s="20" t="str">
        <x:v>HAuCl4</x:v>
      </x:c>
      <x:c r="P57" s="20" t="str">
        <x:v>Same synthesis conditions as W22 positive peptide</x:v>
      </x:c>
      <x:c r="Q57" s="20" t="str">
        <x:v>Peptide biomimetic reduction attempt</x:v>
      </x:c>
      <x:c r="R57" s="20"/>
      <x:c r="S57" s="20"/>
      <x:c r="T57" s="20"/>
      <x:c r="U57" s="20" t="str">
        <x:v>Same conditions as PNF-AuNC peptide</x:v>
      </x:c>
      <x:c r="V57" s="20"/>
      <x:c r="W57" s="20" t="str">
        <x:v>Almost no fluorescence</x:v>
      </x:c>
      <x:c r="X57" s="20"/>
      <x:c r="Y57" s="20"/>
      <x:c r="Z57" s="20"/>
      <x:c r="AA57" s="20"/>
      <x:c r="AB57" s="20"/>
      <x:c r="AC57" s="20"/>
      <x:c r="AD57" s="20"/>
      <x:c r="AE57" s="20" t="str">
        <x:v>Formation negative/control</x:v>
      </x:c>
      <x:c r="AF57" s="20" t="str">
        <x:v>Under the same conditions, Pep II produced almost no fluorescence and many Au nanoparticles by TEM. This is a rare explicit sequence-level negative/control for AuNC formation.</x:v>
      </x:c>
      <x:c r="AG57" s="20" t="str">
        <x:v>Bioconjugate Chemistry 2017 primary article</x:v>
      </x:c>
      <x:c r="AH57" s="20" t="str">
        <x:v>https://doi.org/10.1021/acs.bioconjchem.7b00312</x:v>
      </x:c>
      <x:c r="AI57" s="24" t="n">
        <x:f>ROUND(100*COUNTA(G57,J57,L57,R57,S57,T57,V57,X57,AA57,AC57)/10,0)</x:f>
        <x:v>10</x:v>
      </x:c>
      <x:c r="AJ57" s="20" t="str">
        <x:v>FORMATION_NEGATIVE</x:v>
      </x:c>
      <x:c r="AK57" s="20" t="str">
        <x:v>EXACT_FROM_PRIMARY</x:v>
      </x:c>
      <x:c r="AL57" s="20" t="str">
        <x:v>High-value negative, but one control is far from enough for a robust formation classifier.</x:v>
      </x:c>
      <x:c r="AM57" s="20" t="str">
        <x:v>2026-09-07</x:v>
      </x:c>
      <x:c r="AN57" s="20" t="str">
        <x:v>WEB_PRIMARY</x:v>
      </x:c>
    </x:row>
    <x:row r="58" ht="19" customHeight="1">
      <x:c r="A58" s="20" t="str">
        <x:v>R055</x:v>
      </x:c>
      <x:c r="B58" s="20" t="str">
        <x:v>W18</x:v>
      </x:c>
      <x:c r="C58" s="20" t="str">
        <x:v>A1 DIRECT_PEPTIDE_ATOMIC_AUNC</x:v>
      </x:c>
      <x:c r="D58" s="20" t="str">
        <x:v>DIRECT</x:v>
      </x:c>
      <x:c r="E58" s="20" t="str">
        <x:v>atomically_precise_AuNC</x:v>
      </x:c>
      <x:c r="F58" s="20" t="str">
        <x:v>Peptide 1 HDAC substrate</x:v>
      </x:c>
      <x:c r="G58" s="20" t="str">
        <x:v>CCIHK</x:v>
      </x:c>
      <x:c r="H58" s="20" t="str">
        <x:v>L</x:v>
      </x:c>
      <x:c r="I58" s="20" t="str">
        <x:v>Lys acetylation: CCIHK(Ac)</x:v>
      </x:c>
      <x:c r="J58" s="20" t="n">
        <x:v>8</x:v>
      </x:c>
      <x:c r="K58" s="20" t="n">
        <x:v>2</x:v>
      </x:c>
      <x:c r="L58" s="20" t="n">
        <x:v>1.1</x:v>
      </x:c>
      <x:c r="M58" s="20"/>
      <x:c r="N58" s="20" t="str">
        <x:v>Au8 cluster with two peptides + two MPA ligands</x:v>
      </x:c>
      <x:c r="O58" s="20" t="str">
        <x:v>HAuCl4</x:v>
      </x:c>
      <x:c r="P58" s="20" t="str">
        <x:v>200 µL 62 µM peptide + 1.5 mL 50 mM HAuCl4 + 1.5 mL methanol + 300 µL 30 µM MPA</x:v>
      </x:c>
      <x:c r="Q58" s="20" t="str">
        <x:v>300 µL 1 M NaBH4 after 10 min pre-stir</x:v>
      </x:c>
      <x:c r="R58" s="20" t="n">
        <x:v>8</x:v>
      </x:c>
      <x:c r="S58" s="20"/>
      <x:c r="T58" s="20" t="n">
        <x:v>0.333</x:v>
      </x:c>
      <x:c r="U58" s="20" t="str">
        <x:v>Adjust pH 8 with NaOH; stir 10 min; add fresh ice-cooled NaBH4; stir another 10 min; 3 kDa ultrafiltration ×3</x:v>
      </x:c>
      <x:c r="V58" s="20"/>
      <x:c r="W58" s="20" t="str">
        <x:v>Primary article/SI optical peak not entered numerically</x:v>
      </x:c>
      <x:c r="X58" s="20" t="n">
        <x:v>21.7</x:v>
      </x:c>
      <x:c r="Y58" s="20"/>
      <x:c r="Z58" s="20"/>
      <x:c r="AA58" s="20"/>
      <x:c r="AB58" s="20"/>
      <x:c r="AC58" s="20"/>
      <x:c r="AD58" s="20"/>
      <x:c r="AE58" s="20" t="str">
        <x:v>PTM-enzyme fluorescent beacon</x:v>
      </x:c>
      <x:c r="AF58" s="20" t="str">
        <x:v>MALDI-TOF assigned Au8(peptide)2(MPA)2; average TEM size ~1.1 nm; QY 21.7%.</x:v>
      </x:c>
      <x:c r="AG58" s="20" t="str">
        <x:v>Anal. Chem. 2013 main text + SI</x:v>
      </x:c>
      <x:c r="AH58" s="20" t="str">
        <x:v>https://doi.org/10.1021/ac403308b</x:v>
      </x:c>
      <x:c r="AI58" s="24" t="n">
        <x:f>ROUND(100*COUNTA(G58,J58,L58,R58,S58,T58,V58,X58,AA58,AC58)/10,0)</x:f>
        <x:v>60</x:v>
      </x:c>
      <x:c r="AJ58" s="20" t="str">
        <x:v>TRAIN_CORE</x:v>
      </x:c>
      <x:c r="AK58" s="20" t="str">
        <x:v>EXACT_FROM_PRIMARY_SI</x:v>
      </x:c>
      <x:c r="AL58" s="20" t="str">
        <x:v>High-value exact atomic sequence+synthesis+size+QY record.</x:v>
      </x:c>
      <x:c r="AM58" s="20" t="str">
        <x:v>2026-09-07</x:v>
      </x:c>
      <x:c r="AN58" s="20" t="str">
        <x:v>WEB_PRIMARY+SI</x:v>
      </x:c>
    </x:row>
    <x:row r="59" ht="19" customHeight="1">
      <x:c r="A59" s="20" t="str">
        <x:v>R056</x:v>
      </x:c>
      <x:c r="B59" s="20" t="str">
        <x:v>W18</x:v>
      </x:c>
      <x:c r="C59" s="20" t="str">
        <x:v>A2 DIRECT_PEPTIDE_NONPRECISE_AUNC</x:v>
      </x:c>
      <x:c r="D59" s="20" t="str">
        <x:v>DIRECT</x:v>
      </x:c>
      <x:c r="E59" s="20" t="str">
        <x:v>ultrasmall_AuNC_unknown_nuclearity</x:v>
      </x:c>
      <x:c r="F59" s="20" t="str">
        <x:v>Peptide 2 control</x:v>
      </x:c>
      <x:c r="G59" s="20" t="str">
        <x:v>CCGKE</x:v>
      </x:c>
      <x:c r="H59" s="20" t="str">
        <x:v>L</x:v>
      </x:c>
      <x:c r="I59" s="20" t="str">
        <x:v>Unmodified control peptide</x:v>
      </x:c>
      <x:c r="J59" s="20"/>
      <x:c r="K59" s="20"/>
      <x:c r="L59" s="20"/>
      <x:c r="M59" s="20"/>
      <x:c r="N59" s="20" t="str">
        <x:v>Fluorescent peptide-templated AuNC</x:v>
      </x:c>
      <x:c r="O59" s="20" t="str">
        <x:v>HAuCl4</x:v>
      </x:c>
      <x:c r="P59" s="20" t="str">
        <x:v>Same generic synthesis procedure as W18 peptide panel</x:v>
      </x:c>
      <x:c r="Q59" s="20" t="str">
        <x:v>MPA + NaBH4</x:v>
      </x:c>
      <x:c r="R59" s="20" t="n">
        <x:v>8</x:v>
      </x:c>
      <x:c r="S59" s="20"/>
      <x:c r="T59" s="20" t="n">
        <x:v>0.333</x:v>
      </x:c>
      <x:c r="U59" s="20" t="str">
        <x:v>Same 10 min pre-stir + 10 min post-NaBH4 procedure; 3 kDa ultrafiltration</x:v>
      </x:c>
      <x:c r="V59" s="20"/>
      <x:c r="W59" s="20" t="str">
        <x:v>Fluorescent AuNC control shown in SI; exact peak not entered</x:v>
      </x:c>
      <x:c r="X59" s="20"/>
      <x:c r="Y59" s="20"/>
      <x:c r="Z59" s="20"/>
      <x:c r="AA59" s="20"/>
      <x:c r="AB59" s="20"/>
      <x:c r="AC59" s="20"/>
      <x:c r="AD59" s="20"/>
      <x:c r="AE59" s="20" t="str">
        <x:v>PTM-enzyme control</x:v>
      </x:c>
      <x:c r="AF59" s="20" t="str">
        <x:v>Peptide 2 was a non-substrate control yet formed fluorescent AuNCs under the developed procedure.</x:v>
      </x:c>
      <x:c r="AG59" s="20" t="str">
        <x:v>Anal. Chem. 2013 SI</x:v>
      </x:c>
      <x:c r="AH59" s="20" t="str">
        <x:v>https://doi.org/10.1021/ac403308b</x:v>
      </x:c>
      <x:c r="AI59" s="24" t="n">
        <x:f>ROUND(100*COUNTA(G59,J59,L59,R59,S59,T59,V59,X59,AA59,AC59)/10,0)</x:f>
        <x:v>30</x:v>
      </x:c>
      <x:c r="AJ59" s="20" t="str">
        <x:v>FORMATION_POSITIVE</x:v>
      </x:c>
      <x:c r="AK59" s="20" t="str">
        <x:v>EXACT_SEQUENCE_PRIMARY_SI</x:v>
      </x:c>
      <x:c r="AL59" s="20" t="str">
        <x:v>Useful formation-positive control; no invented exact nuclearity/QY.</x:v>
      </x:c>
      <x:c r="AM59" s="20" t="str">
        <x:v>2026-09-07</x:v>
      </x:c>
      <x:c r="AN59" s="20" t="str">
        <x:v>WEB_PRIMARY+SI</x:v>
      </x:c>
    </x:row>
    <x:row r="60" ht="19" customHeight="1">
      <x:c r="A60" s="20" t="str">
        <x:v>R057</x:v>
      </x:c>
      <x:c r="B60" s="20" t="str">
        <x:v>W18</x:v>
      </x:c>
      <x:c r="C60" s="20" t="str">
        <x:v>A2 DIRECT_PEPTIDE_NONPRECISE_AUNC</x:v>
      </x:c>
      <x:c r="D60" s="20" t="str">
        <x:v>DIRECT</x:v>
      </x:c>
      <x:c r="E60" s="20" t="str">
        <x:v>ultrasmall_AuNC_unknown_nuclearity</x:v>
      </x:c>
      <x:c r="F60" s="20" t="str">
        <x:v>Peptide 3 PKA substrate</x:v>
      </x:c>
      <x:c r="G60" s="20" t="str">
        <x:v>CCLRRASLG</x:v>
      </x:c>
      <x:c r="H60" s="20" t="str">
        <x:v>L</x:v>
      </x:c>
      <x:c r="I60" s="20" t="str">
        <x:v>Unmodified</x:v>
      </x:c>
      <x:c r="J60" s="20"/>
      <x:c r="K60" s="20"/>
      <x:c r="L60" s="20"/>
      <x:c r="M60" s="20"/>
      <x:c r="N60" s="20" t="str">
        <x:v>Fluorescent peptide-templated AuNC</x:v>
      </x:c>
      <x:c r="O60" s="20" t="str">
        <x:v>HAuCl4</x:v>
      </x:c>
      <x:c r="P60" s="20" t="str">
        <x:v>Same generic synthesis procedure as W18 peptide panel</x:v>
      </x:c>
      <x:c r="Q60" s="20" t="str">
        <x:v>MPA + NaBH4</x:v>
      </x:c>
      <x:c r="R60" s="20" t="n">
        <x:v>8</x:v>
      </x:c>
      <x:c r="S60" s="20"/>
      <x:c r="T60" s="20" t="n">
        <x:v>0.333</x:v>
      </x:c>
      <x:c r="U60" s="20" t="str">
        <x:v>Same 10 min pre-stir + 10 min post-NaBH4 procedure; 3 kDa ultrafiltration</x:v>
      </x:c>
      <x:c r="V60" s="20" t="n">
        <x:v>450</x:v>
      </x:c>
      <x:c r="W60" s="20" t="str">
        <x:v>λex 350 / λem 450</x:v>
      </x:c>
      <x:c r="X60" s="20"/>
      <x:c r="Y60" s="20"/>
      <x:c r="Z60" s="20"/>
      <x:c r="AA60" s="20"/>
      <x:c r="AB60" s="20"/>
      <x:c r="AC60" s="20"/>
      <x:c r="AD60" s="20"/>
      <x:c r="AE60" s="20" t="str">
        <x:v>PKA fluorescent beacon</x:v>
      </x:c>
      <x:c r="AF60" s="20" t="str">
        <x:v>Exact SI reports strong fluorescence at 450 nm with excitation maximum 350 nm.</x:v>
      </x:c>
      <x:c r="AG60" s="20" t="str">
        <x:v>Anal. Chem. 2013 SI</x:v>
      </x:c>
      <x:c r="AH60" s="20" t="str">
        <x:v>https://doi.org/10.1021/ac403308b</x:v>
      </x:c>
      <x:c r="AI60" s="24" t="n">
        <x:f>ROUND(100*COUNTA(G60,J60,L60,R60,S60,T60,V60,X60,AA60,AC60)/10,0)</x:f>
        <x:v>40</x:v>
      </x:c>
      <x:c r="AJ60" s="20" t="str">
        <x:v>TRAIN_OPTICAL</x:v>
      </x:c>
      <x:c r="AK60" s="20" t="str">
        <x:v>EXACT_FROM_PRIMARY_SI</x:v>
      </x:c>
      <x:c r="AL60" s="20" t="str">
        <x:v>Nuclearity is not assigned to peptide 3 unless separately mass-verified.</x:v>
      </x:c>
      <x:c r="AM60" s="20" t="str">
        <x:v>2026-09-07</x:v>
      </x:c>
      <x:c r="AN60" s="20" t="str">
        <x:v>WEB_PRIMARY+SI</x:v>
      </x:c>
    </x:row>
    <x:row r="61" ht="19" customHeight="1">
      <x:c r="A61" s="20" t="str">
        <x:v>R058</x:v>
      </x:c>
      <x:c r="B61" s="20" t="str">
        <x:v>W24</x:v>
      </x:c>
      <x:c r="C61" s="20" t="str">
        <x:v>A1 DIRECT_PEPTIDE_ATOMIC_AUNC</x:v>
      </x:c>
      <x:c r="D61" s="20" t="str">
        <x:v>DIRECT</x:v>
      </x:c>
      <x:c r="E61" s="20" t="str">
        <x:v>atomically_precise_AuNC</x:v>
      </x:c>
      <x:c r="F61" s="20" t="str">
        <x:v>Designer peptide C(GRP)3</x:v>
      </x:c>
      <x:c r="G61" s="20" t="str">
        <x:v>CGRPGRPGRP</x:v>
      </x:c>
      <x:c r="H61" s="20" t="str">
        <x:v>L</x:v>
      </x:c>
      <x:c r="I61" s="20" t="str">
        <x:v>Pro-rich helical template</x:v>
      </x:c>
      <x:c r="J61" s="20" t="n">
        <x:v>16</x:v>
      </x:c>
      <x:c r="K61" s="20" t="n">
        <x:v>1</x:v>
      </x:c>
      <x:c r="L61" s="20" t="n">
        <x:v>0.74</x:v>
      </x:c>
      <x:c r="M61" s="20"/>
      <x:c r="N61" s="20" t="str">
        <x:v>Au16 peptide-caged nanocluster</x:v>
      </x:c>
      <x:c r="O61" s="20" t="str">
        <x:v>Au ions / gold precursor</x:v>
      </x:c>
      <x:c r="P61" s="20" t="str">
        <x:v>Exact reagent quantities remain in ESI; primary main text confirms peptide-templated reduction</x:v>
      </x:c>
      <x:c r="Q61" s="20" t="str">
        <x:v>NaBH4</x:v>
      </x:c>
      <x:c r="R61" s="20"/>
      <x:c r="S61" s="20"/>
      <x:c r="T61" s="20"/>
      <x:c r="U61" s="20" t="str">
        <x:v>NaBH4-triggered growth in presence of C(GRP)3; exact quantities not entered until ESI extraction</x:v>
      </x:c>
      <x:c r="V61" s="20" t="n">
        <x:v>680</x:v>
      </x:c>
      <x:c r="W61" s="20" t="str">
        <x:v>λex 440 / λem 680</x:v>
      </x:c>
      <x:c r="X61" s="20"/>
      <x:c r="Y61" s="20"/>
      <x:c r="Z61" s="20"/>
      <x:c r="AA61" s="20"/>
      <x:c r="AB61" s="20"/>
      <x:c r="AC61" s="20"/>
      <x:c r="AD61" s="20"/>
      <x:c r="AE61" s="20" t="str">
        <x:v>NIR fluorescence / cellular uptake</x:v>
      </x:c>
      <x:c r="AF61" s="20" t="str">
        <x:v>MALDI revealed 16 Au atoms + one peptide. SAXS radius 3.7 Å; core-size field stores derived diameter 0.74 nm.</x:v>
      </x:c>
      <x:c r="AG61" s="20" t="str">
        <x:v>Chem. Commun. 2014 accepted manuscript</x:v>
      </x:c>
      <x:c r="AH61" s="20" t="str">
        <x:v>https://doi.org/10.1039/C4CC03240C</x:v>
      </x:c>
      <x:c r="AI61" s="24" t="n">
        <x:f>ROUND(100*COUNTA(G61,J61,L61,R61,S61,T61,V61,X61,AA61,AC61)/10,0)</x:f>
        <x:v>40</x:v>
      </x:c>
      <x:c r="AJ61" s="20" t="str">
        <x:v>TRAIN_CORE_STRUCTURE_OPTICAL</x:v>
      </x:c>
      <x:c r="AK61" s="20" t="str">
        <x:v>EXACT_SEQUENCE_PRIMARY</x:v>
      </x:c>
      <x:c r="AL61" s="20" t="str">
        <x:v>Atomic/nuclearity and optical record strong; condition-model use waits for exact ESI quantities.</x:v>
      </x:c>
      <x:c r="AM61" s="20" t="str">
        <x:v>2026-09-07</x:v>
      </x:c>
      <x:c r="AN61" s="20" t="str">
        <x:v>WEB_PRIMARY_AUTHOR_MANUSCRIPT</x:v>
      </x:c>
    </x:row>
    <x:row r="62" ht="19" customHeight="1">
      <x:c r="A62" s="20" t="str">
        <x:v>R059</x:v>
      </x:c>
      <x:c r="B62" s="20" t="str">
        <x:v>W24</x:v>
      </x:c>
      <x:c r="C62" s="20" t="str">
        <x:v>FORMATION_CONTROL</x:v>
      </x:c>
      <x:c r="D62" s="20" t="str">
        <x:v>DIRECT</x:v>
      </x:c>
      <x:c r="E62" s="20" t="str">
        <x:v>gold_nanoparticle_failure_control</x:v>
      </x:c>
      <x:c r="F62" s="20" t="str">
        <x:v>Cys-free (GRP)3</x:v>
      </x:c>
      <x:c r="G62" s="20" t="str">
        <x:v>GRPGRPGRP</x:v>
      </x:c>
      <x:c r="H62" s="20" t="str">
        <x:v>L</x:v>
      </x:c>
      <x:c r="I62" s="20" t="str">
        <x:v>Cys removed from positive template</x:v>
      </x:c>
      <x:c r="J62" s="20"/>
      <x:c r="K62" s="20"/>
      <x:c r="L62" s="20"/>
      <x:c r="M62" s="20"/>
      <x:c r="N62" s="20" t="str">
        <x:v>Aggregated gold nanoparticles; not AuNC</x:v>
      </x:c>
      <x:c r="O62" s="20" t="str">
        <x:v>Au ions / gold precursor</x:v>
      </x:c>
      <x:c r="P62" s="20" t="str">
        <x:v>Matched to C(GRP)3 experiment</x:v>
      </x:c>
      <x:c r="Q62" s="20" t="str">
        <x:v>NaBH4</x:v>
      </x:c>
      <x:c r="R62" s="20"/>
      <x:c r="S62" s="20"/>
      <x:c r="T62" s="20"/>
      <x:c r="U62" s="20" t="str">
        <x:v>Same general growth experiment as positive C(GRP)3</x:v>
      </x:c>
      <x:c r="V62" s="20"/>
      <x:c r="W62" s="20" t="str">
        <x:v>No fluorescence</x:v>
      </x:c>
      <x:c r="X62" s="20"/>
      <x:c r="Y62" s="20"/>
      <x:c r="Z62" s="20"/>
      <x:c r="AA62" s="20"/>
      <x:c r="AB62" s="20"/>
      <x:c r="AC62" s="20"/>
      <x:c r="AD62" s="20"/>
      <x:c r="AE62" s="20" t="str">
        <x:v>Formation negative/control</x:v>
      </x:c>
      <x:c r="AF62" s="20" t="str">
        <x:v>Removing the Cys nucleating residue produced blue-coloured aggregated Au nanoparticles and no fluorescence.</x:v>
      </x:c>
      <x:c r="AG62" s="20" t="str">
        <x:v>Chem. Commun. 2014 accepted manuscript</x:v>
      </x:c>
      <x:c r="AH62" s="20" t="str">
        <x:v>https://doi.org/10.1039/C4CC03240C</x:v>
      </x:c>
      <x:c r="AI62" s="24" t="n">
        <x:f>ROUND(100*COUNTA(G62,J62,L62,R62,S62,T62,V62,X62,AA62,AC62)/10,0)</x:f>
        <x:v>10</x:v>
      </x:c>
      <x:c r="AJ62" s="20" t="str">
        <x:v>FORMATION_NEGATIVE</x:v>
      </x:c>
      <x:c r="AK62" s="20" t="str">
        <x:v>EXACT_FROM_PRIMARY</x:v>
      </x:c>
      <x:c r="AL62" s="20" t="str">
        <x:v>Matched sequence-ablation negative for nucleation motif.</x:v>
      </x:c>
      <x:c r="AM62" s="20" t="str">
        <x:v>2026-09-07</x:v>
      </x:c>
      <x:c r="AN62" s="20" t="str">
        <x:v>WEB_PRIMARY_AUTHOR_MANUSCRIPT</x:v>
      </x:c>
    </x:row>
    <x:row r="63" ht="19" customHeight="1">
      <x:c r="A63" s="20" t="str">
        <x:v>R060</x:v>
      </x:c>
      <x:c r="B63" s="20" t="str">
        <x:v>W24</x:v>
      </x:c>
      <x:c r="C63" s="20" t="str">
        <x:v>FORMATION_CONTROL</x:v>
      </x:c>
      <x:c r="D63" s="20" t="str">
        <x:v>DIRECT</x:v>
      </x:c>
      <x:c r="E63" s="20" t="str">
        <x:v>gold_nanoparticle_failure_control</x:v>
      </x:c>
      <x:c r="F63" s="20" t="str">
        <x:v>Pro-free C(GRG)3</x:v>
      </x:c>
      <x:c r="G63" s="20" t="str">
        <x:v>CGRGGRGGRG</x:v>
      </x:c>
      <x:c r="H63" s="20" t="str">
        <x:v>L</x:v>
      </x:c>
      <x:c r="I63" s="20" t="str">
        <x:v>Pro residues replaced; non-helical control</x:v>
      </x:c>
      <x:c r="J63" s="20"/>
      <x:c r="K63" s="20"/>
      <x:c r="L63" s="20"/>
      <x:c r="M63" s="20"/>
      <x:c r="N63" s="20" t="str">
        <x:v>Plasmonic peptide-decorated Au nanoparticles; not AuNC</x:v>
      </x:c>
      <x:c r="O63" s="20" t="str">
        <x:v>Au ions / gold precursor</x:v>
      </x:c>
      <x:c r="P63" s="20" t="str">
        <x:v>Matched to C(GRP)3 experiment</x:v>
      </x:c>
      <x:c r="Q63" s="20" t="str">
        <x:v>NaBH4</x:v>
      </x:c>
      <x:c r="R63" s="20"/>
      <x:c r="S63" s="20"/>
      <x:c r="T63" s="20"/>
      <x:c r="U63" s="20" t="str">
        <x:v>Same general growth experiment as positive C(GRP)3</x:v>
      </x:c>
      <x:c r="V63" s="20"/>
      <x:c r="W63" s="20" t="str">
        <x:v>No fluorescence</x:v>
      </x:c>
      <x:c r="X63" s="20"/>
      <x:c r="Y63" s="20" t="n">
        <x:v>523</x:v>
      </x:c>
      <x:c r="Z63" s="20"/>
      <x:c r="AA63" s="20"/>
      <x:c r="AB63" s="20"/>
      <x:c r="AC63" s="20"/>
      <x:c r="AD63" s="20"/>
      <x:c r="AE63" s="20" t="str">
        <x:v>Formation negative/control</x:v>
      </x:c>
      <x:c r="AF63" s="20" t="str">
        <x:v>Pro-free control gave red nanoparticle solution with LSPR 523 nm and no fluorescence, showing 3D peptide conformation is critical.</x:v>
      </x:c>
      <x:c r="AG63" s="20" t="str">
        <x:v>Chem. Commun. 2014 accepted manuscript</x:v>
      </x:c>
      <x:c r="AH63" s="20" t="str">
        <x:v>https://doi.org/10.1039/C4CC03240C</x:v>
      </x:c>
      <x:c r="AI63" s="24" t="n">
        <x:f>ROUND(100*COUNTA(G63,J63,L63,R63,S63,T63,V63,X63,AA63,AC63)/10,0)</x:f>
        <x:v>10</x:v>
      </x:c>
      <x:c r="AJ63" s="20" t="str">
        <x:v>FORMATION_NEGATIVE</x:v>
      </x:c>
      <x:c r="AK63" s="20" t="str">
        <x:v>EXACT_FROM_PRIMARY</x:v>
      </x:c>
      <x:c r="AL63" s="20" t="str">
        <x:v>Matched topology/conformation negative.</x:v>
      </x:c>
      <x:c r="AM63" s="20" t="str">
        <x:v>2026-09-07</x:v>
      </x:c>
      <x:c r="AN63" s="20" t="str">
        <x:v>WEB_PRIMARY_AUTHOR_MANUSCRIPT</x:v>
      </x:c>
    </x:row>
    <x:row r="64" ht="19" customHeight="1">
      <x:c r="A64" s="20" t="str">
        <x:v>R061</x:v>
      </x:c>
      <x:c r="B64" s="20" t="str">
        <x:v>W25</x:v>
      </x:c>
      <x:c r="C64" s="20" t="str">
        <x:v>C2 AUNC_BIOMEDICAL_BENCHMARK</x:v>
      </x:c>
      <x:c r="D64" s="20" t="str">
        <x:v>DIRECT</x:v>
      </x:c>
      <x:c r="E64" s="20" t="str">
        <x:v>post_functionalized_BSA_AuNC</x:v>
      </x:c>
      <x:c r="F64" s="20" t="str">
        <x:v>CCYWDAHRDY-modified BSA-AuNC</x:v>
      </x:c>
      <x:c r="G64" s="20" t="str">
        <x:v>CCYWDAHRDY</x:v>
      </x:c>
      <x:c r="H64" s="20" t="str">
        <x:v>L</x:v>
      </x:c>
      <x:c r="I64" s="20" t="str">
        <x:v>Post-synthesis peptide coupling to BSA-AuNC</x:v>
      </x:c>
      <x:c r="J64" s="20"/>
      <x:c r="K64" s="20"/>
      <x:c r="L64" s="20" t="n">
        <x:v>1.8</x:v>
      </x:c>
      <x:c r="M64" s="20"/>
      <x:c r="N64" s="20" t="str">
        <x:v>Peptide-modified BSA-protected AuNC</x:v>
      </x:c>
      <x:c r="O64" s="20" t="str">
        <x:v>HAuCl4</x:v>
      </x:c>
      <x:c r="P64" s="20" t="str">
        <x:v>BSA-AuNC prepared first; 0.5 mL peptide 1 mg/mL added to 2 mL AuNC solution</x:v>
      </x:c>
      <x:c r="Q64" s="20" t="str">
        <x:v>BSA-mediated AuNC synthesis; peptide added post-synthesis</x:v>
      </x:c>
      <x:c r="R64" s="20"/>
      <x:c r="S64" s="20" t="n">
        <x:v>25</x:v>
      </x:c>
      <x:c r="T64" s="20" t="n">
        <x:v>24</x:v>
      </x:c>
      <x:c r="U64" s="20" t="str">
        <x:v>Peptide/AuNC mixture stirred gently 25°C for 24 h</x:v>
      </x:c>
      <x:c r="V64" s="20" t="n">
        <x:v>650</x:v>
      </x:c>
      <x:c r="W64" s="20" t="str">
        <x:v>AuNC emission 650 nm; peptide modification increased fluorescence</x:v>
      </x:c>
      <x:c r="X64" s="20"/>
      <x:c r="Y64" s="20"/>
      <x:c r="Z64" s="20"/>
      <x:c r="AA64" s="20"/>
      <x:c r="AB64" s="20"/>
      <x:c r="AC64" s="20"/>
      <x:c r="AD64" s="20"/>
      <x:c r="AE64" s="20" t="str">
        <x:v>Cu2+ sensing benchmark</x:v>
      </x:c>
      <x:c r="AF64" s="20" t="str">
        <x:v>NOT peptide-templated synthesis: AuNCs were first synthesized with BSA, then CCYWDAHRDY was coupled. Benchmark only.</x:v>
      </x:c>
      <x:c r="AG64" s="20" t="str">
        <x:v>Scientific Reports 2022 full text</x:v>
      </x:c>
      <x:c r="AH64" s="20" t="str">
        <x:v>https://doi.org/10.1038/s41598-022-10500-9</x:v>
      </x:c>
      <x:c r="AI64" s="24" t="n">
        <x:f>ROUND(100*COUNTA(G64,J64,L64,R64,S64,T64,V64,X64,AA64,AC64)/10,0)</x:f>
        <x:v>50</x:v>
      </x:c>
      <x:c r="AJ64" s="20" t="str">
        <x:v>BENCHMARK_ONLY</x:v>
      </x:c>
      <x:c r="AK64" s="20" t="str">
        <x:v>POST_FUNCTIONALIZATION</x:v>
      </x:c>
      <x:c r="AL64" s="20" t="str">
        <x:v>Do not train peptide-template inverse-design model with this row.</x:v>
      </x:c>
      <x:c r="AM64" s="20" t="str">
        <x:v>2026-09-07</x:v>
      </x:c>
      <x:c r="AN64" s="20" t="str">
        <x:v>WEB_PRIMARY_OPEN_ACCESS</x:v>
      </x:c>
    </x:row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  <x:row r="101" ht="19" customHeight="1"/>
    <x:row r="102" ht="19" customHeight="1"/>
    <x:row r="103" ht="19" customHeight="1"/>
    <x:row r="104" ht="19" customHeight="1"/>
    <x:row r="105" ht="19" customHeight="1"/>
    <x:row r="106" ht="19" customHeight="1"/>
    <x:row r="107" ht="19" customHeight="1"/>
    <x:row r="108" ht="19" customHeight="1"/>
    <x:row r="109" ht="19" customHeight="1"/>
    <x:row r="110" ht="19" customHeight="1"/>
    <x:row r="111" ht="19" customHeight="1"/>
    <x:row r="112" ht="19" customHeight="1"/>
    <x:row r="113" ht="19" customHeight="1"/>
    <x:row r="114" ht="19" customHeight="1"/>
    <x:row r="115" ht="19" customHeight="1"/>
    <x:row r="116" ht="19" customHeight="1"/>
    <x:row r="117" ht="19" customHeight="1"/>
    <x:row r="118" ht="19" customHeight="1"/>
    <x:row r="119" ht="19" customHeight="1"/>
    <x:row r="120" ht="19" customHeight="1"/>
  </x:sheetData>
  <x:conditionalFormatting sqref="AJ4:AJ64">
    <x:cfRule type="expression" dxfId="11" priority="1">
      <x:formula>LEFT(AJ4,5)="TRAIN"</x:formula>
    </x:cfRule>
    <x:cfRule type="expression" dxfId="12" priority="2">
      <x:formula>AJ4="FORMATION_NEGATIVE"</x:formula>
    </x:cfRule>
  </x:conditionalFormatting>
  <x:conditionalFormatting sqref="AI4:AI64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6634590adf8495c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8" hidden="0" customWidth="1"/>
    <x:col min="4" max="4" width="28" hidden="0" customWidth="1"/>
    <x:col min="5" max="5" width="29" hidden="0" customWidth="1"/>
    <x:col min="6" max="6" width="14" hidden="0" customWidth="1"/>
    <x:col min="7" max="7" width="13" hidden="0" customWidth="1"/>
    <x:col min="8" max="8" width="16" hidden="0" customWidth="1"/>
    <x:col min="9" max="9" width="9" hidden="0" customWidth="1"/>
    <x:col min="10" max="10" width="10" hidden="0" customWidth="1"/>
    <x:col min="11" max="11" width="10" hidden="0" customWidth="1"/>
    <x:col min="12" max="12" width="13" hidden="0" customWidth="1"/>
    <x:col min="13" max="13" width="12" hidden="0" customWidth="1"/>
    <x:col min="14" max="14" width="15" hidden="0" customWidth="1"/>
    <x:col min="15" max="15" width="28" hidden="0" customWidth="1"/>
    <x:col min="16" max="16" width="30" hidden="0" customWidth="1"/>
    <x:col min="17" max="17" width="18" hidden="0" customWidth="1"/>
    <x:col min="18" max="18" width="34" hidden="0" customWidth="1"/>
    <x:col min="19" max="19" width="20" hidden="0" customWidth="1"/>
    <x:col min="20" max="20" width="66" hidden="0" customWidth="1"/>
    <x:col min="21" max="21" width="22" hidden="0" customWidth="1"/>
  </x:cols>
  <x:sheetData>
    <x:row r="1" ht="30" customHeight="1">
      <x:c r="A1" s="57" t="str">
        <x:v>PepAuDB v0.5 — Curated Exploratory Training View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</x:row>
    <x:row r="2" ht="19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</x:row>
    <x:row r="3" ht="34" customHeight="1">
      <x:c r="A3" s="62" t="str">
        <x:v>Record_ID</x:v>
      </x:c>
      <x:c r="B3" s="62" t="str">
        <x:v>Source_ID</x:v>
      </x:c>
      <x:c r="C3" s="62" t="str">
        <x:v>Sequence</x:v>
      </x:c>
      <x:c r="D3" s="62" t="str">
        <x:v>Material_Regime</x:v>
      </x:c>
      <x:c r="E3" s="62" t="str">
        <x:v>Eligibility</x:v>
      </x:c>
      <x:c r="F3" s="62" t="str">
        <x:v>Au_Nuclearity</x:v>
      </x:c>
      <x:c r="G3" s="62" t="str">
        <x:v>Core_Size_nm</x:v>
      </x:c>
      <x:c r="H3" s="62" t="str">
        <x:v>Hydrodynamic_Size_nm</x:v>
      </x:c>
      <x:c r="I3" s="62" t="str">
        <x:v>pH</x:v>
      </x:c>
      <x:c r="J3" s="62" t="str">
        <x:v>Temp_C</x:v>
      </x:c>
      <x:c r="K3" s="62" t="str">
        <x:v>Time_h</x:v>
      </x:c>
      <x:c r="L3" s="62" t="str">
        <x:v>Emission_nm</x:v>
      </x:c>
      <x:c r="M3" s="62" t="str">
        <x:v>PLQY_pct</x:v>
      </x:c>
      <x:c r="N3" s="62" t="str">
        <x:v>Paper_Group</x:v>
      </x:c>
      <x:c r="O3" s="62" t="str">
        <x:v>Sequence_Cluster</x:v>
      </x:c>
      <x:c r="P3" s="62" t="str">
        <x:v>Use_for_Targets</x:v>
      </x:c>
      <x:c r="Q3" s="62" t="str">
        <x:v>Metal_Composition</x:v>
      </x:c>
      <x:c r="R3" s="62" t="str">
        <x:v>Product_Process_State</x:v>
      </x:c>
      <x:c r="S3" s="62" t="str">
        <x:v>Assembly_State</x:v>
      </x:c>
      <x:c r="T3" s="62" t="str">
        <x:v>Critical_Validation_Note</x:v>
      </x:c>
      <x:c r="U3" s="62" t="str">
        <x:v>Modification_State</x:v>
      </x:c>
    </x:row>
    <x:row r="4" ht="19" customHeight="1">
      <x:c r="A4" s="20" t="str">
        <x:v>R015</x:v>
      </x:c>
      <x:c r="B4" s="20" t="str">
        <x:v>S10</x:v>
      </x:c>
      <x:c r="C4" s="20" t="str">
        <x:v>ECG</x:v>
      </x:c>
      <x:c r="D4" s="20" t="str">
        <x:v>atomically_precise_AuNC</x:v>
      </x:c>
      <x:c r="E4" s="20" t="str">
        <x:v>TRAIN_CORE</x:v>
      </x:c>
      <x:c r="F4" s="20" t="n">
        <x:v>22</x:v>
      </x:c>
      <x:c r="G4" s="20" t="n">
        <x:v>1.5</x:v>
      </x:c>
      <x:c r="H4" s="20"/>
      <x:c r="I4" s="20" t="n">
        <x:v>12</x:v>
      </x:c>
      <x:c r="J4" s="20" t="n">
        <x:v>25</x:v>
      </x:c>
      <x:c r="K4" s="20" t="n">
        <x:v>8.5</x:v>
      </x:c>
      <x:c r="L4" s="20" t="n">
        <x:v>925</x:v>
      </x:c>
      <x:c r="M4" s="20" t="n">
        <x:v>0.16</x:v>
      </x:c>
      <x:c r="N4" s="20" t="str">
        <x:v>S10</x:v>
      </x:c>
      <x:c r="O4" s="20" t="str">
        <x:v>GSH_ATOMIC_FAMILY</x:v>
      </x:c>
      <x:c r="P4" s="20" t="str">
        <x:v>nuclearity,size,emission,QY</x:v>
      </x:c>
      <x:c r="Q4" s="20" t="str">
        <x:v>pure_Au</x:v>
      </x:c>
      <x:c r="R4" s="20" t="str">
        <x:v>standard_atomic_product</x:v>
      </x:c>
      <x:c r="S4" s="20" t="str">
        <x:v>dispersed</x:v>
      </x:c>
      <x:c r="T4" s="20" t="str">
        <x:v>Same paper/family as R016; never split across train/test.</x:v>
      </x:c>
      <x:c r="U4" s="20" t="str">
        <x:v>none_or_not_encoded</x:v>
      </x:c>
    </x:row>
    <x:row r="5" ht="19" customHeight="1">
      <x:c r="A5" s="20" t="str">
        <x:v>R016</x:v>
      </x:c>
      <x:c r="B5" s="20" t="str">
        <x:v>S10</x:v>
      </x:c>
      <x:c r="C5" s="20" t="str">
        <x:v>ECG</x:v>
      </x:c>
      <x:c r="D5" s="20" t="str">
        <x:v>atomically_precise_AuNC</x:v>
      </x:c>
      <x:c r="E5" s="20" t="str">
        <x:v>TRAIN_CORE</x:v>
      </x:c>
      <x:c r="F5" s="20" t="n">
        <x:v>21</x:v>
      </x:c>
      <x:c r="G5" s="20" t="n">
        <x:v>1.5</x:v>
      </x:c>
      <x:c r="H5" s="20"/>
      <x:c r="I5" s="20" t="n">
        <x:v>12</x:v>
      </x:c>
      <x:c r="J5" s="20" t="n">
        <x:v>25</x:v>
      </x:c>
      <x:c r="K5" s="20" t="n">
        <x:v>8.5</x:v>
      </x:c>
      <x:c r="L5" s="20" t="n">
        <x:v>925</x:v>
      </x:c>
      <x:c r="M5" s="20" t="n">
        <x:v>0.16</x:v>
      </x:c>
      <x:c r="N5" s="20" t="str">
        <x:v>S10</x:v>
      </x:c>
      <x:c r="O5" s="20" t="str">
        <x:v>GSH_ATOMIC_FAMILY</x:v>
      </x:c>
      <x:c r="P5" s="20" t="str">
        <x:v>nuclearity,size,emission,QY</x:v>
      </x:c>
      <x:c r="Q5" s="20" t="str">
        <x:v>AuCu</x:v>
      </x:c>
      <x:c r="R5" s="20" t="str">
        <x:v>standard_atomic_product</x:v>
      </x:c>
      <x:c r="S5" s="20" t="str">
        <x:v>dispersed</x:v>
      </x:c>
      <x:c r="T5" s="20" t="str">
        <x:v>Cu-doped variant; metal composition must be explicit.</x:v>
      </x:c>
      <x:c r="U5" s="20" t="str">
        <x:v>none_or_not_encoded</x:v>
      </x:c>
    </x:row>
    <x:row r="6" ht="19" customHeight="1">
      <x:c r="A6" s="20" t="str">
        <x:v>R026</x:v>
      </x:c>
      <x:c r="B6" s="20" t="str">
        <x:v>W03</x:v>
      </x:c>
      <x:c r="C6" s="20" t="str">
        <x:v>CCYLQLQAEER</x:v>
      </x:c>
      <x:c r="D6" s="20" t="str">
        <x:v>atomically_precise_AuNC</x:v>
      </x:c>
      <x:c r="E6" s="20" t="str">
        <x:v>TRAIN_CORE</x:v>
      </x:c>
      <x:c r="F6" s="20" t="n">
        <x:v>21</x:v>
      </x:c>
      <x:c r="G6" s="20" t="n">
        <x:v>2</x:v>
      </x:c>
      <x:c r="H6" s="20"/>
      <x:c r="I6" s="20" t="n">
        <x:v>11.5</x:v>
      </x:c>
      <x:c r="J6" s="20" t="n">
        <x:v>25</x:v>
      </x:c>
      <x:c r="K6" s="20" t="n">
        <x:v>18</x:v>
      </x:c>
      <x:c r="L6" s="20" t="n">
        <x:v>640</x:v>
      </x:c>
      <x:c r="M6" s="20" t="n">
        <x:v>2.86</x:v>
      </x:c>
      <x:c r="N6" s="20" t="str">
        <x:v>W03</x:v>
      </x:c>
      <x:c r="O6" s="20" t="str">
        <x:v>CCYJNP5_FAMILY</x:v>
      </x:c>
      <x:c r="P6" s="20" t="str">
        <x:v>nuclearity,size,emission,QY</x:v>
      </x:c>
      <x:c r="Q6" s="20" t="str">
        <x:v>pure_Au</x:v>
      </x:c>
      <x:c r="R6" s="20" t="str">
        <x:v>standard_product</x:v>
      </x:c>
      <x:c r="S6" s="20" t="str">
        <x:v>dispersed</x:v>
      </x:c>
      <x:c r="T6" s="20" t="str">
        <x:v>High-value atomic record; entire paper is one validation group.</x:v>
      </x:c>
      <x:c r="U6" s="20" t="str">
        <x:v>none_or_not_encoded</x:v>
      </x:c>
    </x:row>
    <x:row r="7" ht="19" customHeight="1">
      <x:c r="A7" s="20" t="str">
        <x:v>R028</x:v>
      </x:c>
      <x:c r="B7" s="20" t="str">
        <x:v>W05</x:v>
      </x:c>
      <x:c r="C7" s="20" t="str">
        <x:v>CCYGGPKKKRKPG</x:v>
      </x:c>
      <x:c r="D7" s="20" t="str">
        <x:v>atomically_precise_AuNC</x:v>
      </x:c>
      <x:c r="E7" s="20" t="str">
        <x:v>TRAIN_STRUCTURE_ONLY</x:v>
      </x:c>
      <x:c r="F7" s="20" t="n">
        <x:v>25</x:v>
      </x:c>
      <x:c r="G7" s="20"/>
      <x:c r="H7" s="20"/>
      <x:c r="I7" s="20" t="n">
        <x:v>10</x:v>
      </x:c>
      <x:c r="J7" s="20"/>
      <x:c r="K7" s="20" t="n">
        <x:v>15</x:v>
      </x:c>
      <x:c r="L7" s="20" t="n">
        <x:v>645</x:v>
      </x:c>
      <x:c r="M7" s="20"/>
      <x:c r="N7" s="20" t="str">
        <x:v>W05</x:v>
      </x:c>
      <x:c r="O7" s="20" t="str">
        <x:v>SV_POLYBASIC_FAMILY</x:v>
      </x:c>
      <x:c r="P7" s="20" t="str">
        <x:v>nuclearity,emission</x:v>
      </x:c>
      <x:c r="Q7" s="20" t="str">
        <x:v>pure_Au</x:v>
      </x:c>
      <x:c r="R7" s="20" t="str">
        <x:v>standard_product</x:v>
      </x:c>
      <x:c r="S7" s="20" t="str">
        <x:v>dispersed</x:v>
      </x:c>
      <x:c r="T7" s="20" t="str">
        <x:v>Synthesis quantities incomplete; no condition-model use.</x:v>
      </x:c>
      <x:c r="U7" s="20" t="str">
        <x:v>none_or_not_encoded</x:v>
      </x:c>
    </x:row>
    <x:row r="8" ht="19" customHeight="1">
      <x:c r="A8" s="20" t="str">
        <x:v>R029</x:v>
      </x:c>
      <x:c r="B8" s="20" t="str">
        <x:v>W06</x:v>
      </x:c>
      <x:c r="C8" s="20" t="str">
        <x:v>DGEAGC</x:v>
      </x:c>
      <x:c r="D8" s="20" t="str">
        <x:v>ultrasmall_AuNC_unknown_nuclearity</x:v>
      </x:c>
      <x:c r="E8" s="20" t="str">
        <x:v>TRAIN_OPTICAL_SIZE</x:v>
      </x:c>
      <x:c r="F8" s="20"/>
      <x:c r="G8" s="20" t="n">
        <x:v>1.3</x:v>
      </x:c>
      <x:c r="H8" s="20"/>
      <x:c r="I8" s="20"/>
      <x:c r="J8" s="20" t="n">
        <x:v>70</x:v>
      </x:c>
      <x:c r="K8" s="20" t="n">
        <x:v>2</x:v>
      </x:c>
      <x:c r="L8" s="20" t="n">
        <x:v>600</x:v>
      </x:c>
      <x:c r="M8" s="20"/>
      <x:c r="N8" s="20" t="str">
        <x:v>W06</x:v>
      </x:c>
      <x:c r="O8" s="20" t="str">
        <x:v>DGEAGC_FAMILY</x:v>
      </x:c>
      <x:c r="P8" s="20" t="str">
        <x:v>size,emission</x:v>
      </x:c>
      <x:c r="Q8" s="20" t="str">
        <x:v>pure_Au</x:v>
      </x:c>
      <x:c r="R8" s="20" t="str">
        <x:v>standard_product</x:v>
      </x:c>
      <x:c r="S8" s="20" t="str">
        <x:v>dispersed</x:v>
      </x:c>
      <x:c r="T8" s="20" t="str">
        <x:v>Methods sequence used; article typo retained in QC.</x:v>
      </x:c>
      <x:c r="U8" s="20" t="str">
        <x:v>none_or_not_encoded</x:v>
      </x:c>
    </x:row>
    <x:row r="9" ht="19" customHeight="1">
      <x:c r="A9" s="20" t="str">
        <x:v>R034</x:v>
      </x:c>
      <x:c r="B9" s="20" t="str">
        <x:v>W17</x:v>
      </x:c>
      <x:c r="C9" s="20" t="str">
        <x:v>YCY</x:v>
      </x:c>
      <x:c r="D9" s="20" t="str">
        <x:v>ultrasmall_AuNC_unknown_nuclearity</x:v>
      </x:c>
      <x:c r="E9" s="20" t="str">
        <x:v>TRAIN_OPTICAL_SIZE</x:v>
      </x:c>
      <x:c r="F9" s="20"/>
      <x:c r="G9" s="20" t="n">
        <x:v>1.8</x:v>
      </x:c>
      <x:c r="H9" s="20"/>
      <x:c r="I9" s="20" t="n">
        <x:v>10</x:v>
      </x:c>
      <x:c r="J9" s="20" t="n">
        <x:v>70</x:v>
      </x:c>
      <x:c r="K9" s="20" t="n">
        <x:v>8.25</x:v>
      </x:c>
      <x:c r="L9" s="20" t="n">
        <x:v>415</x:v>
      </x:c>
      <x:c r="M9" s="20" t="n">
        <x:v>1.2</x:v>
      </x:c>
      <x:c r="N9" s="20" t="str">
        <x:v>W17</x:v>
      </x:c>
      <x:c r="O9" s="20" t="str">
        <x:v>TRIPEPTIDE_YCY_SCY</x:v>
      </x:c>
      <x:c r="P9" s="20" t="str">
        <x:v>size,emission,QY</x:v>
      </x:c>
      <x:c r="Q9" s="20" t="str">
        <x:v>pure_Au</x:v>
      </x:c>
      <x:c r="R9" s="20" t="str">
        <x:v>supernatant_blue_fraction</x:v>
      </x:c>
      <x:c r="S9" s="20" t="str">
        <x:v>fractionated</x:v>
      </x:c>
      <x:c r="T9" s="20" t="str">
        <x:v>Same paper/batch family as R035-R036.</x:v>
      </x:c>
      <x:c r="U9" s="20" t="str">
        <x:v>none_or_not_encoded</x:v>
      </x:c>
    </x:row>
    <x:row r="10" ht="19" customHeight="1">
      <x:c r="A10" s="20" t="str">
        <x:v>R035</x:v>
      </x:c>
      <x:c r="B10" s="20" t="str">
        <x:v>W17</x:v>
      </x:c>
      <x:c r="C10" s="20" t="str">
        <x:v>SCY</x:v>
      </x:c>
      <x:c r="D10" s="20" t="str">
        <x:v>ultrasmall_AuNC_unknown_nuclearity</x:v>
      </x:c>
      <x:c r="E10" s="20" t="str">
        <x:v>TRAIN_OPTICAL_SIZE</x:v>
      </x:c>
      <x:c r="F10" s="20"/>
      <x:c r="G10" s="20" t="n">
        <x:v>1.7</x:v>
      </x:c>
      <x:c r="H10" s="20"/>
      <x:c r="I10" s="20" t="n">
        <x:v>10</x:v>
      </x:c>
      <x:c r="J10" s="20" t="n">
        <x:v>70</x:v>
      </x:c>
      <x:c r="K10" s="20" t="n">
        <x:v>8.25</x:v>
      </x:c>
      <x:c r="L10" s="20" t="n">
        <x:v>415</x:v>
      </x:c>
      <x:c r="M10" s="20" t="n">
        <x:v>1.5</x:v>
      </x:c>
      <x:c r="N10" s="20" t="str">
        <x:v>W17</x:v>
      </x:c>
      <x:c r="O10" s="20" t="str">
        <x:v>TRIPEPTIDE_YCY_SCY</x:v>
      </x:c>
      <x:c r="P10" s="20" t="str">
        <x:v>size,emission,QY</x:v>
      </x:c>
      <x:c r="Q10" s="20" t="str">
        <x:v>pure_Au</x:v>
      </x:c>
      <x:c r="R10" s="20" t="str">
        <x:v>supernatant_blue_fraction</x:v>
      </x:c>
      <x:c r="S10" s="20" t="str">
        <x:v>fractionated</x:v>
      </x:c>
      <x:c r="T10" s="20" t="str">
        <x:v>Near-neighbor sequence to YCY; cluster together.</x:v>
      </x:c>
      <x:c r="U10" s="20" t="str">
        <x:v>none_or_not_encoded</x:v>
      </x:c>
    </x:row>
    <x:row r="11" ht="19" customHeight="1">
      <x:c r="A11" s="20" t="str">
        <x:v>R036</x:v>
      </x:c>
      <x:c r="B11" s="20" t="str">
        <x:v>W17</x:v>
      </x:c>
      <x:c r="C11" s="20" t="str">
        <x:v>YCY</x:v>
      </x:c>
      <x:c r="D11" s="20" t="str">
        <x:v>ultrasmall_AuNC_unknown_nuclearity</x:v>
      </x:c>
      <x:c r="E11" s="20" t="str">
        <x:v>TRAIN_OPTICAL_SIZE</x:v>
      </x:c>
      <x:c r="F11" s="20"/>
      <x:c r="G11" s="20" t="n">
        <x:v>1.8</x:v>
      </x:c>
      <x:c r="H11" s="20"/>
      <x:c r="I11" s="20" t="n">
        <x:v>10</x:v>
      </x:c>
      <x:c r="J11" s="20" t="n">
        <x:v>70</x:v>
      </x:c>
      <x:c r="K11" s="20" t="n">
        <x:v>8.25</x:v>
      </x:c>
      <x:c r="L11" s="20" t="n">
        <x:v>670</x:v>
      </x:c>
      <x:c r="M11" s="20" t="n">
        <x:v>0.8</x:v>
      </x:c>
      <x:c r="N11" s="20" t="str">
        <x:v>W17</x:v>
      </x:c>
      <x:c r="O11" s="20" t="str">
        <x:v>TRIPEPTIDE_YCY_SCY</x:v>
      </x:c>
      <x:c r="P11" s="20" t="str">
        <x:v>size,emission,QY</x:v>
      </x:c>
      <x:c r="Q11" s="20" t="str">
        <x:v>pure_Au</x:v>
      </x:c>
      <x:c r="R11" s="20" t="str">
        <x:v>precipitate_red_fraction_recovered</x:v>
      </x:c>
      <x:c r="S11" s="20" t="str">
        <x:v>fractionated</x:v>
      </x:c>
      <x:c r="T11" s="20" t="str">
        <x:v>Same sequence as R034 but different isolated fraction; never random-split.</x:v>
      </x:c>
      <x:c r="U11" s="20" t="str">
        <x:v>none_or_not_encoded</x:v>
      </x:c>
    </x:row>
    <x:row r="12" ht="19" customHeight="1">
      <x:c r="A12" s="20" t="str">
        <x:v>R037</x:v>
      </x:c>
      <x:c r="B12" s="20" t="str">
        <x:v>W15</x:v>
      </x:c>
      <x:c r="C12" s="20" t="str">
        <x:v>CCYLRRASLG</x:v>
      </x:c>
      <x:c r="D12" s="20" t="str">
        <x:v>ultrasmall_AuNC_unknown_nuclearity</x:v>
      </x:c>
      <x:c r="E12" s="20" t="str">
        <x:v>TRAIN_OPTICAL_QY</x:v>
      </x:c>
      <x:c r="F12" s="20"/>
      <x:c r="G12" s="20"/>
      <x:c r="H12" s="20"/>
      <x:c r="I12" s="20" t="n">
        <x:v>9</x:v>
      </x:c>
      <x:c r="J12" s="20"/>
      <x:c r="K12" s="20" t="n">
        <x:v>13</x:v>
      </x:c>
      <x:c r="L12" s="20"/>
      <x:c r="M12" s="20" t="n">
        <x:v>14.6</x:v>
      </x:c>
      <x:c r="N12" s="20" t="str">
        <x:v>W15</x:v>
      </x:c>
      <x:c r="O12" s="20" t="str">
        <x:v>CCY_PKA_SUBSTRATE</x:v>
      </x:c>
      <x:c r="P12" s="20" t="str">
        <x:v>QY</x:v>
      </x:c>
      <x:c r="Q12" s="20" t="str">
        <x:v>pure_Au</x:v>
      </x:c>
      <x:c r="R12" s="20" t="str">
        <x:v>standard_product</x:v>
      </x:c>
      <x:c r="S12" s="20" t="str">
        <x:v>dispersed</x:v>
      </x:c>
      <x:c r="T12" s="20" t="str">
        <x:v>QY/synthesis SI-grounded; emission withheld pending reconciliation.</x:v>
      </x:c>
      <x:c r="U12" s="20" t="str">
        <x:v>none_or_not_encoded</x:v>
      </x:c>
    </x:row>
    <x:row r="13" ht="19" customHeight="1">
      <x:c r="A13" s="20" t="str">
        <x:v>R047</x:v>
      </x:c>
      <x:c r="B13" s="20" t="str">
        <x:v>W20</x:v>
      </x:c>
      <x:c r="C13" s="20" t="str">
        <x:v>ECE</x:v>
      </x:c>
      <x:c r="D13" s="20" t="str">
        <x:v>ultrasmall_AuNC_unknown_nuclearity</x:v>
      </x:c>
      <x:c r="E13" s="20" t="str">
        <x:v>TRAIN_OPTICAL_QY</x:v>
      </x:c>
      <x:c r="F13" s="20"/>
      <x:c r="G13" s="20"/>
      <x:c r="H13" s="20"/>
      <x:c r="I13" s="20"/>
      <x:c r="J13" s="20" t="n">
        <x:v>70</x:v>
      </x:c>
      <x:c r="K13" s="20" t="n">
        <x:v>8.25</x:v>
      </x:c>
      <x:c r="L13" s="20"/>
      <x:c r="M13" s="20" t="n">
        <x:v>7</x:v>
      </x:c>
      <x:c r="N13" s="20" t="str">
        <x:v>W20</x:v>
      </x:c>
      <x:c r="O13" s="20" t="str">
        <x:v>W20_ACIDIC_BASIC_PANEL</x:v>
      </x:c>
      <x:c r="P13" s="20" t="str">
        <x:v>QY</x:v>
      </x:c>
      <x:c r="Q13" s="20" t="str">
        <x:v>pure_Au</x:v>
      </x:c>
      <x:c r="R13" s="20" t="str">
        <x:v>standard_product</x:v>
      </x:c>
      <x:c r="S13" s="20" t="str">
        <x:v>dispersed</x:v>
      </x:c>
      <x:c r="T13" s="20" t="str">
        <x:v>Keep entire five-peptide panel in one paper group.</x:v>
      </x:c>
      <x:c r="U13" s="20" t="str">
        <x:v>none_or_not_encoded</x:v>
      </x:c>
    </x:row>
    <x:row r="14" ht="19" customHeight="1">
      <x:c r="A14" s="20" t="str">
        <x:v>R048</x:v>
      </x:c>
      <x:c r="B14" s="20" t="str">
        <x:v>W20</x:v>
      </x:c>
      <x:c r="C14" s="20" t="str">
        <x:v>EECEE</x:v>
      </x:c>
      <x:c r="D14" s="20" t="str">
        <x:v>ultrasmall_AuNC_unknown_nuclearity</x:v>
      </x:c>
      <x:c r="E14" s="20" t="str">
        <x:v>TRAIN_OPTICAL_SIZE_QY</x:v>
      </x:c>
      <x:c r="F14" s="20"/>
      <x:c r="G14" s="20" t="n">
        <x:v>0.9</x:v>
      </x:c>
      <x:c r="H14" s="20" t="n">
        <x:v>1.1</x:v>
      </x:c>
      <x:c r="I14" s="20"/>
      <x:c r="J14" s="20" t="n">
        <x:v>70</x:v>
      </x:c>
      <x:c r="K14" s="20" t="n">
        <x:v>8.25</x:v>
      </x:c>
      <x:c r="L14" s="20" t="n">
        <x:v>740</x:v>
      </x:c>
      <x:c r="M14" s="20" t="n">
        <x:v>14</x:v>
      </x:c>
      <x:c r="N14" s="20" t="str">
        <x:v>W20</x:v>
      </x:c>
      <x:c r="O14" s="20" t="str">
        <x:v>W20_ACIDIC_BASIC_PANEL</x:v>
      </x:c>
      <x:c r="P14" s="20" t="str">
        <x:v>size,emission,QY</x:v>
      </x:c>
      <x:c r="Q14" s="20" t="str">
        <x:v>pure_Au</x:v>
      </x:c>
      <x:c r="R14" s="20" t="str">
        <x:v>standard_product</x:v>
      </x:c>
      <x:c r="S14" s="20" t="str">
        <x:v>dispersed</x:v>
      </x:c>
      <x:c r="T14" s="20" t="str">
        <x:v>MALDI Au25-like composition is not exact kernel proof.</x:v>
      </x:c>
      <x:c r="U14" s="20" t="str">
        <x:v>none_or_not_encoded</x:v>
      </x:c>
    </x:row>
    <x:row r="15" ht="19" customHeight="1">
      <x:c r="A15" s="20" t="str">
        <x:v>R049</x:v>
      </x:c>
      <x:c r="B15" s="20" t="str">
        <x:v>W20</x:v>
      </x:c>
      <x:c r="C15" s="20" t="str">
        <x:v>EEECEEE</x:v>
      </x:c>
      <x:c r="D15" s="20" t="str">
        <x:v>ultrasmall_AuNC_unknown_nuclearity</x:v>
      </x:c>
      <x:c r="E15" s="20" t="str">
        <x:v>TRAIN_OPTICAL_QY</x:v>
      </x:c>
      <x:c r="F15" s="20"/>
      <x:c r="G15" s="20"/>
      <x:c r="H15" s="20"/>
      <x:c r="I15" s="20"/>
      <x:c r="J15" s="20" t="n">
        <x:v>70</x:v>
      </x:c>
      <x:c r="K15" s="20" t="n">
        <x:v>8.25</x:v>
      </x:c>
      <x:c r="L15" s="20"/>
      <x:c r="M15" s="20" t="n">
        <x:v>7</x:v>
      </x:c>
      <x:c r="N15" s="20" t="str">
        <x:v>W20</x:v>
      </x:c>
      <x:c r="O15" s="20" t="str">
        <x:v>W20_ACIDIC_BASIC_PANEL</x:v>
      </x:c>
      <x:c r="P15" s="20" t="str">
        <x:v>QY</x:v>
      </x:c>
      <x:c r="Q15" s="20" t="str">
        <x:v>pure_Au</x:v>
      </x:c>
      <x:c r="R15" s="20" t="str">
        <x:v>standard_product</x:v>
      </x:c>
      <x:c r="S15" s="20" t="str">
        <x:v>dispersed</x:v>
      </x:c>
      <x:c r="T15" s="20" t="str">
        <x:v>Same-paper panel.</x:v>
      </x:c>
      <x:c r="U15" s="20" t="str">
        <x:v>none_or_not_encoded</x:v>
      </x:c>
    </x:row>
    <x:row r="16" ht="19" customHeight="1">
      <x:c r="A16" s="20" t="str">
        <x:v>R050</x:v>
      </x:c>
      <x:c r="B16" s="20" t="str">
        <x:v>W20</x:v>
      </x:c>
      <x:c r="C16" s="20" t="str">
        <x:v>GGCGG</x:v>
      </x:c>
      <x:c r="D16" s="20" t="str">
        <x:v>ultrasmall_AuNC_unknown_nuclearity</x:v>
      </x:c>
      <x:c r="E16" s="20" t="str">
        <x:v>TRAIN_OPTICAL_QY</x:v>
      </x:c>
      <x:c r="F16" s="20"/>
      <x:c r="G16" s="20"/>
      <x:c r="H16" s="20"/>
      <x:c r="I16" s="20"/>
      <x:c r="J16" s="20" t="n">
        <x:v>70</x:v>
      </x:c>
      <x:c r="K16" s="20" t="n">
        <x:v>8.25</x:v>
      </x:c>
      <x:c r="L16" s="20"/>
      <x:c r="M16" s="20" t="n">
        <x:v>5.6</x:v>
      </x:c>
      <x:c r="N16" s="20" t="str">
        <x:v>W20</x:v>
      </x:c>
      <x:c r="O16" s="20" t="str">
        <x:v>W20_ACIDIC_BASIC_PANEL</x:v>
      </x:c>
      <x:c r="P16" s="20" t="str">
        <x:v>QY</x:v>
      </x:c>
      <x:c r="Q16" s="20" t="str">
        <x:v>pure_Au</x:v>
      </x:c>
      <x:c r="R16" s="20" t="str">
        <x:v>standard_product</x:v>
      </x:c>
      <x:c r="S16" s="20" t="str">
        <x:v>dispersed</x:v>
      </x:c>
      <x:c r="T16" s="20" t="str">
        <x:v>Same-paper panel.</x:v>
      </x:c>
      <x:c r="U16" s="20" t="str">
        <x:v>none_or_not_encoded</x:v>
      </x:c>
    </x:row>
    <x:row r="17" ht="19" customHeight="1">
      <x:c r="A17" s="20" t="str">
        <x:v>R051</x:v>
      </x:c>
      <x:c r="B17" s="20" t="str">
        <x:v>W20</x:v>
      </x:c>
      <x:c r="C17" s="20" t="str">
        <x:v>RRCRR</x:v>
      </x:c>
      <x:c r="D17" s="20" t="str">
        <x:v>ultrasmall_AuNC_unknown_nuclearity</x:v>
      </x:c>
      <x:c r="E17" s="20" t="str">
        <x:v>TRAIN_OPTICAL_QY</x:v>
      </x:c>
      <x:c r="F17" s="20"/>
      <x:c r="G17" s="20"/>
      <x:c r="H17" s="20"/>
      <x:c r="I17" s="20"/>
      <x:c r="J17" s="20" t="n">
        <x:v>70</x:v>
      </x:c>
      <x:c r="K17" s="20" t="n">
        <x:v>8.25</x:v>
      </x:c>
      <x:c r="L17" s="20"/>
      <x:c r="M17" s="20" t="n">
        <x:v>1.8</x:v>
      </x:c>
      <x:c r="N17" s="20" t="str">
        <x:v>W20</x:v>
      </x:c>
      <x:c r="O17" s="20" t="str">
        <x:v>W20_ACIDIC_BASIC_PANEL</x:v>
      </x:c>
      <x:c r="P17" s="20" t="str">
        <x:v>QY</x:v>
      </x:c>
      <x:c r="Q17" s="20" t="str">
        <x:v>pure_Au</x:v>
      </x:c>
      <x:c r="R17" s="20" t="str">
        <x:v>standard_product</x:v>
      </x:c>
      <x:c r="S17" s="20" t="str">
        <x:v>dispersed</x:v>
      </x:c>
      <x:c r="T17" s="20" t="str">
        <x:v>Strong charge contrast vs acidic peptides.</x:v>
      </x:c>
      <x:c r="U17" s="20" t="str">
        <x:v>none_or_not_encoded</x:v>
      </x:c>
    </x:row>
    <x:row r="18" ht="19" customHeight="1">
      <x:c r="A18" s="20" t="str">
        <x:v>R052</x:v>
      </x:c>
      <x:c r="B18" s="20" t="str">
        <x:v>W21</x:v>
      </x:c>
      <x:c r="C18" s="20" t="str">
        <x:v>CCYEAAAKEAAAKEAAAK</x:v>
      </x:c>
      <x:c r="D18" s="20" t="str">
        <x:v>ultrasmall_AuNC_unknown_nuclearity</x:v>
      </x:c>
      <x:c r="E18" s="20" t="str">
        <x:v>TRAIN_OPTICAL_SIZE</x:v>
      </x:c>
      <x:c r="F18" s="20"/>
      <x:c r="G18" s="20" t="n">
        <x:v>1.1</x:v>
      </x:c>
      <x:c r="H18" s="20" t="n">
        <x:v>3</x:v>
      </x:c>
      <x:c r="I18" s="20" t="n">
        <x:v>13</x:v>
      </x:c>
      <x:c r="J18" s="20"/>
      <x:c r="K18" s="20" t="n">
        <x:v>12</x:v>
      </x:c>
      <x:c r="L18" s="20" t="n">
        <x:v>660</x:v>
      </x:c>
      <x:c r="M18" s="20"/>
      <x:c r="N18" s="20" t="str">
        <x:v>W21</x:v>
      </x:c>
      <x:c r="O18" s="20" t="str">
        <x:v>CCY_EAAAK_FAMILY</x:v>
      </x:c>
      <x:c r="P18" s="20" t="str">
        <x:v>size,emission</x:v>
      </x:c>
      <x:c r="Q18" s="20" t="str">
        <x:v>pure_Au</x:v>
      </x:c>
      <x:c r="R18" s="20" t="str">
        <x:v>standard_product</x:v>
      </x:c>
      <x:c r="S18" s="20" t="str">
        <x:v>dispersed</x:v>
      </x:c>
      <x:c r="T18" s="20" t="str">
        <x:v>Temperature missing in primary text; left missing.</x:v>
      </x:c>
      <x:c r="U18" s="20" t="str">
        <x:v>none_or_not_encoded</x:v>
      </x:c>
    </x:row>
    <x:row r="19" ht="19" customHeight="1">
      <x:c r="A19" s="20" t="str">
        <x:v>R053</x:v>
      </x:c>
      <x:c r="B19" s="20" t="str">
        <x:v>W22</x:v>
      </x:c>
      <x:c r="C19" s="20" t="str">
        <x:v>RGDAEAKAEAKCCYYCCAEAKAEAKRGD</x:v>
      </x:c>
      <x:c r="D19" s="20" t="str">
        <x:v>ultrasmall_AuNC_unknown_nuclearity</x:v>
      </x:c>
      <x:c r="E19" s="20" t="str">
        <x:v>TRAIN_THERANOSTIC_OPTICAL</x:v>
      </x:c>
      <x:c r="F19" s="20"/>
      <x:c r="G19" s="20" t="n">
        <x:v>1.8</x:v>
      </x:c>
      <x:c r="H19" s="20"/>
      <x:c r="I19" s="20"/>
      <x:c r="J19" s="20"/>
      <x:c r="K19" s="20"/>
      <x:c r="L19" s="20" t="n">
        <x:v>660</x:v>
      </x:c>
      <x:c r="M19" s="20" t="n">
        <x:v>21.3</x:v>
      </x:c>
      <x:c r="N19" s="20" t="str">
        <x:v>W22</x:v>
      </x:c>
      <x:c r="O19" s="20" t="str">
        <x:v>PNF_CCYYCC_FAMILY</x:v>
      </x:c>
      <x:c r="P19" s="20" t="str">
        <x:v>size,emission,QY</x:v>
      </x:c>
      <x:c r="Q19" s="20" t="str">
        <x:v>pure_Au</x:v>
      </x:c>
      <x:c r="R19" s="20" t="str">
        <x:v>self_assembled_nanofiber</x:v>
      </x:c>
      <x:c r="S19" s="20" t="str">
        <x:v>assembled</x:v>
      </x:c>
      <x:c r="T19" s="20" t="str">
        <x:v>QY belongs to assembled PNF-AuNC, so assembly-state must be a feature.</x:v>
      </x:c>
      <x:c r="U19" s="20" t="str">
        <x:v>none_or_not_encoded</x:v>
      </x:c>
    </x:row>
    <x:row r="20" ht="19" customHeight="1">
      <x:c r="A20" s="20" t="str">
        <x:v>R055</x:v>
      </x:c>
      <x:c r="B20" s="20" t="str">
        <x:v>W18</x:v>
      </x:c>
      <x:c r="C20" s="20" t="str">
        <x:v>CCIHK</x:v>
      </x:c>
      <x:c r="D20" s="20" t="str">
        <x:v>atomically_precise_AuNC</x:v>
      </x:c>
      <x:c r="E20" s="20" t="str">
        <x:v>TRAIN_CORE</x:v>
      </x:c>
      <x:c r="F20" s="20" t="n">
        <x:v>8</x:v>
      </x:c>
      <x:c r="G20" s="20" t="n">
        <x:v>1.1</x:v>
      </x:c>
      <x:c r="H20" s="20"/>
      <x:c r="I20" s="20" t="n">
        <x:v>8</x:v>
      </x:c>
      <x:c r="J20" s="20"/>
      <x:c r="K20" s="20" t="n">
        <x:v>0.333</x:v>
      </x:c>
      <x:c r="L20" s="20"/>
      <x:c r="M20" s="20" t="n">
        <x:v>21.7</x:v>
      </x:c>
      <x:c r="N20" s="20" t="str">
        <x:v>W18</x:v>
      </x:c>
      <x:c r="O20" s="20" t="str">
        <x:v>W18_PTM_AU8</x:v>
      </x:c>
      <x:c r="P20" s="20" t="str">
        <x:v>nuclearity,size,QY</x:v>
      </x:c>
      <x:c r="Q20" s="20" t="str">
        <x:v>pure_Au</x:v>
      </x:c>
      <x:c r="R20" s="20" t="str">
        <x:v>standard_product</x:v>
      </x:c>
      <x:c r="S20" s="20" t="str">
        <x:v>dispersed</x:v>
      </x:c>
      <x:c r="T20" s="20" t="str">
        <x:v>Exact Au8(peptide)2(MPA)2 primary/SI record; Lys is acetylated and must be encoded explicitly.</x:v>
      </x:c>
      <x:c r="U20" s="20" t="str">
        <x:v>lys_acetylated</x:v>
      </x:c>
    </x:row>
    <x:row r="21" ht="19" customHeight="1">
      <x:c r="A21" s="20" t="str">
        <x:v>R057</x:v>
      </x:c>
      <x:c r="B21" s="20" t="str">
        <x:v>W18</x:v>
      </x:c>
      <x:c r="C21" s="20" t="str">
        <x:v>CCLRRASLG</x:v>
      </x:c>
      <x:c r="D21" s="20" t="str">
        <x:v>ultrasmall_AuNC_unknown_nuclearity</x:v>
      </x:c>
      <x:c r="E21" s="20" t="str">
        <x:v>TRAIN_OPTICAL</x:v>
      </x:c>
      <x:c r="F21" s="20"/>
      <x:c r="G21" s="20"/>
      <x:c r="H21" s="20"/>
      <x:c r="I21" s="20" t="n">
        <x:v>8</x:v>
      </x:c>
      <x:c r="J21" s="20"/>
      <x:c r="K21" s="20" t="n">
        <x:v>0.333</x:v>
      </x:c>
      <x:c r="L21" s="20" t="n">
        <x:v>450</x:v>
      </x:c>
      <x:c r="M21" s="20"/>
      <x:c r="N21" s="20" t="str">
        <x:v>W18</x:v>
      </x:c>
      <x:c r="O21" s="20" t="str">
        <x:v>W18_PTM_PANEL</x:v>
      </x:c>
      <x:c r="P21" s="20" t="str">
        <x:v>emission</x:v>
      </x:c>
      <x:c r="Q21" s="20" t="str">
        <x:v>pure_Au</x:v>
      </x:c>
      <x:c r="R21" s="20" t="str">
        <x:v>standard_product</x:v>
      </x:c>
      <x:c r="S21" s="20" t="str">
        <x:v>dispersed</x:v>
      </x:c>
      <x:c r="T21" s="20" t="str">
        <x:v>Same W18 paper group as R055; do not split same-paper examples across train/test.</x:v>
      </x:c>
      <x:c r="U21" s="20" t="str">
        <x:v>none</x:v>
      </x:c>
    </x:row>
    <x:row r="22" ht="19" customHeight="1">
      <x:c r="A22" s="20" t="str">
        <x:v>R058</x:v>
      </x:c>
      <x:c r="B22" s="20" t="str">
        <x:v>W24</x:v>
      </x:c>
      <x:c r="C22" s="20" t="str">
        <x:v>CGRPGRPGRP</x:v>
      </x:c>
      <x:c r="D22" s="20" t="str">
        <x:v>atomically_precise_AuNC</x:v>
      </x:c>
      <x:c r="E22" s="20" t="str">
        <x:v>TRAIN_CORE_STRUCTURE_OPTICAL</x:v>
      </x:c>
      <x:c r="F22" s="20" t="n">
        <x:v>16</x:v>
      </x:c>
      <x:c r="G22" s="20" t="n">
        <x:v>0.74</x:v>
      </x:c>
      <x:c r="H22" s="20"/>
      <x:c r="I22" s="20"/>
      <x:c r="J22" s="20"/>
      <x:c r="K22" s="20"/>
      <x:c r="L22" s="20" t="n">
        <x:v>680</x:v>
      </x:c>
      <x:c r="M22" s="20"/>
      <x:c r="N22" s="20" t="str">
        <x:v>W24</x:v>
      </x:c>
      <x:c r="O22" s="20" t="str">
        <x:v>DESIGNER_CGRP3</x:v>
      </x:c>
      <x:c r="P22" s="20" t="str">
        <x:v>nuclearity,size,emission</x:v>
      </x:c>
      <x:c r="Q22" s="20" t="str">
        <x:v>pure_Au</x:v>
      </x:c>
      <x:c r="R22" s="20" t="str">
        <x:v>standard_product</x:v>
      </x:c>
      <x:c r="S22" s="20" t="str">
        <x:v>dispersed</x:v>
      </x:c>
      <x:c r="T22" s="20" t="str">
        <x:v>Atomic Au16 record. Core diameter 0.74 nm is derived from primary SAXS radius 3.7 Å; synthesis quantities await ESI.</x:v>
      </x:c>
      <x:c r="U22" s="20" t="str">
        <x:v>none</x:v>
      </x:c>
    </x:row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  <x:row r="101" ht="19" customHeight="1"/>
    <x:row r="102" ht="19" customHeight="1"/>
    <x:row r="103" ht="19" customHeight="1"/>
    <x:row r="104" ht="19" customHeight="1"/>
    <x:row r="105" ht="19" customHeight="1"/>
    <x:row r="106" ht="19" customHeight="1"/>
    <x:row r="107" ht="19" customHeight="1"/>
    <x:row r="108" ht="19" customHeight="1"/>
    <x:row r="109" ht="19" customHeight="1"/>
    <x:row r="110" ht="19" customHeight="1"/>
    <x:row r="111" ht="19" customHeight="1"/>
    <x:row r="112" ht="19" customHeight="1"/>
    <x:row r="113" ht="19" customHeight="1"/>
    <x:row r="114" ht="19" customHeight="1"/>
    <x:row r="115" ht="19" customHeight="1"/>
    <x:row r="116" ht="19" customHeight="1"/>
    <x:row r="117" ht="19" customHeight="1"/>
    <x:row r="118" ht="19" customHeight="1"/>
    <x:row r="119" ht="19" customHeight="1"/>
    <x:row r="120" ht="19" customHeight="1"/>
  </x:sheetData>
  <x:pageMargins left="0.7" right="0.7" top="0.75" bottom="0.75" header="0.3" footer="0.3"/>
  <x:tableParts count="1">
    <x:tablePart xmlns:r="http://schemas.openxmlformats.org/officeDocument/2006/relationships" r:id="Raa13546fb2e14410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42" hidden="0" customWidth="1"/>
    <x:col min="4" max="4" width="18" hidden="0" customWidth="1"/>
    <x:col min="5" max="5" width="20" hidden="0" customWidth="1"/>
    <x:col min="6" max="6" width="36" hidden="0" customWidth="1"/>
    <x:col min="7" max="7" width="42" hidden="0" customWidth="1"/>
    <x:col min="8" max="8" width="30" hidden="0" customWidth="1"/>
    <x:col min="9" max="9" width="24" hidden="0" customWidth="1"/>
    <x:col min="10" max="10" width="42" hidden="0" customWidth="1"/>
    <x:col min="11" max="11" width="60" hidden="0" customWidth="1"/>
  </x:cols>
  <x:sheetData>
    <x:row r="1" ht="30" customHeight="1">
      <x:c r="A1" s="57" t="str">
        <x:v>Explicit AuNC Formation Positives and Matched Failures — v0.5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</x:row>
    <x:row r="2" ht="19" customHeight="1"/>
    <x:row r="3" ht="34" customHeight="1">
      <x:c r="A3" s="62" t="str">
        <x:v>Control_ID</x:v>
      </x:c>
      <x:c r="B3" s="62" t="str">
        <x:v>Source_ID</x:v>
      </x:c>
      <x:c r="C3" s="62" t="str">
        <x:v>Sequence</x:v>
      </x:c>
      <x:c r="D3" s="62" t="str">
        <x:v>Outcome</x:v>
      </x:c>
      <x:c r="E3" s="62" t="str">
        <x:v>Fluorescence</x:v>
      </x:c>
      <x:c r="F3" s="62" t="str">
        <x:v>Material_Observed</x:v>
      </x:c>
      <x:c r="G3" s="62" t="str">
        <x:v>Matched_Counterpart</x:v>
      </x:c>
      <x:c r="H3" s="62" t="str">
        <x:v>Conditions_Matched</x:v>
      </x:c>
      <x:c r="I3" s="62" t="str">
        <x:v>Training_Status</x:v>
      </x:c>
      <x:c r="J3" s="62" t="str">
        <x:v>DOI_URL</x:v>
      </x:c>
      <x:c r="K3" s="62" t="str">
        <x:v>Scientific_Note</x:v>
      </x:c>
    </x:row>
    <x:row r="4" ht="19" customHeight="1">
      <x:c r="A4" s="20" t="str">
        <x:v>F001</x:v>
      </x:c>
      <x:c r="B4" s="20" t="str">
        <x:v>W22</x:v>
      </x:c>
      <x:c r="C4" s="20" t="str">
        <x:v>RGDAEAKAEAKCCYYCCAEAKAEAKRGD</x:v>
      </x:c>
      <x:c r="D4" s="20" t="str">
        <x:v>FORM_AUNC</x:v>
      </x:c>
      <x:c r="E4" s="20" t="str">
        <x:v>Strong</x:v>
      </x:c>
      <x:c r="F4" s="20" t="str">
        <x:v>~1.8 nm AuNC; self-assembled PNF-AuNC</x:v>
      </x:c>
      <x:c r="G4" s="20" t="str">
        <x:v>RGDAEAKAEAKAEAKCCY</x:v>
      </x:c>
      <x:c r="H4" s="20" t="str">
        <x:v>YES — matched study conditions</x:v>
      </x:c>
      <x:c r="I4" s="20" t="str">
        <x:v>FORMATION_POSITIVE</x:v>
      </x:c>
      <x:c r="J4" s="20" t="str">
        <x:v>https://doi.org/10.1021/acs.bioconjchem.7b00312</x:v>
      </x:c>
      <x:c r="K4" s="20" t="str">
        <x:v>Positive counterpart for the W22 matched failure.</x:v>
      </x:c>
    </x:row>
    <x:row r="5" ht="19" customHeight="1">
      <x:c r="A5" s="20" t="str">
        <x:v>F002</x:v>
      </x:c>
      <x:c r="B5" s="20" t="str">
        <x:v>W22</x:v>
      </x:c>
      <x:c r="C5" s="20" t="str">
        <x:v>RGDAEAKAEAKAEAKCCY</x:v>
      </x:c>
      <x:c r="D5" s="20" t="str">
        <x:v>FAIL_AUNC</x:v>
      </x:c>
      <x:c r="E5" s="20" t="str">
        <x:v>Almost none</x:v>
      </x:c>
      <x:c r="F5" s="20" t="str">
        <x:v>Many Au nanoparticles by TEM</x:v>
      </x:c>
      <x:c r="G5" s="20" t="str">
        <x:v>RGDAEAKAEAKCCYYCCAEAKAEAKRGD</x:v>
      </x:c>
      <x:c r="H5" s="20" t="str">
        <x:v>YES — reported same conditions</x:v>
      </x:c>
      <x:c r="I5" s="20" t="str">
        <x:v>FORMATION_NEGATIVE</x:v>
      </x:c>
      <x:c r="J5" s="20" t="str">
        <x:v>https://doi.org/10.1021/acs.bioconjchem.7b00312</x:v>
      </x:c>
      <x:c r="K5" s="20" t="str">
        <x:v>Explicit sequence-level failure/control.</x:v>
      </x:c>
    </x:row>
    <x:row r="6" ht="19" customHeight="1">
      <x:c r="A6" s="20" t="str">
        <x:v>F003</x:v>
      </x:c>
      <x:c r="B6" s="20" t="str">
        <x:v>W24</x:v>
      </x:c>
      <x:c r="C6" s="20" t="str">
        <x:v>CGRPGRPGRP</x:v>
      </x:c>
      <x:c r="D6" s="20" t="str">
        <x:v>FORM_AUNC</x:v>
      </x:c>
      <x:c r="E6" s="20" t="str">
        <x:v>Yes; λem 680 nm</x:v>
      </x:c>
      <x:c r="F6" s="20" t="str">
        <x:v>Atomic Au16 peptide-caged AuNC</x:v>
      </x:c>
      <x:c r="G6" s="20" t="str">
        <x:v>GRPGRPGRP; CGRGGRGGRG</x:v>
      </x:c>
      <x:c r="H6" s="20" t="str">
        <x:v>YES — matched designer-peptide study</x:v>
      </x:c>
      <x:c r="I6" s="20" t="str">
        <x:v>FORMATION_POSITIVE</x:v>
      </x:c>
      <x:c r="J6" s="20" t="str">
        <x:v>https://doi.org/10.1039/C4CC03240C</x:v>
      </x:c>
      <x:c r="K6" s="20" t="str">
        <x:v>Positive atomic counterpart for Cys-ablation and Pro/topology controls.</x:v>
      </x:c>
    </x:row>
    <x:row r="7" ht="19" customHeight="1">
      <x:c r="A7" s="20" t="str">
        <x:v>F004</x:v>
      </x:c>
      <x:c r="B7" s="20" t="str">
        <x:v>W24</x:v>
      </x:c>
      <x:c r="C7" s="20" t="str">
        <x:v>GRPGRPGRP</x:v>
      </x:c>
      <x:c r="D7" s="20" t="str">
        <x:v>FAIL_AUNC</x:v>
      </x:c>
      <x:c r="E7" s="20" t="str">
        <x:v>None</x:v>
      </x:c>
      <x:c r="F7" s="20" t="str">
        <x:v>Aggregated Au nanoparticles</x:v>
      </x:c>
      <x:c r="G7" s="20" t="str">
        <x:v>CGRPGRPGRP</x:v>
      </x:c>
      <x:c r="H7" s="20" t="str">
        <x:v>YES — matched designer-peptide study</x:v>
      </x:c>
      <x:c r="I7" s="20" t="str">
        <x:v>FORMATION_NEGATIVE</x:v>
      </x:c>
      <x:c r="J7" s="20" t="str">
        <x:v>https://doi.org/10.1039/C4CC03240C</x:v>
      </x:c>
      <x:c r="K7" s="20" t="str">
        <x:v>Cys-removal negative: loss of nucleating residue.</x:v>
      </x:c>
    </x:row>
    <x:row r="8" ht="19" customHeight="1">
      <x:c r="A8" s="20" t="str">
        <x:v>F005</x:v>
      </x:c>
      <x:c r="B8" s="20" t="str">
        <x:v>W24</x:v>
      </x:c>
      <x:c r="C8" s="20" t="str">
        <x:v>CGRGGRGGRG</x:v>
      </x:c>
      <x:c r="D8" s="20" t="str">
        <x:v>FAIL_AUNC</x:v>
      </x:c>
      <x:c r="E8" s="20" t="str">
        <x:v>None</x:v>
      </x:c>
      <x:c r="F8" s="20" t="str">
        <x:v>Plasmonic Au nanoparticles; LSPR 523 nm</x:v>
      </x:c>
      <x:c r="G8" s="20" t="str">
        <x:v>CGRPGRPGRP</x:v>
      </x:c>
      <x:c r="H8" s="20" t="str">
        <x:v>YES — matched designer-peptide study</x:v>
      </x:c>
      <x:c r="I8" s="20" t="str">
        <x:v>FORMATION_NEGATIVE</x:v>
      </x:c>
      <x:c r="J8" s="20" t="str">
        <x:v>https://doi.org/10.1039/C4CC03240C</x:v>
      </x:c>
      <x:c r="K8" s="20" t="str">
        <x:v>Pro-removal/topology negative: 3D conformation matters.</x:v>
      </x:c>
    </x:row>
    <x:row r="9" ht="19" customHeight="1">
      <x:c r="A9" s="20" t="str">
        <x:v>F006</x:v>
      </x:c>
      <x:c r="B9" s="20" t="str">
        <x:v>W18</x:v>
      </x:c>
      <x:c r="C9" s="20" t="str">
        <x:v>CCGKE</x:v>
      </x:c>
      <x:c r="D9" s="20" t="str">
        <x:v>FORM_AUNC</x:v>
      </x:c>
      <x:c r="E9" s="20" t="str">
        <x:v>Fluorescent</x:v>
      </x:c>
      <x:c r="F9" s="20" t="str">
        <x:v>Peptide-templated AuNC</x:v>
      </x:c>
      <x:c r="G9" s="20" t="str">
        <x:v>W18 peptide panel</x:v>
      </x:c>
      <x:c r="H9" s="20" t="str">
        <x:v>YES — same generic synthesis procedure</x:v>
      </x:c>
      <x:c r="I9" s="20" t="str">
        <x:v>FORMATION_POSITIVE</x:v>
      </x:c>
      <x:c r="J9" s="20" t="str">
        <x:v>https://doi.org/10.1021/ac403308b</x:v>
      </x:c>
      <x:c r="K9" s="20" t="str">
        <x:v>Additional positive control; exact nuclearity not assigned.</x:v>
      </x:c>
    </x:row>
    <x:row r="10" ht="19" customHeight="1"/>
    <x:row r="11" ht="19" customHeight="1"/>
    <x:row r="12" ht="19" customHeight="1"/>
    <x:row r="13" ht="19" customHeight="1"/>
    <x:row r="14" ht="19" customHeight="1"/>
    <x:row r="15" ht="19" customHeight="1"/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  <x:row r="101" ht="19" customHeight="1"/>
    <x:row r="102" ht="19" customHeight="1"/>
    <x:row r="103" ht="19" customHeight="1"/>
    <x:row r="104" ht="19" customHeight="1"/>
    <x:row r="105" ht="19" customHeight="1"/>
    <x:row r="106" ht="19" customHeight="1"/>
    <x:row r="107" ht="19" customHeight="1"/>
    <x:row r="108" ht="19" customHeight="1"/>
    <x:row r="109" ht="19" customHeight="1"/>
    <x:row r="110" ht="19" customHeight="1"/>
    <x:row r="111" ht="19" customHeight="1"/>
    <x:row r="112" ht="19" customHeight="1"/>
    <x:row r="113" ht="19" customHeight="1"/>
    <x:row r="114" ht="19" customHeight="1"/>
    <x:row r="115" ht="19" customHeight="1"/>
    <x:row r="116" ht="19" customHeight="1"/>
    <x:row r="117" ht="19" customHeight="1"/>
    <x:row r="118" ht="19" customHeight="1"/>
    <x:row r="119" ht="19" customHeight="1"/>
    <x:row r="120" ht="19" customHeight="1"/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04788d405924532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72" hidden="0" customWidth="1"/>
    <x:col min="4" max="4" width="30" hidden="0" customWidth="1"/>
    <x:col min="5" max="5" width="44" hidden="0" customWidth="1"/>
    <x:col min="6" max="6" width="54" hidden="0" customWidth="1"/>
    <x:col min="7" max="7" width="78" hidden="0" customWidth="1"/>
    <x:col min="8" max="8" width="18" hidden="0" customWidth="1"/>
    <x:col min="9" max="9" width="58" hidden="0" customWidth="1"/>
    <x:col min="10" max="10" width="64" hidden="0" customWidth="1"/>
    <x:col min="11" max="11" width="32" hidden="0" customWidth="1"/>
    <x:col min="12" max="12" width="44" hidden="0" customWidth="1"/>
  </x:cols>
  <x:sheetData>
    <x:row r="1" ht="30" customHeight="1">
      <x:c r="A1" s="57" t="str">
        <x:v>PepAuDB v0.5 — Newly Verified Primary Literature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</x:row>
    <x:row r="2" ht="19" customHeight="1"/>
    <x:row r="3" ht="34" customHeight="1">
      <x:c r="A3" s="62" t="str">
        <x:v>Source_ID</x:v>
      </x:c>
      <x:c r="B3" s="62" t="str">
        <x:v>Year</x:v>
      </x:c>
      <x:c r="C3" s="62" t="str">
        <x:v>Paper</x:v>
      </x:c>
      <x:c r="D3" s="62" t="str">
        <x:v>Journal</x:v>
      </x:c>
      <x:c r="E3" s="62" t="str">
        <x:v>DOI_URL</x:v>
      </x:c>
      <x:c r="F3" s="62" t="str">
        <x:v>Key_Sequences</x:v>
      </x:c>
      <x:c r="G3" s="62" t="str">
        <x:v>Primary_Quantitative_Data</x:v>
      </x:c>
      <x:c r="H3" s="62" t="str">
        <x:v>New_Rows</x:v>
      </x:c>
      <x:c r="I3" s="62" t="str">
        <x:v>Model_Value</x:v>
      </x:c>
      <x:c r="J3" s="62" t="str">
        <x:v>Caveat</x:v>
      </x:c>
      <x:c r="K3" s="62" t="str">
        <x:v>Acquisition_Status</x:v>
      </x:c>
      <x:c r="L3" s="62" t="str">
        <x:v>Evidence_Use</x:v>
      </x:c>
    </x:row>
    <x:row r="4" ht="19" customHeight="1">
      <x:c r="A4" s="20" t="str">
        <x:v>W18</x:v>
      </x:c>
      <x:c r="B4" s="20" t="n">
        <x:v>2013</x:v>
      </x:c>
      <x:c r="C4" s="20" t="str">
        <x:v>Peptide-Templated Gold Nanocluster Beacon as a Sensitive, Label-Free Sensor for Protein Post-Translational Modification Enzymes</x:v>
      </x:c>
      <x:c r="D4" s="20" t="str">
        <x:v>Analytical Chemistry</x:v>
      </x:c>
      <x:c r="E4" s="20" t="str">
        <x:v>https://doi.org/10.1021/ac403308b</x:v>
      </x:c>
      <x:c r="F4" s="20" t="str">
        <x:v>CCIHK(Ac); CCGKE; CCLRRASLG; CCGGK(Ac); CCLIK(Ac)</x:v>
      </x:c>
      <x:c r="G4" s="20" t="str">
        <x:v>Peptide 1: Au8(peptide)2(MPA)2, ~1.1 nm, QY 21.7%; generic 20-min pH 8 synthesis. Peptide 3: λex 350 / λem 450.</x:v>
      </x:c>
      <x:c r="H4" s="20" t="str">
        <x:v>R055–R057</x:v>
      </x:c>
      <x:c r="I4" s="20" t="str">
        <x:v>First new exact atomic Au8 peptide record plus a controlled short-peptide panel</x:v>
      </x:c>
      <x:c r="J4" s="20" t="str">
        <x:v>Do not assign Au8 or 21.7% QY to all five sequences without separate mass/QY evidence.</x:v>
      </x:c>
      <x:c r="K4" s="20" t="str">
        <x:v>PRIMARY + SI ACQUIRED</x:v>
      </x:c>
      <x:c r="L4" s="20" t="str">
        <x:v>Atomic nuclearity, QY, optical, formation-positive evidence</x:v>
      </x:c>
    </x:row>
    <x:row r="5" ht="19" customHeight="1">
      <x:c r="A5" s="20" t="str">
        <x:v>W24</x:v>
      </x:c>
      <x:c r="B5" s="20" t="n">
        <x:v>2014</x:v>
      </x:c>
      <x:c r="C5" s="20" t="str">
        <x:v>A Designer Peptide as a Template for Growing Au Nanoclusters</x:v>
      </x:c>
      <x:c r="D5" s="20" t="str">
        <x:v>Chemical Communications</x:v>
      </x:c>
      <x:c r="E5" s="20" t="str">
        <x:v>https://doi.org/10.1039/C4CC03240C</x:v>
      </x:c>
      <x:c r="F5" s="20" t="str">
        <x:v>CGRPGRPGRP; GRPGRPGRP; CGRGGRGGRG</x:v>
      </x:c>
      <x:c r="G5" s="20" t="str">
        <x:v>Positive peptide: Au16 + one peptide, SAXS radius 3.7 Å, λex 440 / λem 680. Two matched controls form AuNPs and are nonfluorescent; Pro-free control LSPR 523 nm.</x:v>
      </x:c>
      <x:c r="H5" s="20" t="str">
        <x:v>R058–R060</x:v>
      </x:c>
      <x:c r="I5" s="20" t="str">
        <x:v>Adds exact Au16 nuclearity and two unusually strong matched sequence-ablation/topology negatives</x:v>
      </x:c>
      <x:c r="J5" s="20" t="str">
        <x:v>Exact synthesis quantities still require ESI extraction; 0.74 nm stored core diameter is derived from the reported 3.7 Å SAXS radius.</x:v>
      </x:c>
      <x:c r="K5" s="20" t="str">
        <x:v>PRIMARY AUTHOR MANUSCRIPT ACQUIRED</x:v>
      </x:c>
      <x:c r="L5" s="20" t="str">
        <x:v>Atomic nuclearity, size, emission, matched formation controls</x:v>
      </x:c>
    </x:row>
    <x:row r="6" ht="19" customHeight="1">
      <x:c r="A6" s="20" t="str">
        <x:v>W25</x:v>
      </x:c>
      <x:c r="B6" s="20" t="n">
        <x:v>2022</x:v>
      </x:c>
      <x:c r="C6" s="20" t="str">
        <x:v>Peptide-Modified Gold Nanoclusters for Copper Ion Detection</x:v>
      </x:c>
      <x:c r="D6" s="20" t="str">
        <x:v>Scientific Reports</x:v>
      </x:c>
      <x:c r="E6" s="20" t="str">
        <x:v>https://doi.org/10.1038/s41598-022-10500-9</x:v>
      </x:c>
      <x:c r="F6" s="20" t="str">
        <x:v>CCYWDAHRDY</x:v>
      </x:c>
      <x:c r="G6" s="20" t="str">
        <x:v>BSA-AuNC core ~1.8 nm; emission 650 nm; peptide coupled after AuNC synthesis at 25°C for 24 h.</x:v>
      </x:c>
      <x:c r="H6" s="20" t="str">
        <x:v>R061</x:v>
      </x:c>
      <x:c r="I6" s="20" t="str">
        <x:v>Useful biomedical/post-functionalization benchmark and a domain-separation example</x:v>
      </x:c>
      <x:c r="J6" s="20" t="str">
        <x:v>NOT a peptide-templated AuNC synthesis; excluded from inverse-design training.</x:v>
      </x:c>
      <x:c r="K6" s="20" t="str">
        <x:v>PRIMARY OPEN ACCESS ACQUIRED</x:v>
      </x:c>
      <x:c r="L6" s="20" t="str">
        <x:v>Benchmark only</x:v>
      </x:c>
    </x:row>
    <x:row r="7" ht="19" customHeight="1"/>
    <x:row r="8" ht="19" customHeight="1"/>
    <x:row r="9" ht="19" customHeight="1"/>
    <x:row r="10" ht="19" customHeight="1"/>
    <x:row r="11" ht="19" customHeight="1"/>
    <x:row r="12" ht="19" customHeight="1"/>
    <x:row r="13" ht="19" customHeight="1"/>
    <x:row r="14" ht="19" customHeight="1"/>
    <x:row r="15" ht="19" customHeight="1"/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  <x:row r="101" ht="19" customHeight="1"/>
    <x:row r="102" ht="19" customHeight="1"/>
    <x:row r="103" ht="19" customHeight="1"/>
    <x:row r="104" ht="19" customHeight="1"/>
    <x:row r="105" ht="19" customHeight="1"/>
    <x:row r="106" ht="19" customHeight="1"/>
    <x:row r="107" ht="19" customHeight="1"/>
    <x:row r="108" ht="19" customHeight="1"/>
    <x:row r="109" ht="19" customHeight="1"/>
    <x:row r="110" ht="19" customHeight="1"/>
    <x:row r="111" ht="19" customHeight="1"/>
    <x:row r="112" ht="19" customHeight="1"/>
    <x:row r="113" ht="19" customHeight="1"/>
    <x:row r="114" ht="19" customHeight="1"/>
    <x:row r="115" ht="19" customHeight="1"/>
    <x:row r="116" ht="19" customHeight="1"/>
    <x:row r="117" ht="19" customHeight="1"/>
    <x:row r="118" ht="19" customHeight="1"/>
    <x:row r="119" ht="19" customHeight="1"/>
    <x:row r="120" ht="19" customHeight="1"/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5d3874eb3714758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8" hidden="0" customWidth="1"/>
    <x:col min="4" max="4" width="14" hidden="0" customWidth="1"/>
    <x:col min="5" max="5" width="17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50" hidden="0" customWidth="1"/>
    <x:col min="12" max="12" width="22" hidden="0" customWidth="1"/>
    <x:col min="13" max="13" width="40" hidden="0" customWidth="1"/>
    <x:col min="14" max="14" width="78" hidden="0" customWidth="1"/>
  </x:cols>
  <x:sheetData>
    <x:row r="1" ht="30" customHeight="1">
      <x:c r="A1" s="57" t="str">
        <x:v>Real-Data Diagnostic Benchmark v0.3 — PepAuDB v0.5</x:v>
      </x:c>
      <x:c r="B1" s="57"/>
      <x:c r="C1" s="57"/>
      <x:c r="D1" s="57"/>
      <x:c r="E1" s="57"/>
      <x:c r="F1" s="57"/>
      <x:c r="G1" s="57"/>
      <x:c r="H1" s="57"/>
      <x:c r="I1" s="57"/>
      <x:c r="J1" s="57"/>
    </x:row>
    <x:row r="2" ht="19" customHeight="1"/>
    <x:row r="3" ht="34" customHeight="1">
      <x:c r="A3" s="62" t="str">
        <x:v>Target</x:v>
      </x:c>
      <x:c r="B3" s="62" t="str">
        <x:v>Model</x:v>
      </x:c>
      <x:c r="C3" s="62" t="str">
        <x:v>N</x:v>
      </x:c>
      <x:c r="D3" s="62" t="str">
        <x:v>Paper_Groups</x:v>
      </x:c>
      <x:c r="E3" s="62" t="str">
        <x:v>Sequence_Clusters</x:v>
      </x:c>
      <x:c r="F3" s="62" t="str">
        <x:v>MAE</x:v>
      </x:c>
      <x:c r="G3" s="62" t="str">
        <x:v>RMSE</x:v>
      </x:c>
      <x:c r="H3" s="62" t="str">
        <x:v>R2</x:v>
      </x:c>
      <x:c r="I3" s="62" t="str">
        <x:v>Spearman</x:v>
      </x:c>
      <x:c r="J3" s="62" t="str">
        <x:v>Interpretation</x:v>
      </x:c>
      <x:c r="L3" s="62" t="str">
        <x:v>Target</x:v>
      </x:c>
      <x:c r="M3" s="62" t="str">
        <x:v>v0.5 conclusion</x:v>
      </x:c>
      <x:c r="N3" s="62" t="str">
        <x:v>Evidence</x:v>
      </x:c>
    </x:row>
    <x:row r="4" ht="19" customHeight="1">
      <x:c r="A4" s="20" t="str">
        <x:v>Emission_nm</x:v>
      </x:c>
      <x:c r="B4" s="20" t="str">
        <x:v>DummyMedian</x:v>
      </x:c>
      <x:c r="C4" s="20" t="n">
        <x:v>13</x:v>
      </x:c>
      <x:c r="D4" s="20" t="n">
        <x:v>10</x:v>
      </x:c>
      <x:c r="E4" s="20" t="n">
        <x:v>10</x:v>
      </x:c>
      <x:c r="F4" s="20" t="n">
        <x:v>111.34615384615384</x:v>
      </x:c>
      <x:c r="G4" s="20" t="n">
        <x:v>158.4161389408386</x:v>
      </x:c>
      <x:c r="H4" s="20" t="n">
        <x:v>-0.03940024262327246</x:v>
      </x:c>
      <x:c r="I4" s="20" t="n">
        <x:v>-0.45580284409707295</x:v>
      </x:c>
      <x:c r="J4" s="20" t="str">
        <x:v>Paper-grouped OOF diagnostic only</x:v>
      </x:c>
      <x:c r="L4" s="20" t="str">
        <x:v>Emission</x:v>
      </x:c>
      <x:c r="M4" s="20" t="str">
        <x:v>FAIL</x:v>
      </x:c>
      <x:c r="N4" s="20" t="str">
        <x:v>DummyMedian remains better: MAE 111.35 nm vs best learned 128.77 nm.</x:v>
      </x:c>
    </x:row>
    <x:row r="5" ht="19" customHeight="1">
      <x:c r="A5" s="20" t="str">
        <x:v>Emission_nm</x:v>
      </x:c>
      <x:c r="B5" s="20" t="str">
        <x:v>ElasticNet</x:v>
      </x:c>
      <x:c r="C5" s="20" t="n">
        <x:v>13</x:v>
      </x:c>
      <x:c r="D5" s="20" t="n">
        <x:v>10</x:v>
      </x:c>
      <x:c r="E5" s="20" t="n">
        <x:v>10</x:v>
      </x:c>
      <x:c r="F5" s="20" t="n">
        <x:v>409.60928778214316</x:v>
      </x:c>
      <x:c r="G5" s="20" t="n">
        <x:v>559.6220594001103</x:v>
      </x:c>
      <x:c r="H5" s="20" t="n">
        <x:v>-11.971004691466591</x:v>
      </x:c>
      <x:c r="I5" s="20" t="n">
        <x:v>0.15905962655573216</x:v>
      </x:c>
      <x:c r="J5" s="20" t="str">
        <x:v>Paper-grouped OOF diagnostic only</x:v>
      </x:c>
      <x:c r="L5" s="20" t="str">
        <x:v>Core size</x:v>
      </x:c>
      <x:c r="M5" s="20" t="str">
        <x:v>WEAK SIGNAL ONLY</x:v>
      </x:c>
      <x:c r="N5" s="20" t="str">
        <x:v>Random Forest MAE 0.355 nm vs baseline 0.463 nm (~23.4% lower), but OOF R² = -0.098.</x:v>
      </x:c>
    </x:row>
    <x:row r="6" ht="19" customHeight="1">
      <x:c r="A6" s="20" t="str">
        <x:v>Emission_nm</x:v>
      </x:c>
      <x:c r="B6" s="20" t="str">
        <x:v>RandomForest</x:v>
      </x:c>
      <x:c r="C6" s="20" t="n">
        <x:v>13</x:v>
      </x:c>
      <x:c r="D6" s="20" t="n">
        <x:v>10</x:v>
      </x:c>
      <x:c r="E6" s="20" t="n">
        <x:v>10</x:v>
      </x:c>
      <x:c r="F6" s="20" t="n">
        <x:v>155.1159706959707</x:v>
      </x:c>
      <x:c r="G6" s="20" t="n">
        <x:v>201.33926620265456</x:v>
      </x:c>
      <x:c r="H6" s="20" t="n">
        <x:v>-0.6789622388586796</x:v>
      </x:c>
      <x:c r="I6" s="20" t="n">
        <x:v>-0.4135550290449036</x:v>
      </x:c>
      <x:c r="J6" s="20" t="str">
        <x:v>Paper-grouped OOF diagnostic only</x:v>
      </x:c>
      <x:c r="L6" s="20" t="str">
        <x:v>PLQY</x:v>
      </x:c>
      <x:c r="M6" s="20" t="str">
        <x:v>WEAK SIGNAL ONLY</x:v>
      </x:c>
      <x:c r="N6" s="20" t="str">
        <x:v>HGB MAE 6.941 vs baseline 7.697 (~9.8% lower), but OOF R² = -0.269.</x:v>
      </x:c>
    </x:row>
    <x:row r="7" ht="19" customHeight="1">
      <x:c r="A7" s="20" t="str">
        <x:v>Emission_nm</x:v>
      </x:c>
      <x:c r="B7" s="20" t="str">
        <x:v>HistGradientBoosting</x:v>
      </x:c>
      <x:c r="C7" s="20" t="n">
        <x:v>13</x:v>
      </x:c>
      <x:c r="D7" s="20" t="n">
        <x:v>10</x:v>
      </x:c>
      <x:c r="E7" s="20" t="n">
        <x:v>10</x:v>
      </x:c>
      <x:c r="F7" s="20" t="n">
        <x:v>130.53846153846155</x:v>
      </x:c>
      <x:c r="G7" s="20" t="n">
        <x:v>182.91431386695504</x:v>
      </x:c>
      <x:c r="H7" s="20" t="n">
        <x:v>-0.38573233279673635</x:v>
      </x:c>
      <x:c r="I7" s="20" t="n">
        <x:v>-0.5626552461314197</x:v>
      </x:c>
      <x:c r="J7" s="20" t="str">
        <x:v>Paper-grouped OOF diagnostic only</x:v>
      </x:c>
      <x:c r="L7" s="20" t="str">
        <x:v>Au nuclearity</x:v>
      </x:c>
      <x:c r="M7" s="20" t="str">
        <x:v>FIRST DIAGNOSTIC RUN — FAIL</x:v>
      </x:c>
      <x:c r="N7" s="20" t="str">
        <x:v>Gate now passes with N=6 across 5 papers, but GP MAE 5.416 atoms is worse than median baseline 4.667; OOF R² = -0.434.</x:v>
      </x:c>
    </x:row>
    <x:row r="8" ht="19" customHeight="1">
      <x:c r="A8" s="20" t="str">
        <x:v>Emission_nm</x:v>
      </x:c>
      <x:c r="B8" s="20" t="str">
        <x:v>GaussianProcess</x:v>
      </x:c>
      <x:c r="C8" s="20" t="n">
        <x:v>13</x:v>
      </x:c>
      <x:c r="D8" s="20" t="n">
        <x:v>10</x:v>
      </x:c>
      <x:c r="E8" s="20" t="n">
        <x:v>10</x:v>
      </x:c>
      <x:c r="F8" s="20" t="n">
        <x:v>128.77434788865736</x:v>
      </x:c>
      <x:c r="G8" s="20" t="n">
        <x:v>181.89014323539345</x:v>
      </x:c>
      <x:c r="H8" s="20" t="n">
        <x:v>-0.37025784012509555</x:v>
      </x:c>
      <x:c r="I8" s="20" t="n">
        <x:v>-0.47099627223364204</x:v>
      </x:c>
      <x:c r="J8" s="20" t="str">
        <x:v>Paper-grouped OOF diagnostic only</x:v>
      </x:c>
    </x:row>
    <x:row r="9" ht="19" customHeight="1">
      <x:c r="A9" s="20" t="str">
        <x:v>Core_Size_nm</x:v>
      </x:c>
      <x:c r="B9" s="20" t="str">
        <x:v>DummyMedian</x:v>
      </x:c>
      <x:c r="C9" s="20" t="n">
        <x:v>12</x:v>
      </x:c>
      <x:c r="D9" s="20" t="n">
        <x:v>9</x:v>
      </x:c>
      <x:c r="E9" s="20" t="n">
        <x:v>9</x:v>
      </x:c>
      <x:c r="F9" s="20" t="n">
        <x:v>0.4633333333333334</x:v>
      </x:c>
      <x:c r="G9" s="20" t="n">
        <x:v>0.5007993610219565</x:v>
      </x:c>
      <x:c r="H9" s="20" t="n">
        <x:v>-0.6632525237639084</x:v>
      </x:c>
      <x:c r="I9" s="20" t="n">
        <x:v>-0.7329409123199365</x:v>
      </x:c>
      <x:c r="J9" s="20" t="str">
        <x:v>Paper-grouped OOF diagnostic only</x:v>
      </x:c>
    </x:row>
    <x:row r="10" ht="19" customHeight="1">
      <x:c r="A10" s="20" t="str">
        <x:v>Core_Size_nm</x:v>
      </x:c>
      <x:c r="B10" s="20" t="str">
        <x:v>ElasticNet</x:v>
      </x:c>
      <x:c r="C10" s="20" t="n">
        <x:v>12</x:v>
      </x:c>
      <x:c r="D10" s="20" t="n">
        <x:v>9</x:v>
      </x:c>
      <x:c r="E10" s="20" t="n">
        <x:v>9</x:v>
      </x:c>
      <x:c r="F10" s="20" t="n">
        <x:v>1.1532390749407622</x:v>
      </x:c>
      <x:c r="G10" s="20" t="n">
        <x:v>1.5326584991743315</x:v>
      </x:c>
      <x:c r="H10" s="20" t="n">
        <x:v>-14.578349919550385</x:v>
      </x:c>
      <x:c r="I10" s="20" t="n">
        <x:v>0.049646638681731164</x:v>
      </x:c>
      <x:c r="J10" s="20" t="str">
        <x:v>Paper-grouped OOF diagnostic only</x:v>
      </x:c>
    </x:row>
    <x:row r="11" ht="19" customHeight="1">
      <x:c r="A11" s="20" t="str">
        <x:v>Core_Size_nm</x:v>
      </x:c>
      <x:c r="B11" s="20" t="str">
        <x:v>RandomForest</x:v>
      </x:c>
      <x:c r="C11" s="20" t="n">
        <x:v>12</x:v>
      </x:c>
      <x:c r="D11" s="20" t="n">
        <x:v>9</x:v>
      </x:c>
      <x:c r="E11" s="20" t="n">
        <x:v>9</x:v>
      </x:c>
      <x:c r="F11" s="20" t="n">
        <x:v>0.35486177248677125</x:v>
      </x:c>
      <x:c r="G11" s="20" t="n">
        <x:v>0.40682821056660745</x:v>
      </x:c>
      <x:c r="H11" s="20" t="n">
        <x:v>-0.09762194106215527</x:v>
      </x:c>
      <x:c r="I11" s="20" t="n">
        <x:v>0.11347803127252838</x:v>
      </x:c>
      <x:c r="J11" s="20" t="str">
        <x:v>Paper-grouped OOF diagnostic only</x:v>
      </x:c>
    </x:row>
    <x:row r="12" ht="19" customHeight="1">
      <x:c r="A12" s="20" t="str">
        <x:v>Core_Size_nm</x:v>
      </x:c>
      <x:c r="B12" s="20" t="str">
        <x:v>HistGradientBoosting</x:v>
      </x:c>
      <x:c r="C12" s="20" t="n">
        <x:v>12</x:v>
      </x:c>
      <x:c r="D12" s="20" t="n">
        <x:v>9</x:v>
      </x:c>
      <x:c r="E12" s="20" t="n">
        <x:v>9</x:v>
      </x:c>
      <x:c r="F12" s="20" t="n">
        <x:v>0.4123333333333333</x:v>
      </x:c>
      <x:c r="G12" s="20" t="n">
        <x:v>0.4544053501249982</x:v>
      </x:c>
      <x:c r="H12" s="20" t="n">
        <x:v>-0.369359663989389</x:v>
      </x:c>
      <x:c r="I12" s="20" t="n">
        <x:v>-0.7459762191119228</x:v>
      </x:c>
      <x:c r="J12" s="20" t="str">
        <x:v>Paper-grouped OOF diagnostic only</x:v>
      </x:c>
    </x:row>
    <x:row r="13" ht="19" customHeight="1">
      <x:c r="A13" s="20" t="str">
        <x:v>Core_Size_nm</x:v>
      </x:c>
      <x:c r="B13" s="20" t="str">
        <x:v>GaussianProcess</x:v>
      </x:c>
      <x:c r="C13" s="20" t="n">
        <x:v>12</x:v>
      </x:c>
      <x:c r="D13" s="20" t="n">
        <x:v>9</x:v>
      </x:c>
      <x:c r="E13" s="20" t="n">
        <x:v>9</x:v>
      </x:c>
      <x:c r="F13" s="20" t="n">
        <x:v>0.41236250076521735</x:v>
      </x:c>
      <x:c r="G13" s="20" t="n">
        <x:v>0.4544300587513001</x:v>
      </x:c>
      <x:c r="H13" s="20" t="n">
        <x:v>-0.3695085879230642</x:v>
      </x:c>
      <x:c r="I13" s="20" t="n">
        <x:v>-0.7096819779053275</x:v>
      </x:c>
      <x:c r="J13" s="20" t="str">
        <x:v>Paper-grouped OOF diagnostic only</x:v>
      </x:c>
    </x:row>
    <x:row r="14" ht="19" customHeight="1">
      <x:c r="A14" s="20" t="str">
        <x:v>PLQY_pct</x:v>
      </x:c>
      <x:c r="B14" s="20" t="str">
        <x:v>DummyMedian</x:v>
      </x:c>
      <x:c r="C14" s="20" t="n">
        <x:v>14</x:v>
      </x:c>
      <x:c r="D14" s="20" t="n">
        <x:v>7</x:v>
      </x:c>
      <x:c r="E14" s="20" t="n">
        <x:v>7</x:v>
      </x:c>
      <x:c r="F14" s="20" t="n">
        <x:v>7.697142857142857</x:v>
      </x:c>
      <x:c r="G14" s="20" t="n">
        <x:v>9.440015889817134</x:v>
      </x:c>
      <x:c r="H14" s="20" t="n">
        <x:v>-0.6219817176543516</x:v>
      </x:c>
      <x:c r="I14" s="20" t="n">
        <x:v>-0.5859340281973024</x:v>
      </x:c>
      <x:c r="J14" s="20" t="str">
        <x:v>Paper-grouped OOF diagnostic only</x:v>
      </x:c>
    </x:row>
    <x:row r="15" ht="19" customHeight="1">
      <x:c r="A15" s="20" t="str">
        <x:v>PLQY_pct</x:v>
      </x:c>
      <x:c r="B15" s="20" t="str">
        <x:v>ElasticNet</x:v>
      </x:c>
      <x:c r="C15" s="20" t="n">
        <x:v>14</x:v>
      </x:c>
      <x:c r="D15" s="20" t="n">
        <x:v>7</x:v>
      </x:c>
      <x:c r="E15" s="20" t="n">
        <x:v>7</x:v>
      </x:c>
      <x:c r="F15" s="20" t="n">
        <x:v>14.000760722994062</x:v>
      </x:c>
      <x:c r="G15" s="20" t="n">
        <x:v>16.802014516179497</x:v>
      </x:c>
      <x:c r="H15" s="20" t="n">
        <x:v>-4.138344465407662</x:v>
      </x:c>
      <x:c r="I15" s="20" t="n">
        <x:v>-0.16997792494481237</x:v>
      </x:c>
      <x:c r="J15" s="20" t="str">
        <x:v>Paper-grouped OOF diagnostic only</x:v>
      </x:c>
    </x:row>
    <x:row r="16" ht="19" customHeight="1">
      <x:c r="A16" s="20" t="str">
        <x:v>PLQY_pct</x:v>
      </x:c>
      <x:c r="B16" s="20" t="str">
        <x:v>RandomForest</x:v>
      </x:c>
      <x:c r="C16" s="20" t="n">
        <x:v>14</x:v>
      </x:c>
      <x:c r="D16" s="20" t="n">
        <x:v>7</x:v>
      </x:c>
      <x:c r="E16" s="20" t="n">
        <x:v>7</x:v>
      </x:c>
      <x:c r="F16" s="20" t="n">
        <x:v>7.466386986016626</x:v>
      </x:c>
      <x:c r="G16" s="20" t="n">
        <x:v>8.558523984906868</x:v>
      </x:c>
      <x:c r="H16" s="20" t="n">
        <x:v>-0.33320903529784207</x:v>
      </x:c>
      <x:c r="I16" s="20" t="n">
        <x:v>-0.49668874172185434</x:v>
      </x:c>
      <x:c r="J16" s="20" t="str">
        <x:v>Paper-grouped OOF diagnostic only</x:v>
      </x:c>
    </x:row>
    <x:row r="17" ht="19" customHeight="1">
      <x:c r="A17" s="20" t="str">
        <x:v>PLQY_pct</x:v>
      </x:c>
      <x:c r="B17" s="20" t="str">
        <x:v>HistGradientBoosting</x:v>
      </x:c>
      <x:c r="C17" s="20" t="n">
        <x:v>14</x:v>
      </x:c>
      <x:c r="D17" s="20" t="n">
        <x:v>7</x:v>
      </x:c>
      <x:c r="E17" s="20" t="n">
        <x:v>7</x:v>
      </x:c>
      <x:c r="F17" s="20" t="n">
        <x:v>6.941017316017316</x:v>
      </x:c>
      <x:c r="G17" s="20" t="n">
        <x:v>8.34828922523962</x:v>
      </x:c>
      <x:c r="H17" s="20" t="n">
        <x:v>-0.2685146216064178</x:v>
      </x:c>
      <x:c r="I17" s="20" t="n">
        <x:v>-0.8312087376752431</x:v>
      </x:c>
      <x:c r="J17" s="20" t="str">
        <x:v>Paper-grouped OOF diagnostic only</x:v>
      </x:c>
    </x:row>
    <x:row r="18" ht="19" customHeight="1">
      <x:c r="A18" s="20" t="str">
        <x:v>PLQY_pct</x:v>
      </x:c>
      <x:c r="B18" s="20" t="str">
        <x:v>GaussianProcess</x:v>
      </x:c>
      <x:c r="C18" s="20" t="n">
        <x:v>14</x:v>
      </x:c>
      <x:c r="D18" s="20" t="n">
        <x:v>7</x:v>
      </x:c>
      <x:c r="E18" s="20" t="n">
        <x:v>7</x:v>
      </x:c>
      <x:c r="F18" s="20" t="n">
        <x:v>7.735510560612783</x:v>
      </x:c>
      <x:c r="G18" s="20" t="n">
        <x:v>8.774170463831474</x:v>
      </x:c>
      <x:c r="H18" s="20" t="n">
        <x:v>-0.4012403645304199</x:v>
      </x:c>
      <x:c r="I18" s="20" t="n">
        <x:v>-0.706401766004415</x:v>
      </x:c>
      <x:c r="J18" s="20" t="str">
        <x:v>Paper-grouped OOF diagnostic only</x:v>
      </x:c>
    </x:row>
    <x:row r="19" ht="19" customHeight="1">
      <x:c r="A19" s="20" t="str">
        <x:v>Au_Nuclearity</x:v>
      </x:c>
      <x:c r="B19" s="20" t="str">
        <x:v>DummyMedian</x:v>
      </x:c>
      <x:c r="C19" s="20" t="n">
        <x:v>6</x:v>
      </x:c>
      <x:c r="D19" s="20" t="n">
        <x:v>5</x:v>
      </x:c>
      <x:c r="E19" s="20" t="n">
        <x:v>5</x:v>
      </x:c>
      <x:c r="F19" s="20" t="n">
        <x:v>4.666666666666667</x:v>
      </x:c>
      <x:c r="G19" s="20" t="n">
        <x:v>6.171169527191206</x:v>
      </x:c>
      <x:c r="H19" s="20" t="n">
        <x:v>-0.24977210574293518</x:v>
      </x:c>
      <x:c r="I19" s="20" t="n">
        <x:v>-0.31506301890630223</x:v>
      </x:c>
      <x:c r="J19" s="20" t="str">
        <x:v>Paper-grouped OOF diagnostic only</x:v>
      </x:c>
    </x:row>
    <x:row r="20" ht="19" customHeight="1">
      <x:c r="A20" s="20" t="str">
        <x:v>Au_Nuclearity</x:v>
      </x:c>
      <x:c r="B20" s="20" t="str">
        <x:v>ElasticNet</x:v>
      </x:c>
      <x:c r="C20" s="20" t="n">
        <x:v>6</x:v>
      </x:c>
      <x:c r="D20" s="20" t="n">
        <x:v>5</x:v>
      </x:c>
      <x:c r="E20" s="20" t="n">
        <x:v>5</x:v>
      </x:c>
      <x:c r="F20" s="20" t="n">
        <x:v>10.095560194334903</x:v>
      </x:c>
      <x:c r="G20" s="20" t="n">
        <x:v>10.700669649056623</x:v>
      </x:c>
      <x:c r="H20" s="20" t="n">
        <x:v>-2.7576626379003626</x:v>
      </x:c>
      <x:c r="I20" s="20" t="n">
        <x:v>-0.5147058823529411</x:v>
      </x:c>
      <x:c r="J20" s="20" t="str">
        <x:v>Paper-grouped OOF diagnostic only</x:v>
      </x:c>
    </x:row>
    <x:row r="21" ht="19" customHeight="1">
      <x:c r="A21" s="20" t="str">
        <x:v>Au_Nuclearity</x:v>
      </x:c>
      <x:c r="B21" s="20" t="str">
        <x:v>RandomForest</x:v>
      </x:c>
      <x:c r="C21" s="20" t="n">
        <x:v>6</x:v>
      </x:c>
      <x:c r="D21" s="20" t="n">
        <x:v>5</x:v>
      </x:c>
      <x:c r="E21" s="20" t="n">
        <x:v>5</x:v>
      </x:c>
      <x:c r="F21" s="20" t="n">
        <x:v>6.062777777777778</x:v>
      </x:c>
      <x:c r="G21" s="20" t="n">
        <x:v>7.119439285557588</x:v>
      </x:c>
      <x:c r="H21" s="20" t="n">
        <x:v>-0.6633646004254024</x:v>
      </x:c>
      <x:c r="I21" s="20" t="n">
        <x:v>-0.45588235294117646</x:v>
      </x:c>
      <x:c r="J21" s="20" t="str">
        <x:v>Paper-grouped OOF diagnostic only</x:v>
      </x:c>
    </x:row>
    <x:row r="22" ht="19" customHeight="1">
      <x:c r="A22" s="20" t="str">
        <x:v>Au_Nuclearity</x:v>
      </x:c>
      <x:c r="B22" s="20" t="str">
        <x:v>HistGradientBoosting</x:v>
      </x:c>
      <x:c r="C22" s="20" t="n">
        <x:v>6</x:v>
      </x:c>
      <x:c r="D22" s="20" t="n">
        <x:v>5</x:v>
      </x:c>
      <x:c r="E22" s="20" t="n">
        <x:v>5</x:v>
      </x:c>
      <x:c r="F22" s="20" t="n">
        <x:v>5.733333333333333</x:v>
      </x:c>
      <x:c r="G22" s="20" t="n">
        <x:v>6.764860185793445</x:v>
      </x:c>
      <x:c r="H22" s="20" t="n">
        <x:v>-0.5018049225159524</x:v>
      </x:c>
      <x:c r="I22" s="20" t="n">
        <x:v>-0.7500000000000001</x:v>
      </x:c>
      <x:c r="J22" s="20" t="str">
        <x:v>Paper-grouped OOF diagnostic only</x:v>
      </x:c>
    </x:row>
    <x:row r="23" ht="19" customHeight="1">
      <x:c r="A23" s="20" t="str">
        <x:v>Au_Nuclearity</x:v>
      </x:c>
      <x:c r="B23" s="20" t="str">
        <x:v>GaussianProcess</x:v>
      </x:c>
      <x:c r="C23" s="20" t="n">
        <x:v>6</x:v>
      </x:c>
      <x:c r="D23" s="20" t="n">
        <x:v>5</x:v>
      </x:c>
      <x:c r="E23" s="20" t="n">
        <x:v>5</x:v>
      </x:c>
      <x:c r="F23" s="20" t="n">
        <x:v>5.4163696011498175</x:v>
      </x:c>
      <x:c r="G23" s="20" t="n">
        <x:v>6.609425905797249</x:v>
      </x:c>
      <x:c r="H23" s="20" t="n">
        <x:v>-0.4335846754348731</x:v>
      </x:c>
      <x:c r="I23" s="20" t="n">
        <x:v>-0.5147058823529411</x:v>
      </x:c>
      <x:c r="J23" s="20" t="str">
        <x:v>Paper-grouped OOF diagnostic only</x:v>
      </x:c>
    </x:row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  <x:row r="101" ht="19" customHeight="1"/>
    <x:row r="102" ht="19" customHeight="1"/>
    <x:row r="103" ht="19" customHeight="1"/>
    <x:row r="104" ht="19" customHeight="1"/>
    <x:row r="105" ht="19" customHeight="1"/>
    <x:row r="106" ht="19" customHeight="1"/>
    <x:row r="107" ht="19" customHeight="1"/>
    <x:row r="108" ht="19" customHeight="1"/>
    <x:row r="109" ht="19" customHeight="1"/>
    <x:row r="110" ht="19" customHeight="1"/>
    <x:row r="111" ht="19" customHeight="1"/>
    <x:row r="112" ht="19" customHeight="1"/>
    <x:row r="113" ht="19" customHeight="1"/>
    <x:row r="114" ht="19" customHeight="1"/>
    <x:row r="115" ht="19" customHeight="1"/>
    <x:row r="116" ht="19" customHeight="1"/>
    <x:row r="117" ht="19" customHeight="1"/>
    <x:row r="118" ht="19" customHeight="1"/>
    <x:row r="119" ht="19" customHeight="1"/>
    <x:row r="120" ht="19" customHeight="1"/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bcedf86f460947fe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58" hidden="0" customWidth="1"/>
    <x:col min="4" max="4" width="66" hidden="0" customWidth="1"/>
    <x:col min="5" max="5" width="18" hidden="0" customWidth="1"/>
    <x:col min="6" max="6" width="26" hidden="0" customWidth="1"/>
    <x:col min="7" max="7" width="56" hidden="0" customWidth="1"/>
    <x:col min="8" max="8" width="30" hidden="0" customWidth="1"/>
    <x:col min="9" max="9" width="44" hidden="0" customWidth="1"/>
    <x:col min="10" max="10" width="54" hidden="0" customWidth="1"/>
  </x:cols>
  <x:sheetData>
    <x:row r="1" ht="30" customHeight="1">
      <x:c r="A1" s="57" t="str">
        <x:v>PepAuDB v0.5 — Highest-Information Next Acquisitions</x:v>
      </x:c>
      <x:c r="B1" s="57"/>
      <x:c r="C1" s="57"/>
      <x:c r="D1" s="57"/>
      <x:c r="E1" s="57"/>
      <x:c r="F1" s="57"/>
      <x:c r="G1" s="57"/>
      <x:c r="H1" s="57"/>
      <x:c r="I1" s="57"/>
      <x:c r="J1" s="57"/>
    </x:row>
    <x:row r="2" ht="19" customHeight="1"/>
    <x:row r="3" ht="34" customHeight="1">
      <x:c r="A3" s="62" t="str">
        <x:v>Priority</x:v>
      </x:c>
      <x:c r="B3" s="62" t="str">
        <x:v>Source</x:v>
      </x:c>
      <x:c r="C3" s="62" t="str">
        <x:v>Need</x:v>
      </x:c>
      <x:c r="D3" s="62" t="str">
        <x:v>Why</x:v>
      </x:c>
      <x:c r="E3" s="62" t="str">
        <x:v>Expected_Impact</x:v>
      </x:c>
      <x:c r="F3" s="62" t="str">
        <x:v>Current_Status</x:v>
      </x:c>
      <x:c r="G3" s="62" t="str">
        <x:v>Do_Not_Do</x:v>
      </x:c>
      <x:c r="H3" s="62" t="str">
        <x:v>Target_Module</x:v>
      </x:c>
      <x:c r="I3" s="62" t="str">
        <x:v>DOI_URL</x:v>
      </x:c>
      <x:c r="J3" s="62" t="str">
        <x:v>Next_Action</x:v>
      </x:c>
    </x:row>
    <x:row r="4" ht="19" customHeight="1">
      <x:c r="A4" s="20" t="str">
        <x:v>P0</x:v>
      </x:c>
      <x:c r="B4" s="20" t="str">
        <x:v>W10 — 2022 CCY/KFFAAK seven-sequence panel</x:v>
      </x:c>
      <x:c r="C4" s="20" t="str">
        <x:v>Full per-sequence quantitative formation/optical mapping and exact conditions</x:v>
      </x:c>
      <x:c r="D4" s="20" t="str">
        <x:v>Controlled motif permutations are more informative than adding unrelated isolated success rows.</x:v>
      </x:c>
      <x:c r="E4" s="20" t="str">
        <x:v>High</x:v>
      </x:c>
      <x:c r="F4" s="20" t="str">
        <x:v>PARTIAL</x:v>
      </x:c>
      <x:c r="G4" s="20" t="str">
        <x:v>Do not assign a paper-level QY to every sequence.</x:v>
      </x:c>
      <x:c r="H4" s="20" t="str">
        <x:v>formation / emission / ranking</x:v>
      </x:c>
      <x:c r="I4" s="20" t="str">
        <x:v>https://doi.org/10.1016/j.colsurfb.2022.112820</x:v>
      </x:c>
      <x:c r="J4" s="20" t="str">
        <x:v>Acquire full article/SI and map sequence×condition→outcome.</x:v>
      </x:c>
    </x:row>
    <x:row r="5" ht="19" customHeight="1">
      <x:c r="A5" s="20" t="str">
        <x:v>P0</x:v>
      </x:c>
      <x:c r="B5" s="20" t="str">
        <x:v>W01 — Liu 2020 same-sequence blue/red AuNCs</x:v>
      </x:c>
      <x:c r="C5" s="20" t="str">
        <x:v>Exact pH, Au:peptide ratio, light, temperature and time for each optical state</x:v>
      </x:c>
      <x:c r="D5" s="20" t="str">
        <x:v>Identical sequence with divergent products is ideal evidence for a condition-aware inverse model.</x:v>
      </x:c>
      <x:c r="E5" s="20" t="str">
        <x:v>High</x:v>
      </x:c>
      <x:c r="F5" s="20" t="str">
        <x:v>PARTIAL</x:v>
      </x:c>
      <x:c r="G5" s="20" t="str">
        <x:v>Do not train on missing condition values.</x:v>
      </x:c>
      <x:c r="H5" s="20" t="str">
        <x:v>condition-aware emission</x:v>
      </x:c>
      <x:c r="I5" s="20" t="str">
        <x:v>https://doi.org/10.1021/acsabm.9b01078</x:v>
      </x:c>
      <x:c r="J5" s="20" t="str">
        <x:v>Extract numeric optimization table/figures from SI.</x:v>
      </x:c>
    </x:row>
    <x:row r="6" ht="19" customHeight="1">
      <x:c r="A6" s="20" t="str">
        <x:v>P0</x:v>
      </x:c>
      <x:c r="B6" s="20" t="str">
        <x:v>W09 — CMMMMM vs CYYYYY</x:v>
      </x:c>
      <x:c r="C6" s="20" t="str">
        <x:v>SI synthesis plus quantitative fluorescence/QY/lifetime/stability endpoints</x:v>
      </x:c>
      <x:c r="D6" s="20" t="str">
        <x:v>Matched residue-chemistry comparator can improve sequence-effect learning.</x:v>
      </x:c>
      <x:c r="E6" s="20" t="str">
        <x:v>High</x:v>
      </x:c>
      <x:c r="F6" s="20" t="str">
        <x:v>PARTIAL</x:v>
      </x:c>
      <x:c r="G6" s="20" t="str">
        <x:v>Do not turn relative intensity into absolute QY.</x:v>
      </x:c>
      <x:c r="H6" s="20" t="str">
        <x:v>optical / stability</x:v>
      </x:c>
      <x:c r="I6" s="20" t="str">
        <x:v>https://doi.org/10.1021/acs.analchem.9b03463</x:v>
      </x:c>
      <x:c r="J6" s="20" t="str">
        <x:v>Acquire and extract SI.</x:v>
      </x:c>
    </x:row>
    <x:row r="7" ht="19" customHeight="1">
      <x:c r="A7" s="20" t="str">
        <x:v>P0</x:v>
      </x:c>
      <x:c r="B7" s="20" t="str">
        <x:v>Formation failures from independent papers</x:v>
      </x:c>
      <x:c r="C7" s="20" t="str">
        <x:v>Explicit failed AuNC syntheses and AuNP outcomes under matched conditions</x:v>
      </x:c>
      <x:c r="D7" s="20" t="str">
        <x:v>Three negatives now exist, but only across two papers; formation generalization is still impossible.</x:v>
      </x:c>
      <x:c r="E7" s="20" t="str">
        <x:v>Critical</x:v>
      </x:c>
      <x:c r="F7" s="20" t="str">
        <x:v>SCARCE</x:v>
      </x:c>
      <x:c r="G7" s="20" t="str">
        <x:v>Do not treat missing/unstated outcomes as negatives.</x:v>
      </x:c>
      <x:c r="H7" s="20" t="str">
        <x:v>formation classifier</x:v>
      </x:c>
      <x:c r="I7" s="20" t="str"/>
      <x:c r="J7" s="20" t="str">
        <x:v>Mine primary SI/control experiments for explicit failures.</x:v>
      </x:c>
    </x:row>
    <x:row r="8" ht="19" customHeight="1">
      <x:c r="A8" s="20" t="str">
        <x:v>P0</x:v>
      </x:c>
      <x:c r="B8" s="20" t="str">
        <x:v>W08 — AuNCs-LHRHa PTT</x:v>
      </x:c>
      <x:c r="C8" s="20" t="str">
        <x:v>Laser wavelength/power, concentration, heating curves, PCE if reported, exact peptide identity</x:v>
      </x:c>
      <x:c r="D8" s="20" t="str">
        <x:v>PTT is a project endpoint but still lacks direct sequence+synthesis→heating training data.</x:v>
      </x:c>
      <x:c r="E8" s="20" t="str">
        <x:v>Critical</x:v>
      </x:c>
      <x:c r="F8" s="20" t="str">
        <x:v>PARTIAL</x:v>
      </x:c>
      <x:c r="G8" s="20" t="str">
        <x:v>Do not train PTT regression from larger AuNP or nonpeptide benchmarks.</x:v>
      </x:c>
      <x:c r="H8" s="20" t="str">
        <x:v>PTT</x:v>
      </x:c>
      <x:c r="I8" s="20" t="str">
        <x:v>https://doi.org/10.1039/D2TB00531J</x:v>
      </x:c>
      <x:c r="J8" s="20" t="str">
        <x:v>Extract full paper/SI PTT context.</x:v>
      </x:c>
    </x:row>
    <x:row r="9" ht="19" customHeight="1">
      <x:c r="A9" s="20" t="str">
        <x:v>P1</x:v>
      </x:c>
      <x:c r="B9" s="20" t="str">
        <x:v>W24 — designer Au16 ESI</x:v>
      </x:c>
      <x:c r="C9" s="20" t="str">
        <x:v>Exact precursor/peptide/NaBH4 quantities, pH, temperature and time</x:v>
      </x:c>
      <x:c r="D9" s="20" t="str">
        <x:v>Completes one of the strongest atomic sequence→nuclearity records for the condition encoder.</x:v>
      </x:c>
      <x:c r="E9" s="20" t="str">
        <x:v>Medium–High</x:v>
      </x:c>
      <x:c r="F9" s="20" t="str">
        <x:v>PRIMARY MAIN TEXT ACQUIRED</x:v>
      </x:c>
      <x:c r="G9" s="20" t="str">
        <x:v>Do not infer missing values from typical protocols.</x:v>
      </x:c>
      <x:c r="H9" s="20" t="str">
        <x:v>atomic condition model</x:v>
      </x:c>
      <x:c r="I9" s="20" t="str">
        <x:v>https://doi.org/10.1039/C4CC03240C</x:v>
      </x:c>
      <x:c r="J9" s="20" t="str">
        <x:v>Acquire ESI and populate exact conditions.</x:v>
      </x:c>
    </x:row>
    <x:row r="10" ht="19" customHeight="1">
      <x:c r="A10" s="20" t="str">
        <x:v>P1</x:v>
      </x:c>
      <x:c r="B10" s="20" t="str">
        <x:v>W23 — JACS 2018 raw dataset</x:v>
      </x:c>
      <x:c r="C10" s="20" t="str">
        <x:v>Absolute raw PL values for the 23-peptide panel if present</x:v>
      </x:c>
      <x:c r="D10" s="20" t="str">
        <x:v>Could convert validated pairwise evidence into a much larger quantitative sequence panel.</x:v>
      </x:c>
      <x:c r="E10" s="20" t="str">
        <x:v>High</x:v>
      </x:c>
      <x:c r="F10" s="20" t="str">
        <x:v>ZENODO DATASET IDENTIFIED</x:v>
      </x:c>
      <x:c r="G10" s="20" t="str">
        <x:v>Do not digitize plots while machine-readable raw data may exist.</x:v>
      </x:c>
      <x:c r="H10" s="20" t="str">
        <x:v>relative/absolute PL</x:v>
      </x:c>
      <x:c r="I10" s="20" t="str">
        <x:v>https://doi.org/10.1021/jacs.8b04436</x:v>
      </x:c>
      <x:c r="J10" s="20" t="str">
        <x:v>Inspect Zenodo dataset DOI 10.5281/zenodo.2202306.</x:v>
      </x:c>
    </x:row>
    <x:row r="11" ht="19" customHeight="1"/>
    <x:row r="12" ht="19" customHeight="1"/>
    <x:row r="13" ht="19" customHeight="1"/>
    <x:row r="14" ht="19" customHeight="1"/>
    <x:row r="15" ht="19" customHeight="1"/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  <x:row r="101" ht="19" customHeight="1"/>
    <x:row r="102" ht="19" customHeight="1"/>
    <x:row r="103" ht="19" customHeight="1"/>
    <x:row r="104" ht="19" customHeight="1"/>
    <x:row r="105" ht="19" customHeight="1"/>
    <x:row r="106" ht="19" customHeight="1"/>
    <x:row r="107" ht="19" customHeight="1"/>
    <x:row r="108" ht="19" customHeight="1"/>
    <x:row r="109" ht="19" customHeight="1"/>
    <x:row r="110" ht="19" customHeight="1"/>
    <x:row r="111" ht="19" customHeight="1"/>
    <x:row r="112" ht="19" customHeight="1"/>
    <x:row r="113" ht="19" customHeight="1"/>
    <x:row r="114" ht="19" customHeight="1"/>
    <x:row r="115" ht="19" customHeight="1"/>
    <x:row r="116" ht="19" customHeight="1"/>
    <x:row r="117" ht="19" customHeight="1"/>
    <x:row r="118" ht="19" customHeight="1"/>
    <x:row r="119" ht="19" customHeight="1"/>
    <x:row r="120" ht="19" customHeight="1"/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ac51b9f52ef45c6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2" hidden="0" customWidth="1"/>
    <x:col min="4" max="4" width="24" hidden="0" customWidth="1"/>
    <x:col min="5" max="5" width="20" hidden="0" customWidth="1"/>
    <x:col min="6" max="6" width="54" hidden="0" customWidth="1"/>
    <x:col min="7" max="7" width="62" hidden="0" customWidth="1"/>
    <x:col min="8" max="8" width="62" hidden="0" customWidth="1"/>
  </x:cols>
  <x:sheetData>
    <x:row r="1" ht="30" customHeight="1">
      <x:c r="A1" s="57" t="str">
        <x:v>NanoMax PepAu-Forge — PepAuDB v0.5 Evidence &amp; Model Readiness</x:v>
      </x:c>
      <x:c r="B1" s="57"/>
      <x:c r="C1" s="57"/>
      <x:c r="D1" s="57"/>
      <x:c r="E1" s="57"/>
      <x:c r="F1" s="57"/>
      <x:c r="G1" s="57"/>
      <x:c r="H1" s="57"/>
      <x:c r="I1" s="57"/>
      <x:c r="J1" s="57"/>
    </x:row>
    <x:row r="2" ht="19" customHeight="1"/>
    <x:row r="3" ht="34" customHeight="1">
      <x:c r="A3" s="62" t="str">
        <x:v>KPI</x:v>
      </x:c>
      <x:c r="B3" s="62" t="str">
        <x:v>Value</x:v>
      </x:c>
      <x:c r="D3" s="62" t="str">
        <x:v>Target</x:v>
      </x:c>
      <x:c r="E3" s="62" t="str">
        <x:v>v0.5 status</x:v>
      </x:c>
      <x:c r="F3" s="62" t="str">
        <x:v>Current benchmark</x:v>
      </x:c>
      <x:c r="G3" s="62" t="str">
        <x:v>Meaning</x:v>
      </x:c>
      <x:c r="H3" s="62" t="str">
        <x:v>Next evidence needed</x:v>
      </x:c>
    </x:row>
    <x:row r="4" ht="42" customHeight="1">
      <x:c r="A4" t="str">
        <x:v>Total curated records</x:v>
      </x:c>
      <x:c r="B4" t="n">
        <x:v>61</x:v>
      </x:c>
      <x:c r="D4" s="20" t="str">
        <x:v>Emission</x:v>
      </x:c>
      <x:c r="E4" s="20" t="str">
        <x:v>FAIL</x:v>
      </x:c>
      <x:c r="F4" s="20" t="str">
        <x:v>Dummy baseline MAE 111.35 nm; best learned 128.77 nm</x:v>
      </x:c>
      <x:c r="G4" s="20" t="str">
        <x:v>No cross-paper predictive signal yet</x:v>
      </x:c>
      <x:c r="H4" s="20" t="str">
        <x:v>W10/W01 controlled per-sequence/per-condition optical outcomes</x:v>
      </x:c>
    </x:row>
    <x:row r="5" ht="42" customHeight="1">
      <x:c r="A5" t="str">
        <x:v>Quantitative training-view rows</x:v>
      </x:c>
      <x:c r="B5" t="n">
        <x:v>19</x:v>
      </x:c>
      <x:c r="D5" s="20" t="str">
        <x:v>Core size</x:v>
      </x:c>
      <x:c r="E5" s="20" t="str">
        <x:v>WEAK</x:v>
      </x:c>
      <x:c r="F5" s="20" t="str">
        <x:v>RF MAE 0.355 nm vs baseline 0.463 nm; OOF R² -0.098</x:v>
      </x:c>
      <x:c r="G5" s="20" t="str">
        <x:v>Some error reduction, but not generalizable</x:v>
      </x:c>
      <x:c r="H5" s="20" t="str">
        <x:v>More independent direct size-labeled peptide families</x:v>
      </x:c>
    </x:row>
    <x:row r="6" ht="42" customHeight="1">
      <x:c r="A6" t="str">
        <x:v>Independent training paper groups</x:v>
      </x:c>
      <x:c r="B6" t="n">
        <x:v>11</x:v>
      </x:c>
      <x:c r="D6" s="20" t="str">
        <x:v>PLQY</x:v>
      </x:c>
      <x:c r="E6" s="20" t="str">
        <x:v>WEAK</x:v>
      </x:c>
      <x:c r="F6" s="20" t="str">
        <x:v>HGB MAE 6.941 vs baseline 7.697; OOF R² -0.269</x:v>
      </x:c>
      <x:c r="G6" s="20" t="str">
        <x:v>Small MAE improvement only</x:v>
      </x:c>
      <x:c r="H6" s="20" t="str">
        <x:v>Independent QY panels beyond W20</x:v>
      </x:c>
    </x:row>
    <x:row r="7" ht="42" customHeight="1">
      <x:c r="A7" t="str">
        <x:v>Direct A1 atomic peptide-AuNC records</x:v>
      </x:c>
      <x:c r="B7" t="n">
        <x:f>COUNTIF(PepAuDB_v0.5!C4:C64,"A1 DIRECT_PEPTIDE_ATOMIC_AUNC")</x:f>
        <x:v>8</x:v>
      </x:c>
      <x:c r="D7" s="20" t="str">
        <x:v>Au nuclearity</x:v>
      </x:c>
      <x:c r="E7" s="20" t="str">
        <x:v>FIRST RUN — FAIL</x:v>
      </x:c>
      <x:c r="F7" s="20" t="str">
        <x:v>N=6 across 5 papers; GP MAE 5.416 atoms vs baseline 4.667</x:v>
      </x:c>
      <x:c r="G7" s="20" t="str">
        <x:v>Important milestone: diagnostic gate passes, but ML is worse than baseline</x:v>
      </x:c>
      <x:c r="H7" s="20" t="str">
        <x:v>More exact atomic peptide families + complete synthesis context</x:v>
      </x:c>
    </x:row>
    <x:row r="8" ht="42" customHeight="1">
      <x:c r="A8" t="str">
        <x:v>Nuclearity-labeled training rows</x:v>
      </x:c>
      <x:c r="B8" t="n">
        <x:v>6</x:v>
      </x:c>
      <x:c r="D8" s="20" t="str">
        <x:v>Formation</x:v>
      </x:c>
      <x:c r="E8" s="20" t="str">
        <x:v>STOP</x:v>
      </x:c>
      <x:c r="F8" s="20" t="str">
        <x:v>3 matched negatives across only 2 papers</x:v>
      </x:c>
      <x:c r="G8" s="20" t="str">
        <x:v>Better than v0.4, still severely underdetermined</x:v>
      </x:c>
      <x:c r="H8" s="20" t="str">
        <x:v>Explicit failures from independent studies</x:v>
      </x:c>
    </x:row>
    <x:row r="9" ht="42" customHeight="1">
      <x:c r="A9" t="str">
        <x:v>Core-size-labeled training rows</x:v>
      </x:c>
      <x:c r="B9" t="n">
        <x:v>12</x:v>
      </x:c>
      <x:c r="D9" s="20" t="str">
        <x:v>PTT</x:v>
      </x:c>
      <x:c r="E9" s="20" t="str">
        <x:v>STOP</x:v>
      </x:c>
      <x:c r="F9" s="20" t="str">
        <x:v>No direct trainable peptide-templated AuNC PTT panel</x:v>
      </x:c>
      <x:c r="G9" s="20" t="str">
        <x:v>Benchmark/reference only</x:v>
      </x:c>
      <x:c r="H9" s="20" t="str">
        <x:v>Direct sequence+synthesis+laser→PCE/ΔT studies</x:v>
      </x:c>
    </x:row>
    <x:row r="10" ht="42" customHeight="1">
      <x:c r="A10" t="str">
        <x:v>Emission-labeled training rows</x:v>
      </x:c>
      <x:c r="B10" t="n">
        <x:v>13</x:v>
      </x:c>
      <x:c r="D10" s="20" t="str">
        <x:v>Streamlit evidence platform</x:v>
      </x:c>
      <x:c r="E10" s="20" t="str">
        <x:v>GO</x:v>
      </x:c>
      <x:c r="F10" s="20" t="str">
        <x:v>Database, QC, ranking evidence, OOD/model-card framework available</x:v>
      </x:c>
      <x:c r="G10" s="20" t="str">
        <x:v>Professional evidence explorer can be deployed now</x:v>
      </x:c>
      <x:c r="H10" s="20" t="str">
        <x:v>Build research-only interface without predictive-accuracy badge</x:v>
      </x:c>
    </x:row>
    <x:row r="11" ht="42" customHeight="1">
      <x:c r="A11" t="str">
        <x:v>PLQY-labeled training rows</x:v>
      </x:c>
      <x:c r="B11" t="n">
        <x:v>14</x:v>
      </x:c>
      <x:c r="D11" s="20"/>
      <x:c r="E11" s="20"/>
      <x:c r="F11" s="20"/>
      <x:c r="G11" s="20"/>
      <x:c r="H11" s="20"/>
    </x:row>
    <x:row r="12" ht="19" customHeight="1">
      <x:c r="A12" t="str">
        <x:v>Explicit matched formation negatives</x:v>
      </x:c>
      <x:c r="B12" t="n">
        <x:v>3</x:v>
      </x:c>
    </x:row>
    <x:row r="13" ht="19" customHeight="1">
      <x:c r="A13" t="str">
        <x:v>Independent papers contributing negatives</x:v>
      </x:c>
      <x:c r="B13" t="n">
        <x:v>2</x:v>
      </x:c>
    </x:row>
    <x:row r="14" ht="19" customHeight="1">
      <x:c r="A14" t="str">
        <x:v>Verified relative PL comparisons</x:v>
      </x:c>
      <x:c r="B14" t="n">
        <x:v>8</x:v>
      </x:c>
    </x:row>
    <x:row r="15" ht="19" customHeight="1">
      <x:c r="A15" t="str">
        <x:v>PTT learned-model status</x:v>
      </x:c>
      <x:c r="B15" t="str">
        <x:v>STOP</x:v>
      </x:c>
      <x:c r="D15" s="62" t="str">
        <x:v>Labeled evidence</x:v>
      </x:c>
      <x:c r="E15" s="62" t="str">
        <x:v>Rows</x:v>
      </x:c>
    </x:row>
    <x:row r="16" ht="19" customHeight="1">
      <x:c r="A16" t="str">
        <x:v>Production predictor status</x:v>
      </x:c>
      <x:c r="B16" t="str">
        <x:v>STOP</x:v>
      </x:c>
      <x:c r="D16" t="str">
        <x:v>Nuclearity</x:v>
      </x:c>
      <x:c r="E16" t="n">
        <x:v>6</x:v>
      </x:c>
    </x:row>
    <x:row r="17" ht="19" customHeight="1">
      <x:c r="A17" t="str">
        <x:v>Evidence/Streamlit platform status</x:v>
      </x:c>
      <x:c r="B17" t="str">
        <x:v>GO</x:v>
      </x:c>
      <x:c r="D17" t="str">
        <x:v>Core size</x:v>
      </x:c>
      <x:c r="E17" t="n">
        <x:v>12</x:v>
      </x:c>
    </x:row>
    <x:row r="18" ht="19" customHeight="1">
      <x:c r="D18" t="str">
        <x:v>Emission</x:v>
      </x:c>
      <x:c r="E18" t="n">
        <x:v>13</x:v>
      </x:c>
    </x:row>
    <x:row r="19" ht="19" customHeight="1">
      <x:c r="D19" t="str">
        <x:v>PLQY</x:v>
      </x:c>
      <x:c r="E19" t="n">
        <x:v>14</x:v>
      </x:c>
    </x:row>
    <x:row r="20" ht="19" customHeight="1">
      <x:c r="A20" s="62" t="str">
        <x:v>Major v0.5 gain</x:v>
      </x:c>
      <x:c r="B20" s="62" t="str">
        <x:v>Why it matters</x:v>
      </x:c>
      <x:c r="D20" t="str">
        <x:v>Formation negatives</x:v>
      </x:c>
      <x:c r="E20" t="n">
        <x:v>3</x:v>
      </x:c>
    </x:row>
    <x:row r="21" ht="30" customHeight="1">
      <x:c r="A21" s="20" t="str">
        <x:v>W18 Au8 CCIHK(Ac)</x:v>
      </x:c>
      <x:c r="B21" s="20" t="str">
        <x:v>Exact Au8 peptide record with ~1.1 nm size, QY 21.7%, and explicit short synthesis protocol.</x:v>
      </x:c>
    </x:row>
    <x:row r="22" ht="30" customHeight="1">
      <x:c r="A22" s="20" t="str">
        <x:v>Chemical modification feature</x:v>
      </x:c>
      <x:c r="B22" s="20" t="str">
        <x:v>Acetylation is now encoded explicitly rather than silently collapsed into sequence-only descriptors.</x:v>
      </x:c>
    </x:row>
    <x:row r="23" ht="30" customHeight="1">
      <x:c r="A23" s="20" t="str">
        <x:v>W24 Au16 C(GRP)3</x:v>
      </x:c>
      <x:c r="B23" s="20" t="str">
        <x:v>Adds an independent exact Au16 peptide family with NIR emission at 680 nm.</x:v>
      </x:c>
    </x:row>
    <x:row r="24" ht="30" customHeight="1">
      <x:c r="A24" s="20" t="str">
        <x:v>W24 Cys-free failure</x:v>
      </x:c>
      <x:c r="B24" s="20" t="str">
        <x:v>Matched Cys-ablation control establishes a genuine formation negative.</x:v>
      </x:c>
    </x:row>
    <x:row r="25" ht="30" customHeight="1">
      <x:c r="A25" s="20" t="str">
        <x:v>W24 Pro-free failure</x:v>
      </x:c>
      <x:c r="B25" s="20" t="str">
        <x:v>Matched topology/conformation control establishes a second independent failure mechanism.</x:v>
      </x:c>
    </x:row>
    <x:row r="26" ht="30" customHeight="1">
      <x:c r="A26" s="20" t="str">
        <x:v>Nuclearity benchmark unlocked</x:v>
      </x:c>
      <x:c r="B26" s="20" t="str">
        <x:v>Six curated nuclearity labels now meet the unchanged diagnostic gate; the first result fails, preventing a false accuracy claim.</x:v>
      </x:c>
    </x:row>
    <x:row r="27" ht="30" customHeight="1">
      <x:c r="A27" s="20" t="str">
        <x:v>Domain separation retained</x:v>
      </x:c>
      <x:c r="B27" s="20" t="str">
        <x:v>CCYWDAHRDY-BSA-AuNC is benchmark-only because peptide was coupled after BSA-AuNC synthesis.</x:v>
      </x:c>
    </x:row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  <x:row r="101" ht="19" customHeight="1"/>
    <x:row r="102" ht="19" customHeight="1"/>
    <x:row r="103" ht="19" customHeight="1"/>
    <x:row r="104" ht="19" customHeight="1"/>
    <x:row r="105" ht="19" customHeight="1"/>
    <x:row r="106" ht="19" customHeight="1"/>
    <x:row r="107" ht="19" customHeight="1"/>
    <x:row r="108" ht="19" customHeight="1"/>
    <x:row r="109" ht="19" customHeight="1"/>
    <x:row r="110" ht="19" customHeight="1"/>
    <x:row r="111" ht="19" customHeight="1"/>
    <x:row r="112" ht="19" customHeight="1"/>
    <x:row r="113" ht="19" customHeight="1"/>
    <x:row r="114" ht="19" customHeight="1"/>
    <x:row r="115" ht="19" customHeight="1"/>
    <x:row r="116" ht="19" customHeight="1"/>
    <x:row r="117" ht="19" customHeight="1"/>
    <x:row r="118" ht="19" customHeight="1"/>
    <x:row r="119" ht="19" customHeight="1"/>
    <x:row r="120" ht="19" customHeight="1"/>
  </x:sheetData>
  <x:mergeCells>
    <x:mergeCell ref="A1:J1"/>
  </x:mergeCells>
  <x:pageMargins left="0.7" right="0.7" top="0.75" bottom="0.75" header="0.3" footer="0.3"/>
  <x:drawing xmlns:r="http://schemas.openxmlformats.org/officeDocument/2006/relationships" r:id="R5ff4f6356b6743c3"/>
</x:worksheet>
</file>

<file path=xl/worksheets/sheet37.xml><?xml version="1.0" encoding="utf-8"?>
<x:worksheet xmlns:x="http://schemas.openxmlformats.org/spreadsheetml/2006/main">
  <x:sheetFormatPr defaultRowHeight="15"/>
  <x:sheetData>
    <x:row r="1">
      <x:c r="A1" s="57" t="str">
        <x:v>Relative Photoluminescence Evidence — v0.5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</x:row>
    <x:row r="2">
      <x:c r="A2"/>
      <x:c r="B2"/>
      <x:c r="C2"/>
      <x:c r="D2"/>
      <x:c r="E2"/>
      <x:c r="F2"/>
      <x:c r="G2"/>
      <x:c r="H2"/>
      <x:c r="I2"/>
      <x:c r="J2"/>
      <x:c r="K2"/>
    </x:row>
    <x:row r="3">
      <x:c r="A3" t="str">
        <x:v>Panel_ID</x:v>
      </x:c>
      <x:c r="B3" t="str">
        <x:v>Source_ID</x:v>
      </x:c>
      <x:c r="C3" t="str">
        <x:v>Sequence_A</x:v>
      </x:c>
      <x:c r="D3" t="str">
        <x:v>Sequence_B</x:v>
      </x:c>
      <x:c r="E3" t="str">
        <x:v>Comparison_Type</x:v>
      </x:c>
      <x:c r="F3" t="str">
        <x:v>Observed_Relationship</x:v>
      </x:c>
      <x:c r="G3" t="str">
        <x:v>Fold_Change</x:v>
      </x:c>
      <x:c r="H3" t="str">
        <x:v>Condition</x:v>
      </x:c>
      <x:c r="I3" t="str">
        <x:v>Training_Use</x:v>
      </x:c>
      <x:c r="J3" t="str">
        <x:v>DOI_URL</x:v>
      </x:c>
      <x:c r="K3" t="str">
        <x:v>Scientific_Note</x:v>
      </x:c>
    </x:row>
    <x:row r="4">
      <x:c r="A4" t="str">
        <x:v>PL001</x:v>
      </x:c>
      <x:c r="B4" t="str">
        <x:v>W23</x:v>
      </x:c>
      <x:c r="C4" t="str">
        <x:v>Ac-CGGGDD</x:v>
      </x:c>
      <x:c r="D4" t="str">
        <x:v>CGGGDD</x:v>
      </x:c>
      <x:c r="E4" t="str">
        <x:v>N-terminal acetylation</x:v>
      </x:c>
      <x:c r="F4" t="str">
        <x:v>Ac-CGGGDD brighter than CGGGDD</x:v>
      </x:c>
      <x:c r="G4" t="n">
        <x:v>1.38</x:v>
      </x:c>
      <x:c r="H4" t="str">
        <x:v>Same synthesis; λex 400 nm</x:v>
      </x:c>
      <x:c r="I4" t="str">
        <x:v>PAIRWISE_RANKING</x:v>
      </x:c>
      <x:c r="J4" t="str">
        <x:v>https://doi.org/10.1021/jacs.8b04436</x:v>
      </x:c>
      <x:c r="K4" t="str">
        <x:v>Relative intensity only; do not convert to absolute QY.</x:v>
      </x:c>
    </x:row>
    <x:row r="5">
      <x:c r="A5" t="str">
        <x:v>PL002</x:v>
      </x:c>
      <x:c r="B5" t="str">
        <x:v>W23</x:v>
      </x:c>
      <x:c r="C5" t="str">
        <x:v>Ac-CHGGDD</x:v>
      </x:c>
      <x:c r="D5" t="str">
        <x:v>CHGGDD</x:v>
      </x:c>
      <x:c r="E5" t="str">
        <x:v>N-terminal acetylation</x:v>
      </x:c>
      <x:c r="F5" t="str">
        <x:v>Ac-CHGGDD brighter than CHGGDD</x:v>
      </x:c>
      <x:c r="G5" t="n">
        <x:v>3.95</x:v>
      </x:c>
      <x:c r="H5" t="str">
        <x:v>Same synthesis; λex 400 nm</x:v>
      </x:c>
      <x:c r="I5" t="str">
        <x:v>PAIRWISE_RANKING</x:v>
      </x:c>
      <x:c r="J5" t="str">
        <x:v>https://doi.org/10.1021/jacs.8b04436</x:v>
      </x:c>
      <x:c r="K5" t="str">
        <x:v>Strong acetylation effect.</x:v>
      </x:c>
    </x:row>
    <x:row r="6">
      <x:c r="A6" t="str">
        <x:v>PL003</x:v>
      </x:c>
      <x:c r="B6" t="str">
        <x:v>W23</x:v>
      </x:c>
      <x:c r="C6" t="str">
        <x:v>Ac-CHYGDD</x:v>
      </x:c>
      <x:c r="D6" t="str">
        <x:v>CHYGDD</x:v>
      </x:c>
      <x:c r="E6" t="str">
        <x:v>N-terminal acetylation</x:v>
      </x:c>
      <x:c r="F6" t="str">
        <x:v>Ac-CHYGDD brighter than CHYGDD</x:v>
      </x:c>
      <x:c r="G6" t="n">
        <x:v>3.43</x:v>
      </x:c>
      <x:c r="H6" t="str">
        <x:v>Same synthesis; λex 400 nm</x:v>
      </x:c>
      <x:c r="I6" t="str">
        <x:v>PAIRWISE_RANKING</x:v>
      </x:c>
      <x:c r="J6" t="str">
        <x:v>https://doi.org/10.1021/jacs.8b04436</x:v>
      </x:c>
      <x:c r="K6" t="str">
        <x:v>CHYGDD representative emits near 700 nm.</x:v>
      </x:c>
    </x:row>
    <x:row r="7">
      <x:c r="A7" t="str">
        <x:v>PL004</x:v>
      </x:c>
      <x:c r="B7" t="str">
        <x:v>W23</x:v>
      </x:c>
      <x:c r="C7" t="str">
        <x:v>Ac-CYHGDD</x:v>
      </x:c>
      <x:c r="D7" t="str">
        <x:v>CYHGDD</x:v>
      </x:c>
      <x:c r="E7" t="str">
        <x:v>N-terminal acetylation</x:v>
      </x:c>
      <x:c r="F7" t="str">
        <x:v>Ac-CYHGDD brighter than CYHGDD</x:v>
      </x:c>
      <x:c r="G7" t="n">
        <x:v>2.57</x:v>
      </x:c>
      <x:c r="H7" t="str">
        <x:v>Same synthesis; λex 400 nm</x:v>
      </x:c>
      <x:c r="I7" t="str">
        <x:v>PAIRWISE_RANKING</x:v>
      </x:c>
      <x:c r="J7" t="str">
        <x:v>https://doi.org/10.1021/jacs.8b04436</x:v>
      </x:c>
      <x:c r="K7" t="str">
        <x:v>Acetylation changes ligand-core/water interactions.</x:v>
      </x:c>
    </x:row>
    <x:row r="8">
      <x:c r="A8" t="str">
        <x:v>PL005</x:v>
      </x:c>
      <x:c r="B8" t="str">
        <x:v>W23</x:v>
      </x:c>
      <x:c r="C8" t="str">
        <x:v>CYGGDD</x:v>
      </x:c>
      <x:c r="D8" t="str">
        <x:v>CGYGDD</x:v>
      </x:c>
      <x:c r="E8" t="str">
        <x:v>Tyrosine position</x:v>
      </x:c>
      <x:c r="F8" t="str">
        <x:v>CYGGDD brighter than CGYGDD</x:v>
      </x:c>
      <x:c r="G8"/>
      <x:c r="H8" t="str">
        <x:v>Same synthesis</x:v>
      </x:c>
      <x:c r="I8" t="str">
        <x:v>PAIRWISE_RANKING</x:v>
      </x:c>
      <x:c r="J8" t="str">
        <x:v>https://doi.org/10.1021/jacs.8b04436</x:v>
      </x:c>
      <x:c r="K8" t="str">
        <x:v>Closer Tyr to Cys/Au surface increases emission.</x:v>
      </x:c>
    </x:row>
    <x:row r="9">
      <x:c r="A9" t="str">
        <x:v>PL006</x:v>
      </x:c>
      <x:c r="B9" t="str">
        <x:v>W23</x:v>
      </x:c>
      <x:c r="C9" t="str">
        <x:v>CYYGDD</x:v>
      </x:c>
      <x:c r="D9" t="str">
        <x:v>CYGGDD</x:v>
      </x:c>
      <x:c r="E9" t="str">
        <x:v>Aromatic residue count</x:v>
      </x:c>
      <x:c r="F9" t="str">
        <x:v>CYYGDD brighter than CYGGDD</x:v>
      </x:c>
      <x:c r="G9"/>
      <x:c r="H9" t="str">
        <x:v>Same synthesis</x:v>
      </x:c>
      <x:c r="I9" t="str">
        <x:v>PAIRWISE_RANKING</x:v>
      </x:c>
      <x:c r="J9" t="str">
        <x:v>https://doi.org/10.1021/jacs.8b04436</x:v>
      </x:c>
      <x:c r="K9" t="str">
        <x:v>More aromatic electron-donating groups increased PL.</x:v>
      </x:c>
    </x:row>
    <x:row r="10">
      <x:c r="A10" t="str">
        <x:v>PL007</x:v>
      </x:c>
      <x:c r="B10" t="str">
        <x:v>W23</x:v>
      </x:c>
      <x:c r="C10" t="str">
        <x:v>CGGGDD@pH5.5</x:v>
      </x:c>
      <x:c r="D10" t="str">
        <x:v>CGGGDD@pH7.5</x:v>
      </x:c>
      <x:c r="E10" t="str">
        <x:v>pH</x:v>
      </x:c>
      <x:c r="F10" t="str">
        <x:v>Lower-pH sample brighter</x:v>
      </x:c>
      <x:c r="G10"/>
      <x:c r="H10" t="str">
        <x:v>Same peptide; pH 5.5 vs 7.5</x:v>
      </x:c>
      <x:c r="I10" t="str">
        <x:v>CONDITION_RANKING</x:v>
      </x:c>
      <x:c r="J10" t="str">
        <x:v>https://doi.org/10.1021/jacs.8b04436</x:v>
      </x:c>
      <x:c r="K10" t="str">
        <x:v>pH effect linked to N-terminal protonation.</x:v>
      </x:c>
    </x:row>
    <x:row r="11">
      <x:c r="A11" t="str">
        <x:v>PL008</x:v>
      </x:c>
      <x:c r="B11" t="str">
        <x:v>W23</x:v>
      </x:c>
      <x:c r="C11" t="str">
        <x:v>CHYGDD@pH5.5</x:v>
      </x:c>
      <x:c r="D11" t="str">
        <x:v>CHYGDD@pH7.5</x:v>
      </x:c>
      <x:c r="E11" t="str">
        <x:v>pH</x:v>
      </x:c>
      <x:c r="F11" t="str">
        <x:v>Lower-pH sample brighter</x:v>
      </x:c>
      <x:c r="G11"/>
      <x:c r="H11" t="str">
        <x:v>Same peptide; pH 5.5 vs 7.5</x:v>
      </x:c>
      <x:c r="I11" t="str">
        <x:v>CONDITION_RANKING</x:v>
      </x:c>
      <x:c r="J11" t="str">
        <x:v>https://doi.org/10.1021/jacs.8b04436</x:v>
      </x:c>
      <x:c r="K11" t="str">
        <x:v>Useful condition-aware ranking evidence.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2" hidden="0" customWidth="1"/>
    <x:col min="4" max="4" width="28" hidden="0" customWidth="1"/>
    <x:col min="5" max="5" width="18" hidden="0" customWidth="1"/>
    <x:col min="6" max="6" width="14" hidden="0" customWidth="1"/>
    <x:col min="7" max="7" width="13" hidden="0" customWidth="1"/>
    <x:col min="8" max="8" width="14" hidden="0" customWidth="1"/>
    <x:col min="9" max="9" width="24" hidden="0" customWidth="1"/>
    <x:col min="10" max="10" width="44" hidden="0" customWidth="1"/>
    <x:col min="11" max="11" width="64" hidden="0" customWidth="1"/>
    <x:col min="12" max="12" width="44" hidden="0" customWidth="1"/>
  </x:cols>
  <x:sheetData>
    <x:row r="1">
      <x:c r="A1" s="57" t="str">
        <x:v>Atomic Nuclearity Evidence Audit — PepAuDB v0.5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</x:row>
    <x:row r="3">
      <x:c r="A3" s="62" t="str">
        <x:v>Record_ID</x:v>
      </x:c>
      <x:c r="B3" s="62" t="str">
        <x:v>Source_ID</x:v>
      </x:c>
      <x:c r="C3" s="62" t="str">
        <x:v>Sequence</x:v>
      </x:c>
      <x:c r="D3" s="62" t="str">
        <x:v>Modification</x:v>
      </x:c>
      <x:c r="E3" s="62" t="str">
        <x:v>Metal_Composition</x:v>
      </x:c>
      <x:c r="F3" s="62" t="str">
        <x:v>Au_Nuclearity</x:v>
      </x:c>
      <x:c r="G3" s="62" t="str">
        <x:v>Core_Size_nm</x:v>
      </x:c>
      <x:c r="H3" s="62" t="str">
        <x:v>Paper_Group</x:v>
      </x:c>
      <x:c r="I3" s="62" t="str">
        <x:v>Training_Use</x:v>
      </x:c>
      <x:c r="J3" s="62" t="str">
        <x:v>Primary_Strength</x:v>
      </x:c>
      <x:c r="K3" s="62" t="str">
        <x:v>Critical_Caveat</x:v>
      </x:c>
      <x:c r="L3" s="62" t="str">
        <x:v>DOI_URL</x:v>
      </x:c>
    </x:row>
    <x:row r="4">
      <x:c r="A4" s="20" t="str">
        <x:v>R015</x:v>
      </x:c>
      <x:c r="B4" s="20" t="str">
        <x:v>S10</x:v>
      </x:c>
      <x:c r="C4" s="20" t="str">
        <x:v>ECG</x:v>
      </x:c>
      <x:c r="D4" s="20" t="str">
        <x:v>GSH ligand</x:v>
      </x:c>
      <x:c r="E4" s="20" t="str">
        <x:v>pure_Au</x:v>
      </x:c>
      <x:c r="F4" s="20" t="n">
        <x:v>22</x:v>
      </x:c>
      <x:c r="G4" s="20" t="n">
        <x:v>1.5</x:v>
      </x:c>
      <x:c r="H4" s="20" t="str">
        <x:v>S10</x:v>
      </x:c>
      <x:c r="I4" s="20" t="str">
        <x:v>TRAIN_CORE</x:v>
      </x:c>
      <x:c r="J4" s="20" t="str">
        <x:v>Direct atomic peptide-ligand Au22 record</x:v>
      </x:c>
      <x:c r="K4" s="20" t="str">
        <x:v>Same source family as R016; group together in validation.</x:v>
      </x:c>
      <x:c r="L4" s="20" t="str">
        <x:v>https://doi.org/10.1126/sciadv.adh7828</x:v>
      </x:c>
    </x:row>
    <x:row r="5">
      <x:c r="A5" s="20" t="str">
        <x:v>R016</x:v>
      </x:c>
      <x:c r="B5" s="20" t="str">
        <x:v>S10</x:v>
      </x:c>
      <x:c r="C5" s="20" t="str">
        <x:v>ECG</x:v>
      </x:c>
      <x:c r="D5" s="20" t="str">
        <x:v>GSH ligand</x:v>
      </x:c>
      <x:c r="E5" s="20" t="str">
        <x:v>AuCu</x:v>
      </x:c>
      <x:c r="F5" s="20" t="n">
        <x:v>21</x:v>
      </x:c>
      <x:c r="G5" s="20" t="n">
        <x:v>1.5</x:v>
      </x:c>
      <x:c r="H5" s="20" t="str">
        <x:v>S10</x:v>
      </x:c>
      <x:c r="I5" s="20" t="str">
        <x:v>TRAIN_CORE</x:v>
      </x:c>
      <x:c r="J5" s="20" t="str">
        <x:v>Direct Au21Cu1 atomic record</x:v>
      </x:c>
      <x:c r="K5" s="20" t="str">
        <x:v>Not pure Au; metal composition must remain a feature.</x:v>
      </x:c>
      <x:c r="L5" s="20" t="str">
        <x:v>https://doi.org/10.1126/sciadv.adh7828</x:v>
      </x:c>
    </x:row>
    <x:row r="6">
      <x:c r="A6" s="20" t="str">
        <x:v>R026</x:v>
      </x:c>
      <x:c r="B6" s="20" t="str">
        <x:v>W03</x:v>
      </x:c>
      <x:c r="C6" s="20" t="str">
        <x:v>CCYLQLQAEER</x:v>
      </x:c>
      <x:c r="D6" s="20" t="str">
        <x:v>C-terminal amide</x:v>
      </x:c>
      <x:c r="E6" s="20" t="str">
        <x:v>pure_Au</x:v>
      </x:c>
      <x:c r="F6" s="20" t="n">
        <x:v>21</x:v>
      </x:c>
      <x:c r="G6" s="20" t="n">
        <x:v>2</x:v>
      </x:c>
      <x:c r="H6" s="20" t="str">
        <x:v>W03</x:v>
      </x:c>
      <x:c r="I6" s="20" t="str">
        <x:v>TRAIN_CORE</x:v>
      </x:c>
      <x:c r="J6" s="20" t="str">
        <x:v>MALDI-supported Au21 peptide cluster</x:v>
      </x:c>
      <x:c r="K6" s="20" t="str">
        <x:v>Entire study held as one paper group.</x:v>
      </x:c>
      <x:c r="L6" s="20" t="str">
        <x:v>https://doi.org/10.1039/C5RA20113F</x:v>
      </x:c>
    </x:row>
    <x:row r="7">
      <x:c r="A7" s="20" t="str">
        <x:v>R028</x:v>
      </x:c>
      <x:c r="B7" s="20" t="str">
        <x:v>W05</x:v>
      </x:c>
      <x:c r="C7" s="20" t="str">
        <x:v>CCYGGPKKKRKPG</x:v>
      </x:c>
      <x:c r="D7" s="20" t="str">
        <x:v>NH2-/COOH termini</x:v>
      </x:c>
      <x:c r="E7" s="20" t="str">
        <x:v>pure_Au</x:v>
      </x:c>
      <x:c r="F7" s="20" t="n">
        <x:v>25</x:v>
      </x:c>
      <x:c r="G7" s="20"/>
      <x:c r="H7" s="20" t="str">
        <x:v>W05</x:v>
      </x:c>
      <x:c r="I7" s="20" t="str">
        <x:v>TRAIN_STRUCTURE_ONLY</x:v>
      </x:c>
      <x:c r="J7" s="20" t="str">
        <x:v>Au25Sv9 atomic peptide cluster</x:v>
      </x:c>
      <x:c r="K7" s="20" t="str">
        <x:v>Complete synthesis quantities still pending primary extraction.</x:v>
      </x:c>
      <x:c r="L7" s="20" t="str">
        <x:v>https://doi.org/10.1016/j.scib.2017.03.024</x:v>
      </x:c>
    </x:row>
    <x:row r="8">
      <x:c r="A8" s="20" t="str">
        <x:v>R055</x:v>
      </x:c>
      <x:c r="B8" s="20" t="str">
        <x:v>W18</x:v>
      </x:c>
      <x:c r="C8" s="20" t="str">
        <x:v>CCIHK</x:v>
      </x:c>
      <x:c r="D8" s="20" t="str">
        <x:v>Lys acetylated: CCIHK(Ac)</x:v>
      </x:c>
      <x:c r="E8" s="20" t="str">
        <x:v>pure_Au</x:v>
      </x:c>
      <x:c r="F8" s="20" t="n">
        <x:v>8</x:v>
      </x:c>
      <x:c r="G8" s="20" t="n">
        <x:v>1.1</x:v>
      </x:c>
      <x:c r="H8" s="20" t="str">
        <x:v>W18</x:v>
      </x:c>
      <x:c r="I8" s="20" t="str">
        <x:v>TRAIN_CORE</x:v>
      </x:c>
      <x:c r="J8" s="20" t="str">
        <x:v>MALDI-TOF Au8(peptide)2(MPA)2 + primary SI protocol</x:v>
      </x:c>
      <x:c r="K8" s="20" t="str">
        <x:v>Chemical acetylation must be encoded; do not collapse to plain CCIHK only.</x:v>
      </x:c>
      <x:c r="L8" s="20" t="str">
        <x:v>https://doi.org/10.1021/ac403308b</x:v>
      </x:c>
    </x:row>
    <x:row r="9">
      <x:c r="A9" s="20" t="str">
        <x:v>R058</x:v>
      </x:c>
      <x:c r="B9" s="20" t="str">
        <x:v>W24</x:v>
      </x:c>
      <x:c r="C9" s="20" t="str">
        <x:v>CGRPGRPGRP</x:v>
      </x:c>
      <x:c r="D9" s="20" t="str">
        <x:v>None</x:v>
      </x:c>
      <x:c r="E9" s="20" t="str">
        <x:v>pure_Au</x:v>
      </x:c>
      <x:c r="F9" s="20" t="n">
        <x:v>16</x:v>
      </x:c>
      <x:c r="G9" s="20" t="n">
        <x:v>0.74</x:v>
      </x:c>
      <x:c r="H9" s="20" t="str">
        <x:v>W24</x:v>
      </x:c>
      <x:c r="I9" s="20" t="str">
        <x:v>TRAIN_CORE_STRUCTURE_OPTICAL</x:v>
      </x:c>
      <x:c r="J9" s="20" t="str">
        <x:v>Single MALDI peak = 16 Au + one peptide; SAXS structural evidence</x:v>
      </x:c>
      <x:c r="K9" s="20" t="str">
        <x:v>0.74 nm is derived diameter from reported 3.7 Å radius; exact synthesis quantities await ESI.</x:v>
      </x:c>
      <x:c r="L9" s="20" t="str">
        <x:v>https://doi.org/10.1039/C4CC03240C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b10e2c9168a4bef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2" hidden="0" customWidth="1"/>
    <x:col min="4" max="4" width="16" hidden="0" customWidth="1"/>
    <x:col min="5" max="5" width="29" hidden="0" customWidth="1"/>
    <x:col min="6" max="6" width="34" hidden="0" customWidth="1"/>
    <x:col min="7" max="7" width="42" hidden="0" customWidth="1"/>
    <x:col min="8" max="8" width="18" hidden="0" customWidth="1"/>
    <x:col min="9" max="9" width="42" hidden="0" customWidth="1"/>
    <x:col min="10" max="10" width="13" hidden="0" customWidth="1"/>
    <x:col min="11" max="11" width="12" hidden="0" customWidth="1"/>
    <x:col min="12" max="12" width="13" hidden="0" customWidth="1"/>
    <x:col min="13" max="13" width="16" hidden="0" customWidth="1"/>
    <x:col min="14" max="14" width="42" hidden="0" customWidth="1"/>
    <x:col min="15" max="15" width="23" hidden="0" customWidth="1"/>
    <x:col min="16" max="16" width="54" hidden="0" customWidth="1"/>
    <x:col min="17" max="17" width="34" hidden="0" customWidth="1"/>
    <x:col min="18" max="18" width="10" hidden="0" customWidth="1"/>
    <x:col min="19" max="19" width="13" hidden="0" customWidth="1"/>
    <x:col min="20" max="20" width="10" hidden="0" customWidth="1"/>
    <x:col min="21" max="21" width="54" hidden="0" customWidth="1"/>
    <x:col min="22" max="22" width="16" hidden="0" customWidth="1"/>
    <x:col min="23" max="23" width="32" hidden="0" customWidth="1"/>
    <x:col min="24" max="24" width="12" hidden="0" customWidth="1"/>
    <x:col min="25" max="25" width="20" hidden="0" customWidth="1"/>
    <x:col min="26" max="26" width="12" hidden="0" customWidth="1"/>
    <x:col min="27" max="27" width="10" hidden="0" customWidth="1"/>
    <x:col min="28" max="28" width="16" hidden="0" customWidth="1"/>
    <x:col min="29" max="29" width="18" hidden="0" customWidth="1"/>
    <x:col min="30" max="30" width="14" hidden="0" customWidth="1"/>
    <x:col min="31" max="31" width="32" hidden="0" customWidth="1"/>
    <x:col min="32" max="32" width="82" hidden="0" customWidth="1"/>
    <x:col min="33" max="33" width="42" hidden="0" customWidth="1"/>
    <x:col min="34" max="34" width="46" hidden="0" customWidth="1"/>
    <x:col min="35" max="35" width="16" hidden="0" customWidth="1"/>
    <x:col min="36" max="36" width="31" hidden="0" customWidth="1"/>
    <x:col min="37" max="37" width="34" hidden="0" customWidth="1"/>
    <x:col min="38" max="38" width="74" hidden="0" customWidth="1"/>
    <x:col min="39" max="39" width="14" hidden="0" customWidth="1"/>
    <x:col min="40" max="40" width="30" hidden="0" customWidth="1"/>
  </x:cols>
  <x:sheetData>
    <x:row r="1" ht="30" customHeight="1">
      <x:c r="A1" s="66" t="str">
        <x:v>PepAuDB v0.6 — Expanded Atomic-Nuclearity Library + Lab-Aware Validation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66"/>
      <x:c r="W1" s="66"/>
      <x:c r="X1" s="66"/>
      <x:c r="Y1" s="66"/>
      <x:c r="Z1" s="66"/>
      <x:c r="AA1" s="66"/>
      <x:c r="AB1" s="66"/>
      <x:c r="AC1" s="66"/>
      <x:c r="AD1" s="66"/>
      <x:c r="AE1" s="66"/>
      <x:c r="AF1" s="66"/>
      <x:c r="AG1" s="66"/>
      <x:c r="AH1" s="66"/>
      <x:c r="AI1" s="66"/>
      <x:c r="AJ1" s="66"/>
      <x:c r="AK1" s="66"/>
      <x:c r="AL1" s="66"/>
      <x:c r="AM1" s="66"/>
      <x:c r="AN1" s="66"/>
    </x:row>
    <x:row r="2" ht="19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</x:row>
    <x:row r="3" ht="34" customHeight="1">
      <x:c r="A3" s="71" t="str">
        <x:v>Record_ID</x:v>
      </x:c>
      <x:c r="B3" s="71" t="str">
        <x:v>Source_ID</x:v>
      </x:c>
      <x:c r="C3" s="71" t="str">
        <x:v>Evidence_Class</x:v>
      </x:c>
      <x:c r="D3" s="71" t="str">
        <x:v>Data_Status</x:v>
      </x:c>
      <x:c r="E3" s="71" t="str">
        <x:v>Material_Regime</x:v>
      </x:c>
      <x:c r="F3" s="71" t="str">
        <x:v>Peptide_or_Ligand</x:v>
      </x:c>
      <x:c r="G3" s="71" t="str">
        <x:v>Sequence</x:v>
      </x:c>
      <x:c r="H3" s="71" t="str">
        <x:v>Stereochemistry</x:v>
      </x:c>
      <x:c r="I3" s="71" t="str">
        <x:v>Terminal_or_Chemical_Modification</x:v>
      </x:c>
      <x:c r="J3" s="71" t="str">
        <x:v>Au_Nuclearity</x:v>
      </x:c>
      <x:c r="K3" s="71" t="str">
        <x:v>Ligand_Count</x:v>
      </x:c>
      <x:c r="L3" s="71" t="str">
        <x:v>Core_Size_nm</x:v>
      </x:c>
      <x:c r="M3" s="71" t="str">
        <x:v>Hydrodynamic_Size_nm</x:v>
      </x:c>
      <x:c r="N3" s="71" t="str">
        <x:v>Morphology</x:v>
      </x:c>
      <x:c r="O3" s="71" t="str">
        <x:v>Au_Precursor</x:v>
      </x:c>
      <x:c r="P3" s="71" t="str">
        <x:v>Peptide_or_Ligand_Condition</x:v>
      </x:c>
      <x:c r="Q3" s="71" t="str">
        <x:v>Reducing_Agent</x:v>
      </x:c>
      <x:c r="R3" s="71" t="str">
        <x:v>pH</x:v>
      </x:c>
      <x:c r="S3" s="71" t="str">
        <x:v>Temperature_C</x:v>
      </x:c>
      <x:c r="T3" s="71" t="str">
        <x:v>Time_h</x:v>
      </x:c>
      <x:c r="U3" s="71" t="str">
        <x:v>Mixing_or_Process</x:v>
      </x:c>
      <x:c r="V3" s="71" t="str">
        <x:v>Emission_Peak_nm</x:v>
      </x:c>
      <x:c r="W3" s="71" t="str">
        <x:v>Emission_Range_nm</x:v>
      </x:c>
      <x:c r="X3" s="71" t="str">
        <x:v>PLQY_pct</x:v>
      </x:c>
      <x:c r="Y3" s="71" t="str">
        <x:v>Absorption_or_LSPR_nm</x:v>
      </x:c>
      <x:c r="Z3" s="71" t="str">
        <x:v>Zeta_mV</x:v>
      </x:c>
      <x:c r="AA3" s="71" t="str">
        <x:v>Laser_nm</x:v>
      </x:c>
      <x:c r="AB3" s="71" t="str">
        <x:v>Laser_Power_W_cm2</x:v>
      </x:c>
      <x:c r="AC3" s="71" t="str">
        <x:v>PTT_Temperature_C</x:v>
      </x:c>
      <x:c r="AD3" s="71" t="str">
        <x:v>PTT_Time_min</x:v>
      </x:c>
      <x:c r="AE3" s="71" t="str">
        <x:v>Application</x:v>
      </x:c>
      <x:c r="AF3" s="71" t="str">
        <x:v>Key_Observation</x:v>
      </x:c>
      <x:c r="AG3" s="71" t="str">
        <x:v>Source_Locator</x:v>
      </x:c>
      <x:c r="AH3" s="71" t="str">
        <x:v>DOI_URL</x:v>
      </x:c>
      <x:c r="AI3" s="71" t="str">
        <x:v>Key_Field_Completeness_pct</x:v>
      </x:c>
      <x:c r="AJ3" s="71" t="str">
        <x:v>Training_Eligibility</x:v>
      </x:c>
      <x:c r="AK3" s="71" t="str">
        <x:v>Sequence_Status</x:v>
      </x:c>
      <x:c r="AL3" s="71" t="str">
        <x:v>QC_Flag</x:v>
      </x:c>
      <x:c r="AM3" s="71" t="str">
        <x:v>Research_Date</x:v>
      </x:c>
      <x:c r="AN3" s="71" t="str">
        <x:v>Source_Type</x:v>
      </x:c>
    </x:row>
    <x:row r="4" ht="19" customHeight="1">
      <x:c r="A4" s="20" t="str">
        <x:v>R001</x:v>
      </x:c>
      <x:c r="B4" s="20" t="str">
        <x:v>S01</x:v>
      </x:c>
      <x:c r="C4" s="20" t="str">
        <x:v>B1 PEPTIDE_AUNP_MECHANISM</x:v>
      </x:c>
      <x:c r="D4" s="20" t="str">
        <x:v>DIRECT</x:v>
      </x:c>
      <x:c r="E4" s="20" t="str">
        <x:v>gold_nanoparticle</x:v>
      </x:c>
      <x:c r="F4" s="20" t="str">
        <x:v>AAAKCK</x:v>
      </x:c>
      <x:c r="G4" s="20" t="str">
        <x:v>AAAKCK</x:v>
      </x:c>
      <x:c r="H4" s="20" t="str">
        <x:v>L</x:v>
      </x:c>
      <x:c r="I4" s="20" t="str">
        <x:v>None</x:v>
      </x:c>
      <x:c r="J4" s="20"/>
      <x:c r="K4" s="20"/>
      <x:c r="L4" s="20"/>
      <x:c r="M4" s="20"/>
      <x:c r="N4" s="20" t="str">
        <x:v>Mostly icosahedron/decahedron; some hexagonal plates</x:v>
      </x:c>
      <x:c r="O4" s="20" t="str">
        <x:v>HAuCl4</x:v>
      </x:c>
      <x:c r="P4" s="20" t="str">
        <x:v>7 mM peptide; 10 mM HAuCl4; 20 mM phosphate buffer</x:v>
      </x:c>
      <x:c r="Q4" s="20" t="str">
        <x:v>Peptide self-reduction</x:v>
      </x:c>
      <x:c r="R4" s="20" t="n">
        <x:v>4</x:v>
      </x:c>
      <x:c r="S4" s="20" t="n">
        <x:v>25</x:v>
      </x:c>
      <x:c r="T4" s="20"/>
      <x:c r="U4" s="20" t="str">
        <x:v>No stirring; room temperature</x:v>
      </x:c>
      <x:c r="V4" s="20"/>
      <x:c r="W4" s="20"/>
      <x:c r="X4" s="20"/>
      <x:c r="Y4" s="20"/>
      <x:c r="Z4" s="20"/>
      <x:c r="AA4" s="20"/>
      <x:c r="AB4" s="20"/>
      <x:c r="AC4" s="20"/>
      <x:c r="AD4" s="20"/>
      <x:c r="AE4" s="20" t="str">
        <x:v>Mechanistic</x:v>
      </x:c>
      <x:c r="AF4" s="20" t="str">
        <x:v>pH 4: 71.4% icosahedron/decahedron; size ranges 55–90, 50–100 and 65–125 nm for icosahedron/decahedron/plates</x:v>
      </x:c>
      <x:c r="AG4" s="20" t="str">
        <x:v>Main text p.5; Fig.6</x:v>
      </x:c>
      <x:c r="AH4" s="20" t="str">
        <x:v>https://doi.org/10.1021/acsomega.6b00140</x:v>
      </x:c>
      <x:c r="AI4" s="24" t="n">
        <x:f>ROUND(100*COUNTA(G4,J4,L4,R4,S4,T4,V4,X4,AA4,AC4)/10,0)</x:f>
        <x:v>30</x:v>
      </x:c>
      <x:c r="AJ4" s="20" t="str">
        <x:v>MECHANISTIC_ONLY</x:v>
      </x:c>
      <x:c r="AK4" s="20" t="str">
        <x:v>EXACT_FROM_UPLOADED_PRIMARY</x:v>
      </x:c>
      <x:c r="AL4" s="20" t="str">
        <x:v>Cross-regime peptide→gold mechanism; not an atomically precise AuNC training target.</x:v>
      </x:c>
      <x:c r="AM4" s="20" t="str">
        <x:v>2026-09-07</x:v>
      </x:c>
      <x:c r="AN4" s="20" t="str">
        <x:v>UPLOADED_PRIMARY_OR_REVIEW</x:v>
      </x:c>
    </x:row>
    <x:row r="5" ht="19" customHeight="1">
      <x:c r="A5" s="20" t="str">
        <x:v>R002</x:v>
      </x:c>
      <x:c r="B5" s="20" t="str">
        <x:v>S01</x:v>
      </x:c>
      <x:c r="C5" s="20" t="str">
        <x:v>B1 PEPTIDE_AUNP_MECHANISM</x:v>
      </x:c>
      <x:c r="D5" s="20" t="str">
        <x:v>DIRECT</x:v>
      </x:c>
      <x:c r="E5" s="20" t="str">
        <x:v>gold_nanoparticle</x:v>
      </x:c>
      <x:c r="F5" s="20" t="str">
        <x:v>AAAKCK</x:v>
      </x:c>
      <x:c r="G5" s="20" t="str">
        <x:v>AAAKCK</x:v>
      </x:c>
      <x:c r="H5" s="20" t="str">
        <x:v>L</x:v>
      </x:c>
      <x:c r="I5" s="20" t="str">
        <x:v>None</x:v>
      </x:c>
      <x:c r="J5" s="20"/>
      <x:c r="K5" s="20"/>
      <x:c r="L5" s="20"/>
      <x:c r="M5" s="20"/>
      <x:c r="N5" s="20" t="str">
        <x:v>Mixed; icosahedron/decahedron + bipyramids/spheres/plates</x:v>
      </x:c>
      <x:c r="O5" s="20" t="str">
        <x:v>HAuCl4</x:v>
      </x:c>
      <x:c r="P5" s="20" t="str">
        <x:v>7 mM peptide; 10 mM HAuCl4; 20 mM phosphate buffer</x:v>
      </x:c>
      <x:c r="Q5" s="20" t="str">
        <x:v>Peptide self-reduction</x:v>
      </x:c>
      <x:c r="R5" s="20" t="n">
        <x:v>6</x:v>
      </x:c>
      <x:c r="S5" s="20" t="n">
        <x:v>25</x:v>
      </x:c>
      <x:c r="T5" s="20"/>
      <x:c r="U5" s="20" t="str">
        <x:v>No stirring; room temperature</x:v>
      </x:c>
      <x:c r="V5" s="20"/>
      <x:c r="W5" s="20"/>
      <x:c r="X5" s="20"/>
      <x:c r="Y5" s="20"/>
      <x:c r="Z5" s="20"/>
      <x:c r="AA5" s="20"/>
      <x:c r="AB5" s="20"/>
      <x:c r="AC5" s="20"/>
      <x:c r="AD5" s="20"/>
      <x:c r="AE5" s="20" t="str">
        <x:v>Mechanistic</x:v>
      </x:c>
      <x:c r="AF5" s="20" t="str">
        <x:v>pH 6 reduces many size ranges vs pH 4; spherical/bipyramidal forms appear</x:v>
      </x:c>
      <x:c r="AG5" s="20" t="str">
        <x:v>Main text p.5; Fig.6</x:v>
      </x:c>
      <x:c r="AH5" s="20" t="str">
        <x:v>https://doi.org/10.1021/acsomega.6b00140</x:v>
      </x:c>
      <x:c r="AI5" s="24" t="n">
        <x:f>ROUND(100*COUNTA(G5,J5,L5,R5,S5,T5,V5,X5,AA5,AC5)/10,0)</x:f>
        <x:v>30</x:v>
      </x:c>
      <x:c r="AJ5" s="20" t="str">
        <x:v>MECHANISTIC_ONLY</x:v>
      </x:c>
      <x:c r="AK5" s="20" t="str">
        <x:v>EXACT_FROM_UPLOADED_PRIMARY</x:v>
      </x:c>
      <x:c r="AL5" s="20" t="str">
        <x:v>Cross-regime peptide→gold mechanism; not an atomically precise AuNC training target.</x:v>
      </x:c>
      <x:c r="AM5" s="20" t="str">
        <x:v>2026-09-07</x:v>
      </x:c>
      <x:c r="AN5" s="20" t="str">
        <x:v>UPLOADED_PRIMARY_OR_REVIEW</x:v>
      </x:c>
    </x:row>
    <x:row r="6" ht="19" customHeight="1">
      <x:c r="A6" s="20" t="str">
        <x:v>R003</x:v>
      </x:c>
      <x:c r="B6" s="20" t="str">
        <x:v>S01</x:v>
      </x:c>
      <x:c r="C6" s="20" t="str">
        <x:v>B1 PEPTIDE_AUNP_MECHANISM</x:v>
      </x:c>
      <x:c r="D6" s="20" t="str">
        <x:v>DIRECT</x:v>
      </x:c>
      <x:c r="E6" s="20" t="str">
        <x:v>gold_nanoparticle</x:v>
      </x:c>
      <x:c r="F6" s="20" t="str">
        <x:v>AAAKCK</x:v>
      </x:c>
      <x:c r="G6" s="20" t="str">
        <x:v>AAAKCK</x:v>
      </x:c>
      <x:c r="H6" s="20" t="str">
        <x:v>L</x:v>
      </x:c>
      <x:c r="I6" s="20" t="str">
        <x:v>None</x:v>
      </x:c>
      <x:c r="J6" s="20"/>
      <x:c r="K6" s="20"/>
      <x:c r="L6" s="20" t="n">
        <x:v>18</x:v>
      </x:c>
      <x:c r="M6" s="20"/>
      <x:c r="N6" s="20" t="str">
        <x:v>Predominantly spherical / low shape polydispersity</x:v>
      </x:c>
      <x:c r="O6" s="20" t="str">
        <x:v>HAuCl4</x:v>
      </x:c>
      <x:c r="P6" s="20" t="str">
        <x:v>7 mM peptide; 10 mM HAuCl4; 20 mM phosphate buffer</x:v>
      </x:c>
      <x:c r="Q6" s="20" t="str">
        <x:v>Peptide self-reduction</x:v>
      </x:c>
      <x:c r="R6" s="20" t="n">
        <x:v>9</x:v>
      </x:c>
      <x:c r="S6" s="20" t="n">
        <x:v>25</x:v>
      </x:c>
      <x:c r="T6" s="20"/>
      <x:c r="U6" s="20" t="str">
        <x:v>No stirring; room temperature</x:v>
      </x:c>
      <x:c r="V6" s="20"/>
      <x:c r="W6" s="20"/>
      <x:c r="X6" s="20"/>
      <x:c r="Y6" s="20"/>
      <x:c r="Z6" s="20"/>
      <x:c r="AA6" s="20"/>
      <x:c r="AB6" s="20"/>
      <x:c r="AC6" s="20"/>
      <x:c r="AD6" s="20"/>
      <x:c r="AE6" s="20" t="str">
        <x:v>Mechanistic</x:v>
      </x:c>
      <x:c r="AF6" s="20" t="str">
        <x:v>pH 9 produced low shape polydispersity with predominant ~18 nm particles</x:v>
      </x:c>
      <x:c r="AG6" s="20" t="str">
        <x:v>Main text p.5; Fig.6F</x:v>
      </x:c>
      <x:c r="AH6" s="20" t="str">
        <x:v>https://doi.org/10.1021/acsomega.6b00140</x:v>
      </x:c>
      <x:c r="AI6" s="24" t="n">
        <x:f>ROUND(100*COUNTA(G6,J6,L6,R6,S6,T6,V6,X6,AA6,AC6)/10,0)</x:f>
        <x:v>40</x:v>
      </x:c>
      <x:c r="AJ6" s="20" t="str">
        <x:v>MECHANISTIC_ONLY</x:v>
      </x:c>
      <x:c r="AK6" s="20" t="str">
        <x:v>EXACT_FROM_UPLOADED_PRIMARY</x:v>
      </x:c>
      <x:c r="AL6" s="20" t="str">
        <x:v>Cross-regime peptide→gold mechanism; not an atomically precise AuNC training target.</x:v>
      </x:c>
      <x:c r="AM6" s="20" t="str">
        <x:v>2026-09-07</x:v>
      </x:c>
      <x:c r="AN6" s="20" t="str">
        <x:v>UPLOADED_PRIMARY_OR_REVIEW</x:v>
      </x:c>
    </x:row>
    <x:row r="7" ht="19" customHeight="1">
      <x:c r="A7" s="20" t="str">
        <x:v>R004</x:v>
      </x:c>
      <x:c r="B7" s="20" t="str">
        <x:v>S01</x:v>
      </x:c>
      <x:c r="C7" s="20" t="str">
        <x:v>B1 PEPTIDE_AUNP_MECHANISM</x:v>
      </x:c>
      <x:c r="D7" s="20" t="str">
        <x:v>DIRECT</x:v>
      </x:c>
      <x:c r="E7" s="20" t="str">
        <x:v>gold_nanoparticle</x:v>
      </x:c>
      <x:c r="F7" s="20" t="str">
        <x:v>AAARCR</x:v>
      </x:c>
      <x:c r="G7" s="20" t="str">
        <x:v>AAARCR</x:v>
      </x:c>
      <x:c r="H7" s="20" t="str">
        <x:v>L</x:v>
      </x:c>
      <x:c r="I7" s="20" t="str">
        <x:v>None</x:v>
      </x:c>
      <x:c r="J7" s="20"/>
      <x:c r="K7" s="20"/>
      <x:c r="L7" s="20" t="n">
        <x:v>79</x:v>
      </x:c>
      <x:c r="M7" s="20"/>
      <x:c r="N7" s="20" t="str">
        <x:v>Low-polydispersity particles</x:v>
      </x:c>
      <x:c r="O7" s="20" t="str">
        <x:v>HAuCl4</x:v>
      </x:c>
      <x:c r="P7" s="20" t="str">
        <x:v>Same base protocol as alkaline peptide experiments</x:v>
      </x:c>
      <x:c r="Q7" s="20" t="str">
        <x:v>Peptide self-reduction</x:v>
      </x:c>
      <x:c r="R7" s="20" t="n">
        <x:v>9</x:v>
      </x:c>
      <x:c r="S7" s="20" t="n">
        <x:v>25</x:v>
      </x:c>
      <x:c r="T7" s="20"/>
      <x:c r="U7" s="20" t="str">
        <x:v>No stirring; room temperature</x:v>
      </x:c>
      <x:c r="V7" s="20"/>
      <x:c r="W7" s="20"/>
      <x:c r="X7" s="20"/>
      <x:c r="Y7" s="20" t="n">
        <x:v>536</x:v>
      </x:c>
      <x:c r="Z7" s="20" t="n">
        <x:v>30.4</x:v>
      </x:c>
      <x:c r="AA7" s="20"/>
      <x:c r="AB7" s="20"/>
      <x:c r="AC7" s="20"/>
      <x:c r="AD7" s="20"/>
      <x:c r="AE7" s="20" t="str">
        <x:v>Mechanistic</x:v>
      </x:c>
      <x:c r="AF7" s="20" t="str">
        <x:v>Alkaline pH favored AAARCR synthesis; mean diameter 79±6 nm reported for pH 9–10</x:v>
      </x:c>
      <x:c r="AG7" s="20" t="str">
        <x:v>Main text p.7–8; Fig.11</x:v>
      </x:c>
      <x:c r="AH7" s="20" t="str">
        <x:v>https://doi.org/10.1021/acsomega.6b00140</x:v>
      </x:c>
      <x:c r="AI7" s="24" t="n">
        <x:f>ROUND(100*COUNTA(G7,J7,L7,R7,S7,T7,V7,X7,AA7,AC7)/10,0)</x:f>
        <x:v>40</x:v>
      </x:c>
      <x:c r="AJ7" s="20" t="str">
        <x:v>MECHANISTIC_ONLY</x:v>
      </x:c>
      <x:c r="AK7" s="20" t="str">
        <x:v>EXACT_FROM_UPLOADED_PRIMARY</x:v>
      </x:c>
      <x:c r="AL7" s="20" t="str">
        <x:v>Cross-regime peptide→gold mechanism; not an atomically precise AuNC training target.</x:v>
      </x:c>
      <x:c r="AM7" s="20" t="str">
        <x:v>2026-09-07</x:v>
      </x:c>
      <x:c r="AN7" s="20" t="str">
        <x:v>UPLOADED_PRIMARY_OR_REVIEW</x:v>
      </x:c>
    </x:row>
    <x:row r="8" ht="19" customHeight="1">
      <x:c r="A8" s="20" t="str">
        <x:v>R005</x:v>
      </x:c>
      <x:c r="B8" s="20" t="str">
        <x:v>S01</x:v>
      </x:c>
      <x:c r="C8" s="20" t="str">
        <x:v>B1 PEPTIDE_AUNP_MECHANISM</x:v>
      </x:c>
      <x:c r="D8" s="20" t="str">
        <x:v>DIRECT</x:v>
      </x:c>
      <x:c r="E8" s="20" t="str">
        <x:v>gold_nanoparticle</x:v>
      </x:c>
      <x:c r="F8" s="20" t="str">
        <x:v>AAARCR</x:v>
      </x:c>
      <x:c r="G8" s="20" t="str">
        <x:v>AAARCR</x:v>
      </x:c>
      <x:c r="H8" s="20" t="str">
        <x:v>L</x:v>
      </x:c>
      <x:c r="I8" s="20" t="str">
        <x:v>None</x:v>
      </x:c>
      <x:c r="J8" s="20"/>
      <x:c r="K8" s="20"/>
      <x:c r="L8" s="20" t="n">
        <x:v>79</x:v>
      </x:c>
      <x:c r="M8" s="20"/>
      <x:c r="N8" s="20" t="str">
        <x:v>Low-polydispersity particles</x:v>
      </x:c>
      <x:c r="O8" s="20" t="str">
        <x:v>HAuCl4</x:v>
      </x:c>
      <x:c r="P8" s="20" t="str">
        <x:v>Same base protocol as alkaline peptide experiments</x:v>
      </x:c>
      <x:c r="Q8" s="20" t="str">
        <x:v>Peptide self-reduction</x:v>
      </x:c>
      <x:c r="R8" s="20" t="n">
        <x:v>10</x:v>
      </x:c>
      <x:c r="S8" s="20" t="n">
        <x:v>25</x:v>
      </x:c>
      <x:c r="T8" s="20"/>
      <x:c r="U8" s="20" t="str">
        <x:v>No stirring; room temperature</x:v>
      </x:c>
      <x:c r="V8" s="20"/>
      <x:c r="W8" s="20"/>
      <x:c r="X8" s="20"/>
      <x:c r="Y8" s="20" t="n">
        <x:v>536</x:v>
      </x:c>
      <x:c r="Z8" s="20" t="n">
        <x:v>33.2</x:v>
      </x:c>
      <x:c r="AA8" s="20"/>
      <x:c r="AB8" s="20"/>
      <x:c r="AC8" s="20"/>
      <x:c r="AD8" s="20"/>
      <x:c r="AE8" s="20" t="str">
        <x:v>Mechanistic</x:v>
      </x:c>
      <x:c r="AF8" s="20" t="str">
        <x:v>Narrow SPR ~536 nm; mean diameter 79±6 nm; positive zeta potential</x:v>
      </x:c>
      <x:c r="AG8" s="20" t="str">
        <x:v>Main text p.7–8; Fig.11</x:v>
      </x:c>
      <x:c r="AH8" s="20" t="str">
        <x:v>https://doi.org/10.1021/acsomega.6b00140</x:v>
      </x:c>
      <x:c r="AI8" s="24" t="n">
        <x:f>ROUND(100*COUNTA(G8,J8,L8,R8,S8,T8,V8,X8,AA8,AC8)/10,0)</x:f>
        <x:v>40</x:v>
      </x:c>
      <x:c r="AJ8" s="20" t="str">
        <x:v>MECHANISTIC_ONLY</x:v>
      </x:c>
      <x:c r="AK8" s="20" t="str">
        <x:v>EXACT_FROM_UPLOADED_PRIMARY</x:v>
      </x:c>
      <x:c r="AL8" s="20" t="str">
        <x:v>Cross-regime peptide→gold mechanism; not an atomically precise AuNC training target.</x:v>
      </x:c>
      <x:c r="AM8" s="20" t="str">
        <x:v>2026-09-07</x:v>
      </x:c>
      <x:c r="AN8" s="20" t="str">
        <x:v>UPLOADED_PRIMARY_OR_REVIEW</x:v>
      </x:c>
    </x:row>
    <x:row r="9" ht="19" customHeight="1">
      <x:c r="A9" s="20" t="str">
        <x:v>R006</x:v>
      </x:c>
      <x:c r="B9" s="20" t="str">
        <x:v>S01</x:v>
      </x:c>
      <x:c r="C9" s="20" t="str">
        <x:v>B1 PEPTIDE_AUNP_MECHANISM</x:v>
      </x:c>
      <x:c r="D9" s="20" t="str">
        <x:v>DIRECT</x:v>
      </x:c>
      <x:c r="E9" s="20" t="str">
        <x:v>gold_nanoparticle</x:v>
      </x:c>
      <x:c r="F9" s="20" t="str">
        <x:v>AAAACA</x:v>
      </x:c>
      <x:c r="G9" s="20" t="str">
        <x:v>AAAACA</x:v>
      </x:c>
      <x:c r="H9" s="20" t="str">
        <x:v>L</x:v>
      </x:c>
      <x:c r="I9" s="20" t="str">
        <x:v>PEG10 required</x:v>
      </x:c>
      <x:c r="J9" s="20"/>
      <x:c r="K9" s="20"/>
      <x:c r="L9" s="20"/>
      <x:c r="M9" s="20"/>
      <x:c r="N9" s="20" t="str">
        <x:v>GNP formation</x:v>
      </x:c>
      <x:c r="O9" s="20" t="str">
        <x:v>HAuCl4</x:v>
      </x:c>
      <x:c r="P9" s="20" t="str">
        <x:v>PEG10 present</x:v>
      </x:c>
      <x:c r="Q9" s="20" t="str">
        <x:v>Peptide + PEG-assisted</x:v>
      </x:c>
      <x:c r="R9" s="20" t="n">
        <x:v>8</x:v>
      </x:c>
      <x:c r="S9" s="20" t="n">
        <x:v>25</x:v>
      </x:c>
      <x:c r="T9" s="20"/>
      <x:c r="U9" s="20" t="str">
        <x:v>Room temperature</x:v>
      </x:c>
      <x:c r="V9" s="20"/>
      <x:c r="W9" s="20"/>
      <x:c r="X9" s="20"/>
      <x:c r="Y9" s="20"/>
      <x:c r="Z9" s="20"/>
      <x:c r="AA9" s="20"/>
      <x:c r="AB9" s="20"/>
      <x:c r="AC9" s="20"/>
      <x:c r="AD9" s="20"/>
      <x:c r="AE9" s="20" t="str">
        <x:v>Mechanistic</x:v>
      </x:c>
      <x:c r="AF9" s="20" t="str">
        <x:v>Neutral peptide required PEG10; GNP synthesis at pH 8 and 11</x:v>
      </x:c>
      <x:c r="AG9" s="20" t="str">
        <x:v>Main text p.8 + SI</x:v>
      </x:c>
      <x:c r="AH9" s="20" t="str">
        <x:v>https://doi.org/10.1021/acsomega.6b00140</x:v>
      </x:c>
      <x:c r="AI9" s="24" t="n">
        <x:f>ROUND(100*COUNTA(G9,J9,L9,R9,S9,T9,V9,X9,AA9,AC9)/10,0)</x:f>
        <x:v>30</x:v>
      </x:c>
      <x:c r="AJ9" s="20" t="str">
        <x:v>MECHANISTIC_ONLY</x:v>
      </x:c>
      <x:c r="AK9" s="20" t="str">
        <x:v>EXACT_FROM_UPLOADED_PRIMARY</x:v>
      </x:c>
      <x:c r="AL9" s="20" t="str">
        <x:v>Cross-regime peptide→gold mechanism; not an atomically precise AuNC training target.</x:v>
      </x:c>
      <x:c r="AM9" s="20" t="str">
        <x:v>2026-09-07</x:v>
      </x:c>
      <x:c r="AN9" s="20" t="str">
        <x:v>UPLOADED_PRIMARY_OR_REVIEW</x:v>
      </x:c>
    </x:row>
    <x:row r="10" ht="19" customHeight="1">
      <x:c r="A10" s="20" t="str">
        <x:v>R007</x:v>
      </x:c>
      <x:c r="B10" s="20" t="str">
        <x:v>S01</x:v>
      </x:c>
      <x:c r="C10" s="20" t="str">
        <x:v>B1 PEPTIDE_AUNP_MECHANISM</x:v>
      </x:c>
      <x:c r="D10" s="20" t="str">
        <x:v>DIRECT</x:v>
      </x:c>
      <x:c r="E10" s="20" t="str">
        <x:v>gold_nanoparticle</x:v>
      </x:c>
      <x:c r="F10" s="20" t="str">
        <x:v>AAAECE</x:v>
      </x:c>
      <x:c r="G10" s="20" t="str">
        <x:v>AAAECE</x:v>
      </x:c>
      <x:c r="H10" s="20" t="str">
        <x:v>L</x:v>
      </x:c>
      <x:c r="I10" s="20" t="str">
        <x:v>PEG10 required</x:v>
      </x:c>
      <x:c r="J10" s="20"/>
      <x:c r="K10" s="20"/>
      <x:c r="L10" s="20"/>
      <x:c r="M10" s="20"/>
      <x:c r="N10" s="20" t="str">
        <x:v>GNP formation</x:v>
      </x:c>
      <x:c r="O10" s="20" t="str">
        <x:v>HAuCl4</x:v>
      </x:c>
      <x:c r="P10" s="20" t="str">
        <x:v>PEG10 present</x:v>
      </x:c>
      <x:c r="Q10" s="20" t="str">
        <x:v>Peptide + PEG-assisted</x:v>
      </x:c>
      <x:c r="R10" s="20" t="n">
        <x:v>7</x:v>
      </x:c>
      <x:c r="S10" s="20" t="n">
        <x:v>80</x:v>
      </x:c>
      <x:c r="T10" s="20"/>
      <x:c r="U10" s="20" t="str">
        <x:v>Heating required</x:v>
      </x:c>
      <x:c r="V10" s="20"/>
      <x:c r="W10" s="20"/>
      <x:c r="X10" s="20"/>
      <x:c r="Y10" s="20"/>
      <x:c r="Z10" s="20"/>
      <x:c r="AA10" s="20"/>
      <x:c r="AB10" s="20"/>
      <x:c r="AC10" s="20"/>
      <x:c r="AD10" s="20"/>
      <x:c r="AE10" s="20" t="str">
        <x:v>Mechanistic</x:v>
      </x:c>
      <x:c r="AF10" s="20" t="str">
        <x:v>Acidic peptide required PEG10 and 80°C; synthesis observed at pH 7 and 11</x:v>
      </x:c>
      <x:c r="AG10" s="20" t="str">
        <x:v>Main text p.8 + SI</x:v>
      </x:c>
      <x:c r="AH10" s="20" t="str">
        <x:v>https://doi.org/10.1021/acsomega.6b00140</x:v>
      </x:c>
      <x:c r="AI10" s="24" t="n">
        <x:f>ROUND(100*COUNTA(G10,J10,L10,R10,S10,T10,V10,X10,AA10,AC10)/10,0)</x:f>
        <x:v>30</x:v>
      </x:c>
      <x:c r="AJ10" s="20" t="str">
        <x:v>MECHANISTIC_ONLY</x:v>
      </x:c>
      <x:c r="AK10" s="20" t="str">
        <x:v>EXACT_FROM_UPLOADED_PRIMARY</x:v>
      </x:c>
      <x:c r="AL10" s="20" t="str">
        <x:v>Cross-regime peptide→gold mechanism; not an atomically precise AuNC training target.</x:v>
      </x:c>
      <x:c r="AM10" s="20" t="str">
        <x:v>2026-09-07</x:v>
      </x:c>
      <x:c r="AN10" s="20" t="str">
        <x:v>UPLOADED_PRIMARY_OR_REVIEW</x:v>
      </x:c>
    </x:row>
    <x:row r="11" ht="19" customHeight="1">
      <x:c r="A11" s="20" t="str">
        <x:v>R008</x:v>
      </x:c>
      <x:c r="B11" s="20" t="str">
        <x:v>S01</x:v>
      </x:c>
      <x:c r="C11" s="20" t="str">
        <x:v>B1 PEPTIDE_AUNP_MECHANISM</x:v>
      </x:c>
      <x:c r="D11" s="20" t="str">
        <x:v>DIRECT</x:v>
      </x:c>
      <x:c r="E11" s="20" t="str">
        <x:v>gold_nanoparticle</x:v>
      </x:c>
      <x:c r="F11" s="20" t="str">
        <x:v>Glutathione (GSH)</x:v>
      </x:c>
      <x:c r="G11" s="20" t="str">
        <x:v>γ-ECG</x:v>
      </x:c>
      <x:c r="H11" s="20" t="str">
        <x:v>L</x:v>
      </x:c>
      <x:c r="I11" s="20" t="str">
        <x:v>PEG10 required</x:v>
      </x:c>
      <x:c r="J11" s="20"/>
      <x:c r="K11" s="20"/>
      <x:c r="L11" s="20"/>
      <x:c r="M11" s="20"/>
      <x:c r="N11" s="20" t="str">
        <x:v>GNP formation</x:v>
      </x:c>
      <x:c r="O11" s="20" t="str">
        <x:v>HAuCl4</x:v>
      </x:c>
      <x:c r="P11" s="20" t="str">
        <x:v>PEG10 present</x:v>
      </x:c>
      <x:c r="Q11" s="20" t="str">
        <x:v>Peptide + PEG-assisted</x:v>
      </x:c>
      <x:c r="R11" s="20" t="n">
        <x:v>11</x:v>
      </x:c>
      <x:c r="S11" s="20" t="n">
        <x:v>80</x:v>
      </x:c>
      <x:c r="T11" s="20"/>
      <x:c r="U11" s="20" t="str">
        <x:v>Heating required</x:v>
      </x:c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 t="str">
        <x:v>Mechanistic</x:v>
      </x:c>
      <x:c r="AF11" s="20" t="str">
        <x:v>GSH required PEG10 + 80°C and produced GNPs only at pH 11 in this study</x:v>
      </x:c>
      <x:c r="AG11" s="20" t="str">
        <x:v>Main text p.8 + SI</x:v>
      </x:c>
      <x:c r="AH11" s="20" t="str">
        <x:v>https://doi.org/10.1021/acsomega.6b00140</x:v>
      </x:c>
      <x:c r="AI11" s="24" t="n">
        <x:f>ROUND(100*COUNTA(G11,J11,L11,R11,S11,T11,V11,X11,AA11,AC11)/10,0)</x:f>
        <x:v>30</x:v>
      </x:c>
      <x:c r="AJ11" s="20" t="str">
        <x:v>MECHANISTIC_ONLY</x:v>
      </x:c>
      <x:c r="AK11" s="20" t="str">
        <x:v>EXACT_FROM_UPLOADED_PRIMARY</x:v>
      </x:c>
      <x:c r="AL11" s="20" t="str">
        <x:v>Cross-regime peptide→gold mechanism; not an atomically precise AuNC training target.</x:v>
      </x:c>
      <x:c r="AM11" s="20" t="str">
        <x:v>2026-09-07</x:v>
      </x:c>
      <x:c r="AN11" s="20" t="str">
        <x:v>UPLOADED_PRIMARY_OR_REVIEW</x:v>
      </x:c>
    </x:row>
    <x:row r="12" ht="19" customHeight="1">
      <x:c r="A12" s="20" t="str">
        <x:v>R009</x:v>
      </x:c>
      <x:c r="B12" s="20" t="str">
        <x:v>S02</x:v>
      </x:c>
      <x:c r="C12" s="20" t="str">
        <x:v>B1 PEPTIDE_AUNP_MECHANISM</x:v>
      </x:c>
      <x:c r="D12" s="20" t="str">
        <x:v>DIRECT</x:v>
      </x:c>
      <x:c r="E12" s="20" t="str">
        <x:v>gold_bipyramid</x:v>
      </x:c>
      <x:c r="F12" s="20" t="str">
        <x:v>D-Cys-Phe</x:v>
      </x:c>
      <x:c r="G12" s="20" t="str">
        <x:v>CF</x:v>
      </x:c>
      <x:c r="H12" s="20" t="str">
        <x:v>D</x:v>
      </x:c>
      <x:c r="I12" s="20" t="str">
        <x:v>Chiral D peptide; SH-PEG surface stabilization</x:v>
      </x:c>
      <x:c r="J12" s="20"/>
      <x:c r="K12" s="20"/>
      <x:c r="L12" s="20"/>
      <x:c r="M12" s="20"/>
      <x:c r="N12" s="20" t="str">
        <x:v>Sea-cucumber-like spiked GBP; ~200×50 nm</x:v>
      </x:c>
      <x:c r="O12" s="20" t="str">
        <x:v>HAuCl4</x:v>
      </x:c>
      <x:c r="P12" s="20" t="str">
        <x:v>Seed-mediated growth with Cys-Phe</x:v>
      </x:c>
      <x:c r="Q12" s="20" t="str">
        <x:v>Ascorbic acid</x:v>
      </x:c>
      <x:c r="R12" s="20"/>
      <x:c r="S12" s="20"/>
      <x:c r="T12" s="20"/>
      <x:c r="U12" s="20" t="str">
        <x:v>~100 nm Au NBP seeds; aqueous growth</x:v>
      </x:c>
      <x:c r="V12" s="20"/>
      <x:c r="W12" s="20"/>
      <x:c r="X12" s="20"/>
      <x:c r="Y12" s="20" t="n">
        <x:v>536</x:v>
      </x:c>
      <x:c r="Z12" s="20"/>
      <x:c r="AA12" s="20" t="n">
        <x:v>808</x:v>
      </x:c>
      <x:c r="AB12" s="20" t="n">
        <x:v>0.8</x:v>
      </x:c>
      <x:c r="AC12" s="20" t="str">
        <x:v>&gt;45</x:v>
      </x:c>
      <x:c r="AD12" s="20" t="n">
        <x:v>5</x:v>
      </x:c>
      <x:c r="AE12" s="20" t="str">
        <x:v>Antibacterial PTT</x:v>
      </x:c>
      <x:c r="AF12" s="20" t="str">
        <x:v>D-form gave stronger bacterial binding and higher PTT response than L-form</x:v>
      </x:c>
      <x:c r="AG12" s="20" t="str">
        <x:v>Main text pp.2–4</x:v>
      </x:c>
      <x:c r="AH12" s="20" t="str">
        <x:v>https://doi.org/10.1039/d2sc03443c</x:v>
      </x:c>
      <x:c r="AI12" s="24" t="n">
        <x:f>ROUND(100*COUNTA(G12,J12,L12,R12,S12,T12,V12,X12,AA12,AC12)/10,0)</x:f>
        <x:v>30</x:v>
      </x:c>
      <x:c r="AJ12" s="20" t="str">
        <x:v>MECHANISTIC_ONLY</x:v>
      </x:c>
      <x:c r="AK12" s="20" t="str">
        <x:v>EXACT_FROM_UPLOADED_PRIMARY</x:v>
      </x:c>
      <x:c r="AL12" s="20" t="str">
        <x:v>Cross-regime peptide→gold mechanism; not an atomically precise AuNC training target.</x:v>
      </x:c>
      <x:c r="AM12" s="20" t="str">
        <x:v>2026-09-07</x:v>
      </x:c>
      <x:c r="AN12" s="20" t="str">
        <x:v>UPLOADED_PRIMARY_OR_REVIEW</x:v>
      </x:c>
    </x:row>
    <x:row r="13" ht="19" customHeight="1">
      <x:c r="A13" s="20" t="str">
        <x:v>R010</x:v>
      </x:c>
      <x:c r="B13" s="20" t="str">
        <x:v>S02</x:v>
      </x:c>
      <x:c r="C13" s="20" t="str">
        <x:v>B1 PEPTIDE_AUNP_MECHANISM</x:v>
      </x:c>
      <x:c r="D13" s="20" t="str">
        <x:v>DIRECT</x:v>
      </x:c>
      <x:c r="E13" s="20" t="str">
        <x:v>gold_bipyramid</x:v>
      </x:c>
      <x:c r="F13" s="20" t="str">
        <x:v>L-Cys-Phe</x:v>
      </x:c>
      <x:c r="G13" s="20" t="str">
        <x:v>CF</x:v>
      </x:c>
      <x:c r="H13" s="20" t="str">
        <x:v>L</x:v>
      </x:c>
      <x:c r="I13" s="20" t="str">
        <x:v>Chiral L peptide; SH-PEG surface stabilization</x:v>
      </x:c>
      <x:c r="J13" s="20"/>
      <x:c r="K13" s="20"/>
      <x:c r="L13" s="20"/>
      <x:c r="M13" s="20"/>
      <x:c r="N13" s="20" t="str">
        <x:v>Sea-cucumber-like spiked GBP; ~200×50 nm</x:v>
      </x:c>
      <x:c r="O13" s="20" t="str">
        <x:v>HAuCl4</x:v>
      </x:c>
      <x:c r="P13" s="20" t="str">
        <x:v>Seed-mediated growth with Cys-Phe</x:v>
      </x:c>
      <x:c r="Q13" s="20" t="str">
        <x:v>Ascorbic acid</x:v>
      </x:c>
      <x:c r="R13" s="20"/>
      <x:c r="S13" s="20"/>
      <x:c r="T13" s="20"/>
      <x:c r="U13" s="20" t="str">
        <x:v>~100 nm Au NBP seeds; aqueous growth</x:v>
      </x:c>
      <x:c r="V13" s="20"/>
      <x:c r="W13" s="20"/>
      <x:c r="X13" s="20"/>
      <x:c r="Y13" s="20" t="n">
        <x:v>536</x:v>
      </x:c>
      <x:c r="Z13" s="20"/>
      <x:c r="AA13" s="20" t="n">
        <x:v>808</x:v>
      </x:c>
      <x:c r="AB13" s="20" t="n">
        <x:v>0.8</x:v>
      </x:c>
      <x:c r="AC13" s="20" t="str">
        <x:v>&gt;45</x:v>
      </x:c>
      <x:c r="AD13" s="20" t="n">
        <x:v>5</x:v>
      </x:c>
      <x:c r="AE13" s="20" t="str">
        <x:v>Antibacterial PTT</x:v>
      </x:c>
      <x:c r="AF13" s="20" t="str">
        <x:v>L-form forms mirror-chiral GBP and has lower bacterial affinity than D-form</x:v>
      </x:c>
      <x:c r="AG13" s="20" t="str">
        <x:v>Main text pp.2–4</x:v>
      </x:c>
      <x:c r="AH13" s="20" t="str">
        <x:v>https://doi.org/10.1039/d2sc03443c</x:v>
      </x:c>
      <x:c r="AI13" s="24" t="n">
        <x:f>ROUND(100*COUNTA(G13,J13,L13,R13,S13,T13,V13,X13,AA13,AC13)/10,0)</x:f>
        <x:v>30</x:v>
      </x:c>
      <x:c r="AJ13" s="20" t="str">
        <x:v>MECHANISTIC_ONLY</x:v>
      </x:c>
      <x:c r="AK13" s="20" t="str">
        <x:v>EXACT_FROM_UPLOADED_PRIMARY</x:v>
      </x:c>
      <x:c r="AL13" s="20" t="str">
        <x:v>Cross-regime peptide→gold mechanism; not an atomically precise AuNC training target.</x:v>
      </x:c>
      <x:c r="AM13" s="20" t="str">
        <x:v>2026-09-07</x:v>
      </x:c>
      <x:c r="AN13" s="20" t="str">
        <x:v>UPLOADED_PRIMARY_OR_REVIEW</x:v>
      </x:c>
    </x:row>
    <x:row r="14" ht="19" customHeight="1">
      <x:c r="A14" s="20" t="str">
        <x:v>R011</x:v>
      </x:c>
      <x:c r="B14" s="20" t="str">
        <x:v>S03</x:v>
      </x:c>
      <x:c r="C14" s="20" t="str">
        <x:v>B1 PEPTIDE_AUNP_MECHANISM</x:v>
      </x:c>
      <x:c r="D14" s="20" t="str">
        <x:v>DIRECT</x:v>
      </x:c>
      <x:c r="E14" s="20" t="str">
        <x:v>gold_superstructure</x:v>
      </x:c>
      <x:c r="F14" s="20" t="str">
        <x:v>C18-(PEPAuM-ox)2</x:v>
      </x:c>
      <x:c r="G14" s="20" t="str">
        <x:v>AYSSGAPPMoxPPF</x:v>
      </x:c>
      <x:c r="H14" s="20" t="str">
        <x:v>L</x:v>
      </x:c>
      <x:c r="I14" s="20" t="str">
        <x:v>C18 tail; methionine oxidized to sulfoxide</x:v>
      </x:c>
      <x:c r="J14" s="20"/>
      <x:c r="K14" s="20"/>
      <x:c r="L14" s="20"/>
      <x:c r="M14" s="20"/>
      <x:c r="N14" s="20" t="str">
        <x:v>Single-helical superstructure; rod-like AuNP 16.6×9.6 nm</x:v>
      </x:c>
      <x:c r="O14" s="20" t="str">
        <x:v>Gold salt</x:v>
      </x:c>
      <x:c r="P14" s="20" t="str">
        <x:v>Peptide conjugate + assembly buffer</x:v>
      </x:c>
      <x:c r="Q14" s="20" t="str">
        <x:v>Reducing agent used</x:v>
      </x:c>
      <x:c r="R14" s="20"/>
      <x:c r="S14" s="20"/>
      <x:c r="T14" s="20" t="n">
        <x:v>15</x:v>
      </x:c>
      <x:c r="U14" s="20" t="str">
        <x:v>In-situ growth on peptide fibers</x:v>
      </x:c>
      <x:c r="V14" s="20"/>
      <x:c r="W14" s="20"/>
      <x:c r="X14" s="20"/>
      <x:c r="Y14" s="20"/>
      <x:c r="Z14" s="20"/>
      <x:c r="AA14" s="20"/>
      <x:c r="AB14" s="20"/>
      <x:c r="AC14" s="20"/>
      <x:c r="AD14" s="20"/>
      <x:c r="AE14" s="20" t="str">
        <x:v>Chiral assembly</x:v>
      </x:c>
      <x:c r="AF14" s="20" t="str">
        <x:v>Methionine oxidation alone switches product toward single helices under otherwise nearly identical synthesis conditions</x:v>
      </x:c>
      <x:c r="AG14" s="20" t="str">
        <x:v>Main text p.2; Fig.1–2</x:v>
      </x:c>
      <x:c r="AH14" s="20" t="str">
        <x:v>https://doi.org/10.1021/jacs.6b07322</x:v>
      </x:c>
      <x:c r="AI14" s="24" t="n">
        <x:f>ROUND(100*COUNTA(G14,J14,L14,R14,S14,T14,V14,X14,AA14,AC14)/10,0)</x:f>
        <x:v>20</x:v>
      </x:c>
      <x:c r="AJ14" s="20" t="str">
        <x:v>MECHANISTIC_ONLY</x:v>
      </x:c>
      <x:c r="AK14" s="20" t="str">
        <x:v>EXACT_FROM_UPLOADED_PRIMARY</x:v>
      </x:c>
      <x:c r="AL14" s="20" t="str">
        <x:v>Cross-regime peptide→gold mechanism; not an atomically precise AuNC training target.</x:v>
      </x:c>
      <x:c r="AM14" s="20" t="str">
        <x:v>2026-09-07</x:v>
      </x:c>
      <x:c r="AN14" s="20" t="str">
        <x:v>UPLOADED_PRIMARY_OR_REVIEW</x:v>
      </x:c>
    </x:row>
    <x:row r="15" ht="19" customHeight="1">
      <x:c r="A15" s="20" t="str">
        <x:v>R012</x:v>
      </x:c>
      <x:c r="B15" s="20" t="str">
        <x:v>S03</x:v>
      </x:c>
      <x:c r="C15" s="20" t="str">
        <x:v>B1 PEPTIDE_AUNP_MECHANISM</x:v>
      </x:c>
      <x:c r="D15" s="20" t="str">
        <x:v>DIRECT</x:v>
      </x:c>
      <x:c r="E15" s="20" t="str">
        <x:v>gold_superstructure</x:v>
      </x:c>
      <x:c r="F15" s="20" t="str">
        <x:v>C18-(PEPAu)2</x:v>
      </x:c>
      <x:c r="G15" s="20" t="str">
        <x:v>AYSSGAPPMPPF</x:v>
      </x:c>
      <x:c r="H15" s="20" t="str">
        <x:v>L</x:v>
      </x:c>
      <x:c r="I15" s="20" t="str">
        <x:v>C18 tail; unoxidized methionine</x:v>
      </x:c>
      <x:c r="J15" s="20"/>
      <x:c r="K15" s="20"/>
      <x:c r="L15" s="20"/>
      <x:c r="M15" s="20"/>
      <x:c r="N15" s="20" t="str">
        <x:v>Double-helical superstructure</x:v>
      </x:c>
      <x:c r="O15" s="20" t="str">
        <x:v>Gold salt</x:v>
      </x:c>
      <x:c r="P15" s="20" t="str">
        <x:v>Peptide conjugate + assembly buffer</x:v>
      </x:c>
      <x:c r="Q15" s="20" t="str">
        <x:v>Reducing agent used</x:v>
      </x:c>
      <x:c r="R15" s="20"/>
      <x:c r="S15" s="20"/>
      <x:c r="T15" s="20"/>
      <x:c r="U15" s="20" t="str">
        <x:v>In-situ growth on peptide fibers</x:v>
      </x:c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 t="str">
        <x:v>Chiral assembly</x:v>
      </x:c>
      <x:c r="AF15" s="20" t="str">
        <x:v>Unoxidized conjugate directs double-helical assembly; serves as paired comparator to oxidized peptide</x:v>
      </x:c>
      <x:c r="AG15" s="20" t="str">
        <x:v>Main text pp.1–2</x:v>
      </x:c>
      <x:c r="AH15" s="20" t="str">
        <x:v>https://doi.org/10.1021/jacs.6b07322</x:v>
      </x:c>
      <x:c r="AI15" s="24" t="n">
        <x:f>ROUND(100*COUNTA(G15,J15,L15,R15,S15,T15,V15,X15,AA15,AC15)/10,0)</x:f>
        <x:v>10</x:v>
      </x:c>
      <x:c r="AJ15" s="20" t="str">
        <x:v>MECHANISTIC_ONLY</x:v>
      </x:c>
      <x:c r="AK15" s="20" t="str">
        <x:v>EXACT_FROM_UPLOADED_PRIMARY</x:v>
      </x:c>
      <x:c r="AL15" s="20" t="str">
        <x:v>Cross-regime peptide→gold mechanism; not an atomically precise AuNC training target.</x:v>
      </x:c>
      <x:c r="AM15" s="20" t="str">
        <x:v>2026-09-07</x:v>
      </x:c>
      <x:c r="AN15" s="20" t="str">
        <x:v>UPLOADED_PRIMARY_OR_REVIEW</x:v>
      </x:c>
    </x:row>
    <x:row r="16" ht="19" customHeight="1">
      <x:c r="A16" s="20" t="str">
        <x:v>R013</x:v>
      </x:c>
      <x:c r="B16" s="20" t="str">
        <x:v>S04</x:v>
      </x:c>
      <x:c r="C16" s="20" t="str">
        <x:v>B1 PEPTIDE_AUNP_MECHANISM</x:v>
      </x:c>
      <x:c r="D16" s="20" t="str">
        <x:v>DIRECT</x:v>
      </x:c>
      <x:c r="E16" s="20" t="str">
        <x:v>gold_superstructure</x:v>
      </x:c>
      <x:c r="F16" s="20" t="str">
        <x:v>C12-L-PEPAu</x:v>
      </x:c>
      <x:c r="G16" s="20" t="str">
        <x:v>AYSSGAPPMPPF</x:v>
      </x:c>
      <x:c r="H16" s="20" t="str">
        <x:v>L</x:v>
      </x:c>
      <x:c r="I16" s="20" t="str">
        <x:v>C12 acyl tail</x:v>
      </x:c>
      <x:c r="J16" s="20"/>
      <x:c r="K16" s="20"/>
      <x:c r="L16" s="20" t="n">
        <x:v>5.74</x:v>
      </x:c>
      <x:c r="M16" s="20"/>
      <x:c r="N16" s="20" t="str">
        <x:v>Left-handed double helix</x:v>
      </x:c>
      <x:c r="O16" s="20" t="str">
        <x:v>Gold precursor</x:v>
      </x:c>
      <x:c r="P16" s="20" t="str">
        <x:v>Mixed with HEPES buffer</x:v>
      </x:c>
      <x:c r="Q16" s="20"/>
      <x:c r="R16" s="20"/>
      <x:c r="S16" s="20"/>
      <x:c r="T16" s="20"/>
      <x:c r="U16" s="20" t="str">
        <x:v>Peptide self-assembly + Au growth</x:v>
      </x:c>
      <x:c r="V16" s="20"/>
      <x:c r="W16" s="20"/>
      <x:c r="X16" s="20"/>
      <x:c r="Y16" s="20"/>
      <x:c r="Z16" s="20"/>
      <x:c r="AA16" s="20"/>
      <x:c r="AB16" s="20"/>
      <x:c r="AC16" s="20"/>
      <x:c r="AD16" s="20"/>
      <x:c r="AE16" s="20" t="str">
        <x:v>Chiral plasmonics</x:v>
      </x:c>
      <x:c r="AF16" s="20" t="str">
        <x:v>L-peptide gives left-handed helices; initial particles 5.74±0.75 nm</x:v>
      </x:c>
      <x:c r="AG16" s="20" t="str">
        <x:v>Main text pp.1–2</x:v>
      </x:c>
      <x:c r="AH16" s="20" t="str">
        <x:v>https://doi.org/10.1021/nl4013776</x:v>
      </x:c>
      <x:c r="AI16" s="24" t="n">
        <x:f>ROUND(100*COUNTA(G16,J16,L16,R16,S16,T16,V16,X16,AA16,AC16)/10,0)</x:f>
        <x:v>20</x:v>
      </x:c>
      <x:c r="AJ16" s="20" t="str">
        <x:v>MECHANISTIC_ONLY</x:v>
      </x:c>
      <x:c r="AK16" s="20" t="str">
        <x:v>EXACT_FROM_UPLOADED_PRIMARY</x:v>
      </x:c>
      <x:c r="AL16" s="20" t="str">
        <x:v>Cross-regime peptide→gold mechanism; not an atomically precise AuNC training target.</x:v>
      </x:c>
      <x:c r="AM16" s="20" t="str">
        <x:v>2026-09-07</x:v>
      </x:c>
      <x:c r="AN16" s="20" t="str">
        <x:v>UPLOADED_PRIMARY_OR_REVIEW</x:v>
      </x:c>
    </x:row>
    <x:row r="17" ht="19" customHeight="1">
      <x:c r="A17" s="20" t="str">
        <x:v>R014</x:v>
      </x:c>
      <x:c r="B17" s="20" t="str">
        <x:v>S04</x:v>
      </x:c>
      <x:c r="C17" s="20" t="str">
        <x:v>B1 PEPTIDE_AUNP_MECHANISM</x:v>
      </x:c>
      <x:c r="D17" s="20" t="str">
        <x:v>DIRECT</x:v>
      </x:c>
      <x:c r="E17" s="20" t="str">
        <x:v>gold_superstructure</x:v>
      </x:c>
      <x:c r="F17" s="20" t="str">
        <x:v>C12-D-PEPAu</x:v>
      </x:c>
      <x:c r="G17" s="20" t="str">
        <x:v>AYSSGAPPMPPF</x:v>
      </x:c>
      <x:c r="H17" s="20" t="str">
        <x:v>D</x:v>
      </x:c>
      <x:c r="I17" s="20" t="str">
        <x:v>C12 acyl tail</x:v>
      </x:c>
      <x:c r="J17" s="20"/>
      <x:c r="K17" s="20"/>
      <x:c r="L17" s="20" t="n">
        <x:v>5.25</x:v>
      </x:c>
      <x:c r="M17" s="20"/>
      <x:c r="N17" s="20" t="str">
        <x:v>Right-handed double helix</x:v>
      </x:c>
      <x:c r="O17" s="20" t="str">
        <x:v>Gold precursor</x:v>
      </x:c>
      <x:c r="P17" s="20" t="str">
        <x:v>Mixed with HEPES buffer</x:v>
      </x:c>
      <x:c r="Q17" s="20"/>
      <x:c r="R17" s="20"/>
      <x:c r="S17" s="20"/>
      <x:c r="T17" s="20"/>
      <x:c r="U17" s="20" t="str">
        <x:v>Peptide self-assembly + Au growth</x:v>
      </x:c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 t="str">
        <x:v>Chiral plasmonics</x:v>
      </x:c>
      <x:c r="AF17" s="20" t="str">
        <x:v>D-peptide gives right-handed helices; initial particles 5.25±0.79 nm</x:v>
      </x:c>
      <x:c r="AG17" s="20" t="str">
        <x:v>Main text pp.1–2</x:v>
      </x:c>
      <x:c r="AH17" s="20" t="str">
        <x:v>https://doi.org/10.1021/nl4013776</x:v>
      </x:c>
      <x:c r="AI17" s="24" t="n">
        <x:f>ROUND(100*COUNTA(G17,J17,L17,R17,S17,T17,V17,X17,AA17,AC17)/10,0)</x:f>
        <x:v>20</x:v>
      </x:c>
      <x:c r="AJ17" s="20" t="str">
        <x:v>MECHANISTIC_ONLY</x:v>
      </x:c>
      <x:c r="AK17" s="20" t="str">
        <x:v>EXACT_FROM_UPLOADED_PRIMARY</x:v>
      </x:c>
      <x:c r="AL17" s="20" t="str">
        <x:v>Cross-regime peptide→gold mechanism; not an atomically precise AuNC training target.</x:v>
      </x:c>
      <x:c r="AM17" s="20" t="str">
        <x:v>2026-09-07</x:v>
      </x:c>
      <x:c r="AN17" s="20" t="str">
        <x:v>UPLOADED_PRIMARY_OR_REVIEW</x:v>
      </x:c>
    </x:row>
    <x:row r="18" ht="19" customHeight="1">
      <x:c r="A18" s="20" t="str">
        <x:v>R015</x:v>
      </x:c>
      <x:c r="B18" s="20" t="str">
        <x:v>S14</x:v>
      </x:c>
      <x:c r="C18" s="20" t="str">
        <x:v>A1 DIRECT_PEPTIDE_ATOMIC_AUNC</x:v>
      </x:c>
      <x:c r="D18" s="20" t="str">
        <x:v>DIRECT</x:v>
      </x:c>
      <x:c r="E18" s="20" t="str">
        <x:v>atomically_precise_AuNC</x:v>
      </x:c>
      <x:c r="F18" s="20" t="str">
        <x:v>Glutathione (SG)</x:v>
      </x:c>
      <x:c r="G18" s="20" t="str">
        <x:v>γ-ECG</x:v>
      </x:c>
      <x:c r="H18" s="20" t="str">
        <x:v>L</x:v>
      </x:c>
      <x:c r="I18" s="20" t="str">
        <x:v>Thiolate ligand</x:v>
      </x:c>
      <x:c r="J18" s="20" t="n">
        <x:v>22</x:v>
      </x:c>
      <x:c r="K18" s="20" t="n">
        <x:v>18</x:v>
      </x:c>
      <x:c r="L18" s="20" t="n">
        <x:v>1.5</x:v>
      </x:c>
      <x:c r="M18" s="20" t="n">
        <x:v>2.01</x:v>
      </x:c>
      <x:c r="N18" s="20" t="str">
        <x:v>Atomically precise Au22(SG)18</x:v>
      </x:c>
      <x:c r="O18" s="20" t="str">
        <x:v>HAuCl4</x:v>
      </x:c>
      <x:c r="P18" s="20" t="str">
        <x:v>20 mM HAuCl4 12.5 mL + 50 mM GSH 7.5 mL in 180 mL water</x:v>
      </x:c>
      <x:c r="Q18" s="20" t="str">
        <x:v>NaBH4</x:v>
      </x:c>
      <x:c r="R18" s="20" t="n">
        <x:v>12</x:v>
      </x:c>
      <x:c r="S18" s="20" t="n">
        <x:v>25</x:v>
      </x:c>
      <x:c r="T18" s="20" t="n">
        <x:v>0.5</x:v>
      </x:c>
      <x:c r="U18" s="20" t="str">
        <x:v>500 rpm after NaBH4; then acidification</x:v>
      </x:c>
      <x:c r="V18" s="20" t="n">
        <x:v>925</x:v>
      </x:c>
      <x:c r="W18" s="20" t="str">
        <x:v>925–1300 tail</x:v>
      </x:c>
      <x:c r="X18" s="20" t="n">
        <x:v>0.16</x:v>
      </x:c>
      <x:c r="Y18" s="20" t="n">
        <x:v>515</x:v>
      </x:c>
      <x:c r="Z18" s="20"/>
      <x:c r="AA18" s="20" t="n">
        <x:v>808</x:v>
      </x:c>
      <x:c r="AB18" s="20"/>
      <x:c r="AC18" s="20"/>
      <x:c r="AD18" s="20"/>
      <x:c r="AE18" s="20" t="str">
        <x:v>NIR-II imaging / bioactivity</x:v>
      </x:c>
      <x:c r="AF18" s="20" t="str">
        <x:v>Atomic-precision Au22; pH later shifted to 2.5 and sealed/stirred 8 h for size focusing/purification</x:v>
      </x:c>
      <x:c r="AG18" s="20" t="str">
        <x:v>Results p.2 + Methods p.13</x:v>
      </x:c>
      <x:c r="AH18" s="20" t="str">
        <x:v>https://doi.org/10.1126/sciadv.adh7828</x:v>
      </x:c>
      <x:c r="AI18" s="24" t="n">
        <x:f>ROUND(100*COUNTA(G18,J18,L18,R18,S18,T18,V18,X18,AA18,AC18)/10,0)</x:f>
        <x:v>90</x:v>
      </x:c>
      <x:c r="AJ18" s="20" t="str">
        <x:v>TRAIN_CORE</x:v>
      </x:c>
      <x:c r="AK18" s="20" t="str">
        <x:v>EXACT_FROM_UPLOADED_PRIMARY</x:v>
      </x:c>
      <x:c r="AL18" s="20" t="str">
        <x:v>Atomic record; keep same-paper records grouped in validation.</x:v>
      </x:c>
      <x:c r="AM18" s="20" t="str">
        <x:v>2026-09-07</x:v>
      </x:c>
      <x:c r="AN18" s="20" t="str">
        <x:v>UPLOADED_PRIMARY_OR_REVIEW</x:v>
      </x:c>
    </x:row>
    <x:row r="19" ht="19" customHeight="1">
      <x:c r="A19" s="20" t="str">
        <x:v>R016</x:v>
      </x:c>
      <x:c r="B19" s="20" t="str">
        <x:v>S14</x:v>
      </x:c>
      <x:c r="C19" s="20" t="str">
        <x:v>A1 DIRECT_PEPTIDE_ATOMIC_AUNC</x:v>
      </x:c>
      <x:c r="D19" s="20" t="str">
        <x:v>DIRECT</x:v>
      </x:c>
      <x:c r="E19" s="20" t="str">
        <x:v>atomically_precise_AuNC</x:v>
      </x:c>
      <x:c r="F19" s="20" t="str">
        <x:v>Glutathione (SG)</x:v>
      </x:c>
      <x:c r="G19" s="20" t="str">
        <x:v>γ-ECG</x:v>
      </x:c>
      <x:c r="H19" s="20" t="str">
        <x:v>L</x:v>
      </x:c>
      <x:c r="I19" s="20" t="str">
        <x:v>Single Cu atom doping</x:v>
      </x:c>
      <x:c r="J19" s="20" t="n">
        <x:v>21</x:v>
      </x:c>
      <x:c r="K19" s="20" t="n">
        <x:v>18</x:v>
      </x:c>
      <x:c r="L19" s="20" t="n">
        <x:v>1.5</x:v>
      </x:c>
      <x:c r="M19" s="20"/>
      <x:c r="N19" s="20" t="str">
        <x:v>Au21Cu1(SG)18</x:v>
      </x:c>
      <x:c r="O19" s="20" t="str">
        <x:v>HAuCl4 + Cu2+</x:v>
      </x:c>
      <x:c r="P19" s="20" t="str">
        <x:v>Same Au22 method; Cu2+ added</x:v>
      </x:c>
      <x:c r="Q19" s="20" t="str">
        <x:v>NaBH4</x:v>
      </x:c>
      <x:c r="R19" s="20" t="n">
        <x:v>12</x:v>
      </x:c>
      <x:c r="S19" s="20" t="n">
        <x:v>25</x:v>
      </x:c>
      <x:c r="T19" s="20" t="n">
        <x:v>8.5</x:v>
      </x:c>
      <x:c r="U19" s="20" t="str">
        <x:v>500 rpm 30 min; pH 2.5; sealed 200 rpm 8 h</x:v>
      </x:c>
      <x:c r="V19" s="20"/>
      <x:c r="W19" s="20"/>
      <x:c r="X19" s="20"/>
      <x:c r="Y19" s="20"/>
      <x:c r="Z19" s="20"/>
      <x:c r="AA19" s="20" t="n">
        <x:v>808</x:v>
      </x:c>
      <x:c r="AB19" s="20"/>
      <x:c r="AC19" s="20"/>
      <x:c r="AD19" s="20"/>
      <x:c r="AE19" s="20" t="str">
        <x:v>NIR-II imaging / nanozyme</x:v>
      </x:c>
      <x:c r="AF19" s="20" t="str">
        <x:v>Cu single-atom substitution lowers bandgap 1.33→1.28 eV and strongly increases enzyme-mimetic activity</x:v>
      </x:c>
      <x:c r="AG19" s="20" t="str">
        <x:v>Results pp.1–2 + Methods p.13</x:v>
      </x:c>
      <x:c r="AH19" s="20" t="str">
        <x:v>https://doi.org/10.1126/sciadv.adh7828</x:v>
      </x:c>
      <x:c r="AI19" s="24" t="n">
        <x:f>ROUND(100*COUNTA(G19,J19,L19,R19,S19,T19,V19,X19,AA19,AC19)/10,0)</x:f>
        <x:v>70</x:v>
      </x:c>
      <x:c r="AJ19" s="20" t="str">
        <x:v>TRAIN_CORE</x:v>
      </x:c>
      <x:c r="AK19" s="20" t="str">
        <x:v>EXACT_FROM_UPLOADED_PRIMARY</x:v>
      </x:c>
      <x:c r="AL19" s="20" t="str">
        <x:v>Atomic record; keep same-paper records grouped in validation.</x:v>
      </x:c>
      <x:c r="AM19" s="20" t="str">
        <x:v>2026-09-07</x:v>
      </x:c>
      <x:c r="AN19" s="20" t="str">
        <x:v>UPLOADED_PRIMARY_OR_REVIEW</x:v>
      </x:c>
    </x:row>
    <x:row r="20" ht="19" customHeight="1">
      <x:c r="A20" s="20" t="str">
        <x:v>R017</x:v>
      </x:c>
      <x:c r="B20" s="20" t="str">
        <x:v>S10</x:v>
      </x:c>
      <x:c r="C20" s="20" t="str">
        <x:v>A1 DIRECT_PEPTIDE_ATOMIC_AUNC</x:v>
      </x:c>
      <x:c r="D20" s="20" t="str">
        <x:v>DIRECT</x:v>
      </x:c>
      <x:c r="E20" s="20" t="str">
        <x:v>atomically_precise_AuNC</x:v>
      </x:c>
      <x:c r="F20" s="20" t="str">
        <x:v>Glutathione (SG)</x:v>
      </x:c>
      <x:c r="G20" s="20" t="str">
        <x:v>γ-ECG</x:v>
      </x:c>
      <x:c r="H20" s="20" t="str">
        <x:v>L</x:v>
      </x:c>
      <x:c r="I20" s="20" t="str">
        <x:v>Thiolate ligand</x:v>
      </x:c>
      <x:c r="J20" s="20" t="n">
        <x:v>25</x:v>
      </x:c>
      <x:c r="K20" s="20" t="n">
        <x:v>18</x:v>
      </x:c>
      <x:c r="L20" s="20" t="str">
        <x:v>&lt;2</x:v>
      </x:c>
      <x:c r="M20" s="20" t="n">
        <x:v>3.2</x:v>
      </x:c>
      <x:c r="N20" s="20" t="str">
        <x:v>Au25(SG)18; 13-Au core + six Au2(SG)3 shell motifs</x:v>
      </x:c>
      <x:c r="O20" s="20" t="str">
        <x:v>Not fully specified in main paper</x:v>
      </x:c>
      <x:c r="P20" s="20" t="str">
        <x:v>Main paper refers to prior method / SI</x:v>
      </x:c>
      <x:c r="Q20" s="20" t="str">
        <x:v>Not fully specified</x:v>
      </x:c>
      <x:c r="R20" s="20"/>
      <x:c r="S20" s="20"/>
      <x:c r="T20" s="20"/>
      <x:c r="U20" s="20" t="str">
        <x:v>See Supporting Information</x:v>
      </x:c>
      <x:c r="V20" s="20"/>
      <x:c r="W20" s="20" t="str">
        <x:v>1100–1350</x:v>
      </x:c>
      <x:c r="X20" s="20"/>
      <x:c r="Y20" s="20"/>
      <x:c r="Z20" s="20"/>
      <x:c r="AA20" s="20"/>
      <x:c r="AB20" s="20"/>
      <x:c r="AC20" s="20"/>
      <x:c r="AD20" s="20"/>
      <x:c r="AE20" s="20" t="str">
        <x:v>NIR-II imaging</x:v>
      </x:c>
      <x:c r="AF20" s="20" t="str">
        <x:v>Atomic-precision Au25 with strong NIR-II emission; exact synthesis must be taken from SI/primary synthesis method</x:v>
      </x:c>
      <x:c r="AG20" s="20" t="str">
        <x:v>Main text pp.1–2; Experimental points to SI</x:v>
      </x:c>
      <x:c r="AH20" s="20" t="str">
        <x:v>https://doi.org/10.1002/adma.201901015</x:v>
      </x:c>
      <x:c r="AI20" s="24" t="n">
        <x:f>ROUND(100*COUNTA(G20,J20,L20,R20,S20,T20,V20,X20,AA20,AC20)/10,0)</x:f>
        <x:v>30</x:v>
      </x:c>
      <x:c r="AJ20" s="20" t="str">
        <x:v>QC_HOLD</x:v>
      </x:c>
      <x:c r="AK20" s="20" t="str">
        <x:v>EXACT_LIGAND_ID</x:v>
      </x:c>
      <x:c r="AL20" s="20" t="str">
        <x:v>Atomic Au25(SG)18, but exact synthesis details require Supporting Information / prior method.</x:v>
      </x:c>
      <x:c r="AM20" s="20" t="str">
        <x:v>2026-09-07</x:v>
      </x:c>
      <x:c r="AN20" s="20" t="str">
        <x:v>UPLOADED_PRIMARY_OR_REVIEW</x:v>
      </x:c>
    </x:row>
    <x:row r="21" ht="19" customHeight="1">
      <x:c r="A21" s="20" t="str">
        <x:v>R018</x:v>
      </x:c>
      <x:c r="B21" s="20" t="str">
        <x:v>S11</x:v>
      </x:c>
      <x:c r="C21" s="20" t="str">
        <x:v>C1 AUNC_PTT_BENCHMARK</x:v>
      </x:c>
      <x:c r="D21" s="20" t="str">
        <x:v>DIRECT</x:v>
      </x:c>
      <x:c r="E21" s="20" t="str">
        <x:v>atomically_precise_AuNC</x:v>
      </x:c>
      <x:c r="F21" s="20" t="str">
        <x:v>Phosphorylcholine-functionalized Au25</x:v>
      </x:c>
      <x:c r="G21" s="20" t="str">
        <x:v>N/A</x:v>
      </x:c>
      <x:c r="H21" s="20" t="str">
        <x:v>N/A</x:v>
      </x:c>
      <x:c r="I21" s="20" t="str">
        <x:v>PC surface coating</x:v>
      </x:c>
      <x:c r="J21" s="20" t="n">
        <x:v>25</x:v>
      </x:c>
      <x:c r="K21" s="20"/>
      <x:c r="L21" s="20" t="str">
        <x:v>~2</x:v>
      </x:c>
      <x:c r="M21" s="20"/>
      <x:c r="N21" s="20" t="str">
        <x:v>Molecular Au25 cluster</x:v>
      </x:c>
      <x:c r="O21" s="20" t="str">
        <x:v>Au25 precursor/system</x:v>
      </x:c>
      <x:c r="P21" s="20" t="str">
        <x:v>25 mg/mL AuPC aqueous solution</x:v>
      </x:c>
      <x:c r="Q21" s="20" t="str">
        <x:v>N/A</x:v>
      </x:c>
      <x:c r="R21" s="20"/>
      <x:c r="S21" s="20"/>
      <x:c r="T21" s="20"/>
      <x:c r="U21" s="20" t="str">
        <x:v>Benchmark material</x:v>
      </x:c>
      <x:c r="V21" s="20" t="n">
        <x:v>1090</x:v>
      </x:c>
      <x:c r="W21" s="20" t="str">
        <x:v>900–1500</x:v>
      </x:c>
      <x:c r="X21" s="20" t="n">
        <x:v>0.38</x:v>
      </x:c>
      <x:c r="Y21" s="20"/>
      <x:c r="Z21" s="20"/>
      <x:c r="AA21" s="20" t="n">
        <x:v>808</x:v>
      </x:c>
      <x:c r="AB21" s="20" t="n">
        <x:v>0.3</x:v>
      </x:c>
      <x:c r="AC21" s="20" t="n">
        <x:v>70</x:v>
      </x:c>
      <x:c r="AD21" s="20" t="n">
        <x:v>10</x:v>
      </x:c>
      <x:c r="AE21" s="20" t="str">
        <x:v>Cancer PTT benchmark</x:v>
      </x:c>
      <x:c r="AF21" s="20" t="str">
        <x:v>In vitro: ~70°C from room temperature within 10 min under 808 nm, 0.3 W/cm²</x:v>
      </x:c>
      <x:c r="AG21" s="20" t="str">
        <x:v>Main text p.4; Fig.4</x:v>
      </x:c>
      <x:c r="AH21" s="20" t="str">
        <x:v>https://doi.org/10.1073/pnas.2318265121</x:v>
      </x:c>
      <x:c r="AI21" s="24" t="n">
        <x:f>ROUND(100*COUNTA(G21,J21,L21,R21,S21,T21,V21,X21,AA21,AC21)/10,0)</x:f>
        <x:v>70</x:v>
      </x:c>
      <x:c r="AJ21" s="20" t="str">
        <x:v>BENCHMARK_ONLY</x:v>
      </x:c>
      <x:c r="AK21" s="20" t="str">
        <x:v>NOT_APPLICABLE</x:v>
      </x:c>
      <x:c r="AL21" s="20" t="str">
        <x:v>Non-peptide AuNC biomedical/PTT benchmark; do not train peptide-sequence model.</x:v>
      </x:c>
      <x:c r="AM21" s="20" t="str">
        <x:v>2026-09-07</x:v>
      </x:c>
      <x:c r="AN21" s="20" t="str">
        <x:v>UPLOADED_PRIMARY_OR_REVIEW</x:v>
      </x:c>
    </x:row>
    <x:row r="22" ht="19" customHeight="1">
      <x:c r="A22" s="20" t="str">
        <x:v>R019</x:v>
      </x:c>
      <x:c r="B22" s="20" t="str">
        <x:v>S11</x:v>
      </x:c>
      <x:c r="C22" s="20" t="str">
        <x:v>C1 AUNC_PTT_BENCHMARK</x:v>
      </x:c>
      <x:c r="D22" s="20" t="str">
        <x:v>DIRECT</x:v>
      </x:c>
      <x:c r="E22" s="20" t="str">
        <x:v>atomically_precise_AuNC</x:v>
      </x:c>
      <x:c r="F22" s="20" t="str">
        <x:v>Phosphorylcholine-functionalized Au25</x:v>
      </x:c>
      <x:c r="G22" s="20" t="str">
        <x:v>N/A</x:v>
      </x:c>
      <x:c r="H22" s="20" t="str">
        <x:v>N/A</x:v>
      </x:c>
      <x:c r="I22" s="20" t="str">
        <x:v>PC surface coating</x:v>
      </x:c>
      <x:c r="J22" s="20" t="n">
        <x:v>25</x:v>
      </x:c>
      <x:c r="K22" s="20"/>
      <x:c r="L22" s="20" t="str">
        <x:v>~2</x:v>
      </x:c>
      <x:c r="M22" s="20"/>
      <x:c r="N22" s="20" t="str">
        <x:v>Molecular Au25 cluster</x:v>
      </x:c>
      <x:c r="O22" s="20" t="str">
        <x:v>Au25 precursor/system</x:v>
      </x:c>
      <x:c r="P22" s="20" t="str">
        <x:v>20–40 µL of 25 mg/mL intratumorally</x:v>
      </x:c>
      <x:c r="Q22" s="20" t="str">
        <x:v>N/A</x:v>
      </x:c>
      <x:c r="R22" s="20"/>
      <x:c r="S22" s="20"/>
      <x:c r="T22" s="20"/>
      <x:c r="U22" s="20" t="str">
        <x:v>4T1 tumor, intratumoral injection</x:v>
      </x:c>
      <x:c r="V22" s="20" t="n">
        <x:v>1090</x:v>
      </x:c>
      <x:c r="W22" s="20" t="str">
        <x:v>900–1500</x:v>
      </x:c>
      <x:c r="X22" s="20" t="n">
        <x:v>0.38</x:v>
      </x:c>
      <x:c r="Y22" s="20"/>
      <x:c r="Z22" s="20"/>
      <x:c r="AA22" s="20" t="n">
        <x:v>808</x:v>
      </x:c>
      <x:c r="AB22" s="20" t="n">
        <x:v>0.3</x:v>
      </x:c>
      <x:c r="AC22" s="20" t="n">
        <x:v>60</x:v>
      </x:c>
      <x:c r="AD22" s="20" t="n">
        <x:v>30</x:v>
      </x:c>
      <x:c r="AE22" s="20" t="str">
        <x:v>Cancer PTT benchmark</x:v>
      </x:c>
      <x:c r="AF22" s="20" t="str">
        <x:v>In vivo: ~53°C at 3 min, rising to ~60°C; 94.4% 60-day relative survival reported</x:v>
      </x:c>
      <x:c r="AG22" s="20" t="str">
        <x:v>Main text pp.4–6; Fig.5</x:v>
      </x:c>
      <x:c r="AH22" s="20" t="str">
        <x:v>https://doi.org/10.1073/pnas.2318265121</x:v>
      </x:c>
      <x:c r="AI22" s="24" t="n">
        <x:f>ROUND(100*COUNTA(G22,J22,L22,R22,S22,T22,V22,X22,AA22,AC22)/10,0)</x:f>
        <x:v>70</x:v>
      </x:c>
      <x:c r="AJ22" s="20" t="str">
        <x:v>BENCHMARK_ONLY</x:v>
      </x:c>
      <x:c r="AK22" s="20" t="str">
        <x:v>NOT_APPLICABLE</x:v>
      </x:c>
      <x:c r="AL22" s="20" t="str">
        <x:v>Non-peptide AuNC biomedical/PTT benchmark; do not train peptide-sequence model.</x:v>
      </x:c>
      <x:c r="AM22" s="20" t="str">
        <x:v>2026-09-07</x:v>
      </x:c>
      <x:c r="AN22" s="20" t="str">
        <x:v>UPLOADED_PRIMARY_OR_REVIEW</x:v>
      </x:c>
    </x:row>
    <x:row r="23" ht="19" customHeight="1">
      <x:c r="A23" s="20" t="str">
        <x:v>R020</x:v>
      </x:c>
      <x:c r="B23" s="20" t="str">
        <x:v>S13</x:v>
      </x:c>
      <x:c r="C23" s="20" t="str">
        <x:v>C2 AUNC_BIOMEDICAL_BENCHMARK</x:v>
      </x:c>
      <x:c r="D23" s="20" t="str">
        <x:v>DIRECT</x:v>
      </x:c>
      <x:c r="E23" s="20" t="str">
        <x:v>atomically_precise_AuNC</x:v>
      </x:c>
      <x:c r="F23" s="20" t="str">
        <x:v>Phosphorylcholine-functionalized Au25</x:v>
      </x:c>
      <x:c r="G23" s="20" t="str">
        <x:v>N/A</x:v>
      </x:c>
      <x:c r="H23" s="20" t="str">
        <x:v>N/A</x:v>
      </x:c>
      <x:c r="I23" s="20" t="str">
        <x:v>PC surface coating</x:v>
      </x:c>
      <x:c r="J23" s="20" t="n">
        <x:v>25</x:v>
      </x:c>
      <x:c r="K23" s="20"/>
      <x:c r="L23" s="20"/>
      <x:c r="M23" s="20"/>
      <x:c r="N23" s="20" t="str">
        <x:v>Au25-PC molecular cluster</x:v>
      </x:c>
      <x:c r="O23" s="20" t="str">
        <x:v>Au25 precursor/system</x:v>
      </x:c>
      <x:c r="P23" s="20" t="str">
        <x:v>Surface-functionalized with PC</x:v>
      </x:c>
      <x:c r="Q23" s="20" t="str">
        <x:v>N/A</x:v>
      </x:c>
      <x:c r="R23" s="20"/>
      <x:c r="S23" s="20"/>
      <x:c r="T23" s="20"/>
      <x:c r="U23" s="20" t="str">
        <x:v>Subcutaneous injection</x:v>
      </x:c>
      <x:c r="V23" s="20"/>
      <x:c r="W23" s="20" t="str">
        <x:v>1000–3000 imaging window</x:v>
      </x:c>
      <x:c r="X23" s="20"/>
      <x:c r="Y23" s="20"/>
      <x:c r="Z23" s="20"/>
      <x:c r="AA23" s="20"/>
      <x:c r="AB23" s="20"/>
      <x:c r="AC23" s="20"/>
      <x:c r="AD23" s="20"/>
      <x:c r="AE23" s="20" t="str">
        <x:v>Lymph-node NIR-II imaging</x:v>
      </x:c>
      <x:c r="AF23" s="20" t="str">
        <x:v>Super-stealth behavior; optimal LN imaging ~0.5–1 h with rapid renal clearance</x:v>
      </x:c>
      <x:c r="AG23" s="20" t="str">
        <x:v>Abstract / main text p.1</x:v>
      </x:c>
      <x:c r="AH23" s="20" t="str">
        <x:v>https://doi.org/10.1038/s41467-022-33341-6</x:v>
      </x:c>
      <x:c r="AI23" s="24" t="n">
        <x:f>ROUND(100*COUNTA(G23,J23,L23,R23,S23,T23,V23,X23,AA23,AC23)/10,0)</x:f>
        <x:v>20</x:v>
      </x:c>
      <x:c r="AJ23" s="20" t="str">
        <x:v>BENCHMARK_ONLY</x:v>
      </x:c>
      <x:c r="AK23" s="20" t="str">
        <x:v>NOT_APPLICABLE</x:v>
      </x:c>
      <x:c r="AL23" s="20" t="str">
        <x:v>Non-peptide AuNC biomedical/PTT benchmark; do not train peptide-sequence model.</x:v>
      </x:c>
      <x:c r="AM23" s="20" t="str">
        <x:v>2026-09-07</x:v>
      </x:c>
      <x:c r="AN23" s="20" t="str">
        <x:v>UPLOADED_PRIMARY_OR_REVIEW</x:v>
      </x:c>
    </x:row>
    <x:row r="24" ht="19" customHeight="1">
      <x:c r="A24" s="20" t="str">
        <x:v>R021</x:v>
      </x:c>
      <x:c r="B24" s="20" t="str">
        <x:v>S12</x:v>
      </x:c>
      <x:c r="C24" s="20" t="str">
        <x:v>D1 METHOD_REFERENCE</x:v>
      </x:c>
      <x:c r="D24" s="20" t="str">
        <x:v>REVIEW-DERIVED</x:v>
      </x:c>
      <x:c r="E24" s="20" t="str">
        <x:v>atomically_precise_AuNC</x:v>
      </x:c>
      <x:c r="F24" s="20" t="str">
        <x:v>Glutathione (GSH)</x:v>
      </x:c>
      <x:c r="G24" s="20" t="str">
        <x:v>γ-ECG</x:v>
      </x:c>
      <x:c r="H24" s="20" t="str">
        <x:v>L</x:v>
      </x:c>
      <x:c r="I24" s="20" t="str">
        <x:v>Review table entry</x:v>
      </x:c>
      <x:c r="J24" s="20" t="n">
        <x:v>25</x:v>
      </x:c>
      <x:c r="K24" s="20" t="n">
        <x:v>18</x:v>
      </x:c>
      <x:c r="L24" s="20"/>
      <x:c r="M24" s="20"/>
      <x:c r="N24" s="20" t="str">
        <x:v>Au25(GSH)18</x:v>
      </x:c>
      <x:c r="O24" s="20" t="str">
        <x:v>N/A</x:v>
      </x:c>
      <x:c r="P24" s="20" t="str">
        <x:v>Review-derived optical entry</x:v>
      </x:c>
      <x:c r="Q24" s="20" t="str">
        <x:v>N/A</x:v>
      </x:c>
      <x:c r="R24" s="20"/>
      <x:c r="S24" s="20"/>
      <x:c r="T24" s="20"/>
      <x:c r="U24" s="20" t="str">
        <x:v>Primary paper required</x:v>
      </x:c>
      <x:c r="V24" s="20" t="n">
        <x:v>1120</x:v>
      </x:c>
      <x:c r="W24" s="20" t="str">
        <x:v>900–1500</x:v>
      </x:c>
      <x:c r="X24" s="20" t="n">
        <x:v>0.13</x:v>
      </x:c>
      <x:c r="Y24" s="20"/>
      <x:c r="Z24" s="20"/>
      <x:c r="AA24" s="20" t="n">
        <x:v>808</x:v>
      </x:c>
      <x:c r="AB24" s="20"/>
      <x:c r="AC24" s="20"/>
      <x:c r="AD24" s="20"/>
      <x:c r="AE24" s="20" t="str">
        <x:v>Imaging benchmark</x:v>
      </x:c>
      <x:c r="AF24" s="20" t="str">
        <x:v>Review table lists Au25(GSH)18 with NIR-II emission and low PLQY; primary paper must be extracted before training</x:v>
      </x:c>
      <x:c r="AG24" s="20" t="str">
        <x:v>Chem. Rev. Table 1</x:v>
      </x:c>
      <x:c r="AH24" s="20" t="str">
        <x:v>https://doi.org/10.1021/acs.chemrev.4c00835</x:v>
      </x:c>
      <x:c r="AI24" s="24" t="n">
        <x:f>ROUND(100*COUNTA(G24,J24,L24,R24,S24,T24,V24,X24,AA24,AC24)/10,0)</x:f>
        <x:v>50</x:v>
      </x:c>
      <x:c r="AJ24" s="20" t="str">
        <x:v>REVIEW_LEAD</x:v>
      </x:c>
      <x:c r="AK24" s="20" t="str">
        <x:v>REVIEW_DERIVED</x:v>
      </x:c>
      <x:c r="AL24" s="20" t="str">
        <x:v>Primary paper must be extracted before model training.</x:v>
      </x:c>
      <x:c r="AM24" s="20" t="str">
        <x:v>2026-09-07</x:v>
      </x:c>
      <x:c r="AN24" s="20" t="str">
        <x:v>UPLOADED_PRIMARY_OR_REVIEW</x:v>
      </x:c>
    </x:row>
    <x:row r="25" ht="19" customHeight="1">
      <x:c r="A25" s="20" t="str">
        <x:v>R022</x:v>
      </x:c>
      <x:c r="B25" s="20" t="str">
        <x:v>S12</x:v>
      </x:c>
      <x:c r="C25" s="20" t="str">
        <x:v>D1 METHOD_REFERENCE</x:v>
      </x:c>
      <x:c r="D25" s="20" t="str">
        <x:v>REVIEW-DERIVED</x:v>
      </x:c>
      <x:c r="E25" s="20" t="str">
        <x:v>atomically_precise_AuNC</x:v>
      </x:c>
      <x:c r="F25" s="20" t="str">
        <x:v>4-mercaptobenzoic acid (MBA)</x:v>
      </x:c>
      <x:c r="G25" s="20" t="str">
        <x:v>N/A</x:v>
      </x:c>
      <x:c r="H25" s="20" t="str">
        <x:v>N/A</x:v>
      </x:c>
      <x:c r="I25" s="20" t="str">
        <x:v>Review table entry</x:v>
      </x:c>
      <x:c r="J25" s="20" t="n">
        <x:v>44</x:v>
      </x:c>
      <x:c r="K25" s="20" t="n">
        <x:v>26</x:v>
      </x:c>
      <x:c r="L25" s="20"/>
      <x:c r="M25" s="20"/>
      <x:c r="N25" s="20" t="str">
        <x:v>Au44(MBA)26</x:v>
      </x:c>
      <x:c r="O25" s="20" t="str">
        <x:v>N/A</x:v>
      </x:c>
      <x:c r="P25" s="20" t="str">
        <x:v>Review-derived optical/PTT entry</x:v>
      </x:c>
      <x:c r="Q25" s="20" t="str">
        <x:v>N/A</x:v>
      </x:c>
      <x:c r="R25" s="20"/>
      <x:c r="S25" s="20"/>
      <x:c r="T25" s="20"/>
      <x:c r="U25" s="20" t="str">
        <x:v>Primary paper required</x:v>
      </x:c>
      <x:c r="V25" s="20" t="n">
        <x:v>1080</x:v>
      </x:c>
      <x:c r="W25" s="20" t="str">
        <x:v>~1080 and 1280</x:v>
      </x:c>
      <x:c r="X25" s="20" t="n">
        <x:v>4.5</x:v>
      </x:c>
      <x:c r="Y25" s="20"/>
      <x:c r="Z25" s="20"/>
      <x:c r="AA25" s="20" t="n">
        <x:v>808</x:v>
      </x:c>
      <x:c r="AB25" s="20"/>
      <x:c r="AC25" s="20"/>
      <x:c r="AD25" s="20"/>
      <x:c r="AE25" s="20" t="str">
        <x:v>PTT / theranostics</x:v>
      </x:c>
      <x:c r="AF25" s="20" t="str">
        <x:v>Review identifies Au44(MBA)26 as high-PCE PTT-capable cluster; not peptide-templated and must remain a benchmark</x:v>
      </x:c>
      <x:c r="AG25" s="20" t="str">
        <x:v>Chem. Rev. Table 1 + PTT section</x:v>
      </x:c>
      <x:c r="AH25" s="20" t="str">
        <x:v>https://doi.org/10.1021/acs.chemrev.4c00835</x:v>
      </x:c>
      <x:c r="AI25" s="24" t="n">
        <x:f>ROUND(100*COUNTA(G25,J25,L25,R25,S25,T25,V25,X25,AA25,AC25)/10,0)</x:f>
        <x:v>50</x:v>
      </x:c>
      <x:c r="AJ25" s="20" t="str">
        <x:v>REVIEW_LEAD</x:v>
      </x:c>
      <x:c r="AK25" s="20" t="str">
        <x:v>REVIEW_DERIVED</x:v>
      </x:c>
      <x:c r="AL25" s="20" t="str">
        <x:v>Primary paper must be extracted before model training.</x:v>
      </x:c>
      <x:c r="AM25" s="20" t="str">
        <x:v>2026-09-07</x:v>
      </x:c>
      <x:c r="AN25" s="20" t="str">
        <x:v>UPLOADED_PRIMARY_OR_REVIEW</x:v>
      </x:c>
    </x:row>
    <x:row r="26" ht="19" customHeight="1">
      <x:c r="A26" s="20" t="str">
        <x:v>R023</x:v>
      </x:c>
      <x:c r="B26" s="20" t="str">
        <x:v>W01</x:v>
      </x:c>
      <x:c r="C26" s="20" t="str">
        <x:v>A2 DIRECT_PEPTIDE_NONPRECISE_AUNC</x:v>
      </x:c>
      <x:c r="D26" s="20" t="str">
        <x:v>DIRECT</x:v>
      </x:c>
      <x:c r="E26" s="20" t="str">
        <x:v>ultrasmall_AuNC_unknown_nuclearity</x:v>
      </x:c>
      <x:c r="F26" s="20" t="str">
        <x:v>SV polypeptide — blue AuNC</x:v>
      </x:c>
      <x:c r="G26" s="20" t="str">
        <x:v>CCYGGPKKKRKVG</x:v>
      </x:c>
      <x:c r="H26" s="20" t="str">
        <x:v>L</x:v>
      </x:c>
      <x:c r="I26" s="20" t="str">
        <x:v>NH2- / -COOH</x:v>
      </x:c>
      <x:c r="J26" s="20"/>
      <x:c r="K26" s="20"/>
      <x:c r="L26" s="20" t="str">
        <x:v>&lt;2</x:v>
      </x:c>
      <x:c r="M26" s="20"/>
      <x:c r="N26" s="20" t="str">
        <x:v>Blue-emitting peptide-templated AuNC</x:v>
      </x:c>
      <x:c r="O26" s="20" t="str">
        <x:v>HAuCl4</x:v>
      </x:c>
      <x:c r="P26" s="20" t="str">
        <x:v>Same SV peptide; synthesis conditions optimized separately from red product</x:v>
      </x:c>
      <x:c r="Q26" s="20" t="str">
        <x:v>Peptide-templated / conditions dependent</x:v>
      </x:c>
      <x:c r="R26" s="20"/>
      <x:c r="S26" s="20"/>
      <x:c r="T26" s="20"/>
      <x:c r="U26" s="20" t="str">
        <x:v>Light, pH, Au:peptide ratio, time and temperature were optimization variables</x:v>
      </x:c>
      <x:c r="V26" s="20" t="n">
        <x:v>405</x:v>
      </x:c>
      <x:c r="W26" s="20" t="str">
        <x:v>λex 320 / λem 405</x:v>
      </x:c>
      <x:c r="X26" s="20"/>
      <x:c r="Y26" s="20"/>
      <x:c r="Z26" s="20"/>
      <x:c r="AA26" s="20"/>
      <x:c r="AB26" s="20"/>
      <x:c r="AC26" s="20"/>
      <x:c r="AD26" s="20"/>
      <x:c r="AE26" s="20" t="str">
        <x:v>Cell-nucleus multimodal imaging</x:v>
      </x:c>
      <x:c r="AF26" s="20" t="str">
        <x:v>The same exact peptide produced a blue AuNC under one synthesis condition set and a red AuNC under another, proving synthesis context is indispensable.</x:v>
      </x:c>
      <x:c r="AG26" s="20" t="str">
        <x:v>ACS Applied Bio Materials abstract + SI listing</x:v>
      </x:c>
      <x:c r="AH26" s="20" t="str">
        <x:v>https://doi.org/10.1021/acsabm.9b01078</x:v>
      </x:c>
      <x:c r="AI26" s="24" t="n">
        <x:f>ROUND(100*COUNTA(G26,J26,L26,R26,S26,T26,V26,X26,AA26,AC26)/10,0)</x:f>
        <x:v>30</x:v>
      </x:c>
      <x:c r="AJ26" s="20" t="str">
        <x:v>QC_HOLD</x:v>
      </x:c>
      <x:c r="AK26" s="20" t="str">
        <x:v>EXACT_FROM_PRIMARY</x:v>
      </x:c>
      <x:c r="AL26" s="20" t="str">
        <x:v>Exact numerical synthesis condition set still needs full main-text/SI extraction.</x:v>
      </x:c>
      <x:c r="AM26" s="20" t="str">
        <x:v>2026-09-07</x:v>
      </x:c>
      <x:c r="AN26" s="20" t="str">
        <x:v>WEB_PRIMARY</x:v>
      </x:c>
    </x:row>
    <x:row r="27" ht="19" customHeight="1">
      <x:c r="A27" s="20" t="str">
        <x:v>R024</x:v>
      </x:c>
      <x:c r="B27" s="20" t="str">
        <x:v>W01</x:v>
      </x:c>
      <x:c r="C27" s="20" t="str">
        <x:v>A2 DIRECT_PEPTIDE_NONPRECISE_AUNC</x:v>
      </x:c>
      <x:c r="D27" s="20" t="str">
        <x:v>DIRECT</x:v>
      </x:c>
      <x:c r="E27" s="20" t="str">
        <x:v>ultrasmall_AuNC_unknown_nuclearity</x:v>
      </x:c>
      <x:c r="F27" s="20" t="str">
        <x:v>SV polypeptide — red AuNC</x:v>
      </x:c>
      <x:c r="G27" s="20" t="str">
        <x:v>CCYGGPKKKRKVG</x:v>
      </x:c>
      <x:c r="H27" s="20" t="str">
        <x:v>L</x:v>
      </x:c>
      <x:c r="I27" s="20" t="str">
        <x:v>NH2- / -COOH</x:v>
      </x:c>
      <x:c r="J27" s="20"/>
      <x:c r="K27" s="20"/>
      <x:c r="L27" s="20" t="str">
        <x:v>&lt;2</x:v>
      </x:c>
      <x:c r="M27" s="20"/>
      <x:c r="N27" s="20" t="str">
        <x:v>Red-emitting peptide-templated AuNC</x:v>
      </x:c>
      <x:c r="O27" s="20" t="str">
        <x:v>HAuCl4</x:v>
      </x:c>
      <x:c r="P27" s="20" t="str">
        <x:v>Same SV peptide; synthesis conditions optimized separately from blue product</x:v>
      </x:c>
      <x:c r="Q27" s="20" t="str">
        <x:v>Peptide-templated / conditions dependent</x:v>
      </x:c>
      <x:c r="R27" s="20"/>
      <x:c r="S27" s="20"/>
      <x:c r="T27" s="20"/>
      <x:c r="U27" s="20" t="str">
        <x:v>Light, pH, Au:peptide ratio, time and temperature were optimization variables</x:v>
      </x:c>
      <x:c r="V27" s="20" t="n">
        <x:v>657</x:v>
      </x:c>
      <x:c r="W27" s="20" t="str">
        <x:v>λex 560 / λem 657</x:v>
      </x:c>
      <x:c r="X27" s="20"/>
      <x:c r="Y27" s="20"/>
      <x:c r="Z27" s="20"/>
      <x:c r="AA27" s="20"/>
      <x:c r="AB27" s="20"/>
      <x:c r="AC27" s="20"/>
      <x:c r="AD27" s="20"/>
      <x:c r="AE27" s="20" t="str">
        <x:v>Cell-nucleus multimodal imaging</x:v>
      </x:c>
      <x:c r="AF27" s="20" t="str">
        <x:v>Paired with R023: identical peptide sequence can yield sharply different optical outcomes when the synthesis environment changes.</x:v>
      </x:c>
      <x:c r="AG27" s="20" t="str">
        <x:v>ACS Applied Bio Materials abstract + SI listing</x:v>
      </x:c>
      <x:c r="AH27" s="20" t="str">
        <x:v>https://doi.org/10.1021/acsabm.9b01078</x:v>
      </x:c>
      <x:c r="AI27" s="24" t="n">
        <x:f>ROUND(100*COUNTA(G27,J27,L27,R27,S27,T27,V27,X27,AA27,AC27)/10,0)</x:f>
        <x:v>30</x:v>
      </x:c>
      <x:c r="AJ27" s="20" t="str">
        <x:v>QC_HOLD</x:v>
      </x:c>
      <x:c r="AK27" s="20" t="str">
        <x:v>EXACT_FROM_PRIMARY</x:v>
      </x:c>
      <x:c r="AL27" s="20" t="str">
        <x:v>Exact numerical synthesis condition set still needs full main-text/SI extraction.</x:v>
      </x:c>
      <x:c r="AM27" s="20" t="str">
        <x:v>2026-09-07</x:v>
      </x:c>
      <x:c r="AN27" s="20" t="str">
        <x:v>WEB_PRIMARY</x:v>
      </x:c>
    </x:row>
    <x:row r="28" ht="19" customHeight="1">
      <x:c r="A28" s="20" t="str">
        <x:v>R025</x:v>
      </x:c>
      <x:c r="B28" s="20" t="str">
        <x:v>W02</x:v>
      </x:c>
      <x:c r="C28" s="20" t="str">
        <x:v>A2 DIRECT_PEPTIDE_NONPRECISE_AUNC</x:v>
      </x:c>
      <x:c r="D28" s="20" t="str">
        <x:v>DIRECT</x:v>
      </x:c>
      <x:c r="E28" s="20" t="str">
        <x:v>ultrasmall_AuNC_unknown_nuclearity</x:v>
      </x:c>
      <x:c r="F28" s="20" t="str">
        <x:v>Cyclodecapeptide-templated AuNC</x:v>
      </x:c>
      <x:c r="G28" s="20" t="str">
        <x:v>Cyclodecapeptide: 1 Tyr + 2 Cys; exact sequence pending</x:v>
      </x:c>
      <x:c r="H28" s="20" t="str">
        <x:v>L</x:v>
      </x:c>
      <x:c r="I28" s="20" t="str">
        <x:v>Cyclic peptide</x:v>
      </x:c>
      <x:c r="J28" s="20"/>
      <x:c r="K28" s="20"/>
      <x:c r="L28" s="20"/>
      <x:c r="M28" s="20"/>
      <x:c r="N28" s="20" t="str">
        <x:v>Red-fluorescent CP-AuNC</x:v>
      </x:c>
      <x:c r="O28" s="20" t="str">
        <x:v>HAuCl4</x:v>
      </x:c>
      <x:c r="P28" s="20" t="str">
        <x:v>100 µL 25 mM HAuCl4 + 1 mL 2 mM cyclodecapeptide</x:v>
      </x:c>
      <x:c r="Q28" s="20" t="str">
        <x:v>Peptide biomineralization / alkaline condition</x:v>
      </x:c>
      <x:c r="R28" s="20"/>
      <x:c r="S28" s="20" t="n">
        <x:v>37</x:v>
      </x:c>
      <x:c r="T28" s="20" t="n">
        <x:v>15</x:v>
      </x:c>
      <x:c r="U28" s="20" t="str">
        <x:v>Vigorous stirring; NaOH 75 µL 0.5 M added after 2 min; sealed 37°C</x:v>
      </x:c>
      <x:c r="V28" s="20"/>
      <x:c r="W28" s="20" t="str">
        <x:v>Red fluorescence; exact peak to extract</x:v>
      </x:c>
      <x:c r="X28" s="20"/>
      <x:c r="Y28" s="20"/>
      <x:c r="Z28" s="20"/>
      <x:c r="AA28" s="20"/>
      <x:c r="AB28" s="20"/>
      <x:c r="AC28" s="20"/>
      <x:c r="AD28" s="20"/>
      <x:c r="AE28" s="20" t="str">
        <x:v>Dual fluorescence/MR imaging after Gd3+ functionalization</x:v>
      </x:c>
      <x:c r="AF28" s="20" t="str">
        <x:v>Direct designed cyclic peptide acts as AuNC template and later Gd3+ chelator; exact peptide sequence must be recovered from structure figure/SI.</x:v>
      </x:c>
      <x:c r="AG28" s="20" t="str">
        <x:v>RSC Supporting Information synthesis</x:v>
      </x:c>
      <x:c r="AH28" s="20" t="str">
        <x:v>https://doi.org/10.1039/C3TB20440E</x:v>
      </x:c>
      <x:c r="AI28" s="24" t="n">
        <x:f>ROUND(100*COUNTA(G28,J28,L28,R28,S28,T28,V28,X28,AA28,AC28)/10,0)</x:f>
        <x:v>30</x:v>
      </x:c>
      <x:c r="AJ28" s="20" t="str">
        <x:v>QC_HOLD</x:v>
      </x:c>
      <x:c r="AK28" s="20" t="str">
        <x:v>INCOMPLETE_SEQUENCE</x:v>
      </x:c>
      <x:c r="AL28" s="20" t="str">
        <x:v>Exact cyclodecapeptide sequence not recovered from searchable text.</x:v>
      </x:c>
      <x:c r="AM28" s="20" t="str">
        <x:v>2026-09-07</x:v>
      </x:c>
      <x:c r="AN28" s="20" t="str">
        <x:v>WEB_PRIMARY+SI</x:v>
      </x:c>
    </x:row>
    <x:row r="29" ht="19" customHeight="1">
      <x:c r="A29" s="20" t="str">
        <x:v>R026</x:v>
      </x:c>
      <x:c r="B29" s="20" t="str">
        <x:v>W03</x:v>
      </x:c>
      <x:c r="C29" s="20" t="str">
        <x:v>A1 DIRECT_PEPTIDE_ATOMIC_AUNC</x:v>
      </x:c>
      <x:c r="D29" s="20" t="str">
        <x:v>DIRECT</x:v>
      </x:c>
      <x:c r="E29" s="20" t="str">
        <x:v>atomically_precise_AuNC</x:v>
      </x:c>
      <x:c r="F29" s="20" t="str">
        <x:v>CCYJNP5 peptide</x:v>
      </x:c>
      <x:c r="G29" s="20" t="str">
        <x:v>CCYLQLQAEER</x:v>
      </x:c>
      <x:c r="H29" s="20" t="str">
        <x:v>L</x:v>
      </x:c>
      <x:c r="I29" s="20" t="str">
        <x:v>C-terminal amide (-NH2)</x:v>
      </x:c>
      <x:c r="J29" s="20" t="n">
        <x:v>21</x:v>
      </x:c>
      <x:c r="K29" s="20"/>
      <x:c r="L29" s="20" t="n">
        <x:v>2</x:v>
      </x:c>
      <x:c r="M29" s="20"/>
      <x:c r="N29" s="20" t="str">
        <x:v>Peptide-conjugated Au21 nanocluster</x:v>
      </x:c>
      <x:c r="O29" s="20" t="str">
        <x:v>HAuCl4</x:v>
      </x:c>
      <x:c r="P29" s="20" t="str">
        <x:v>1 mL 4.428 mM HAuCl4 + 1 mL CCYJNP5; optimized peptide:HAuCl4 = 1:1</x:v>
      </x:c>
      <x:c r="Q29" s="20" t="str">
        <x:v>Peptide self-reduction via Tyr under alkaline pH</x:v>
      </x:c>
      <x:c r="R29" s="20" t="n">
        <x:v>11.5</x:v>
      </x:c>
      <x:c r="S29" s="20" t="n">
        <x:v>25</x:v>
      </x:c>
      <x:c r="T29" s="20" t="n">
        <x:v>18</x:v>
      </x:c>
      <x:c r="U29" s="20" t="str">
        <x:v>Magnetic stirring; 130 µL 1 M NaOH; dialysis MWCO 8000 for 12 h</x:v>
      </x:c>
      <x:c r="V29" s="20" t="n">
        <x:v>640</x:v>
      </x:c>
      <x:c r="W29" s="20" t="str">
        <x:v>λex 380 / λem 640</x:v>
      </x:c>
      <x:c r="X29" s="20" t="n">
        <x:v>2.86</x:v>
      </x:c>
      <x:c r="Y29" s="20"/>
      <x:c r="Z29" s="20"/>
      <x:c r="AA29" s="20"/>
      <x:c r="AB29" s="20"/>
      <x:c r="AC29" s="20"/>
      <x:c r="AD29" s="20"/>
      <x:c r="AE29" s="20" t="str">
        <x:v>FGFR2-targeted tumor-cell imaging</x:v>
      </x:c>
      <x:c r="AF29" s="20" t="str">
        <x:v>MALDI-TOF indicated 21 Au atoms; CCY motif is required for strong fluorescence; ~33% Au(I) at surface.</x:v>
      </x:c>
      <x:c r="AG29" s="20" t="str">
        <x:v>RSC Adv. main text, Methods + Results</x:v>
      </x:c>
      <x:c r="AH29" s="20" t="str">
        <x:v>https://doi.org/10.1039/C5RA20113F</x:v>
      </x:c>
      <x:c r="AI29" s="24" t="n">
        <x:f>ROUND(100*COUNTA(G29,J29,L29,R29,S29,T29,V29,X29,AA29,AC29)/10,0)</x:f>
        <x:v>80</x:v>
      </x:c>
      <x:c r="AJ29" s="20" t="str">
        <x:v>TRAIN_CORE</x:v>
      </x:c>
      <x:c r="AK29" s="20" t="str">
        <x:v>EXACT_FROM_PRIMARY</x:v>
      </x:c>
      <x:c r="AL29" s="20" t="str">
        <x:v>High-value atomic sequence+synthesis+optical record. Group with all same-paper variants in validation.</x:v>
      </x:c>
      <x:c r="AM29" s="20" t="str">
        <x:v>2026-09-07</x:v>
      </x:c>
      <x:c r="AN29" s="20" t="str">
        <x:v>WEB_PRIMARY</x:v>
      </x:c>
    </x:row>
    <x:row r="30" ht="19" customHeight="1">
      <x:c r="A30" s="20" t="str">
        <x:v>R027</x:v>
      </x:c>
      <x:c r="B30" s="20" t="str">
        <x:v>W04</x:v>
      </x:c>
      <x:c r="C30" s="20" t="str">
        <x:v>A1 DIRECT_PEPTIDE_ATOMIC_AUNC</x:v>
      </x:c>
      <x:c r="D30" s="20" t="str">
        <x:v>DIRECT</x:v>
      </x:c>
      <x:c r="E30" s="20" t="str">
        <x:v>atomically_precise_AuNC</x:v>
      </x:c>
      <x:c r="F30" s="20" t="str">
        <x:v>Integrin-targeting peptide Au cluster</x:v>
      </x:c>
      <x:c r="G30" s="20" t="str">
        <x:v>CONFLICT: CGPDGRDGRDGPDGR (Materials) | CCGPDGRDGRDGRDGR (Results)</x:v>
      </x:c>
      <x:c r="H30" s="20" t="str">
        <x:v>L</x:v>
      </x:c>
      <x:c r="I30" s="20" t="str">
        <x:v>N- and C-termini reported NH2-/ -COOH</x:v>
      </x:c>
      <x:c r="J30" s="20" t="n">
        <x:v>7</x:v>
      </x:c>
      <x:c r="K30" s="20" t="n">
        <x:v>5</x:v>
      </x:c>
      <x:c r="L30" s="20" t="n">
        <x:v>2.85</x:v>
      </x:c>
      <x:c r="M30" s="20"/>
      <x:c r="N30" s="20" t="str">
        <x:v>Au7Peptide5 inferred from MALDI-TOF</x:v>
      </x:c>
      <x:c r="O30" s="20" t="str">
        <x:v>HAuCl4</x:v>
      </x:c>
      <x:c r="P30" s="20" t="str">
        <x:v>6 mg peptide in 1 mL water + 40 µL 25 mM HAuCl4</x:v>
      </x:c>
      <x:c r="Q30" s="20" t="str">
        <x:v>Peptide biomimetic mineralization; NaOH-assisted</x:v>
      </x:c>
      <x:c r="R30" s="20"/>
      <x:c r="S30" s="20" t="n">
        <x:v>55</x:v>
      </x:c>
      <x:c r="T30" s="20" t="n">
        <x:v>12</x:v>
      </x:c>
      <x:c r="U30" s="20" t="str">
        <x:v>5 min after Au addition: 200 µL 0.5 M NaOH; MWCO 3 kDa purification</x:v>
      </x:c>
      <x:c r="V30" s="20" t="n">
        <x:v>420</x:v>
      </x:c>
      <x:c r="W30" s="20" t="str">
        <x:v>λex 330 / λem 420</x:v>
      </x:c>
      <x:c r="X30" s="20"/>
      <x:c r="Y30" s="20"/>
      <x:c r="Z30" s="20"/>
      <x:c r="AA30" s="20"/>
      <x:c r="AB30" s="20"/>
      <x:c r="AC30" s="20"/>
      <x:c r="AD30" s="20"/>
      <x:c r="AE30" s="20" t="str">
        <x:v>Tumor-selective enzyme-like catalysis / apoptosis</x:v>
      </x:c>
      <x:c r="AF30" s="20" t="str">
        <x:v>MALDI peaks assigned Au7SxNay; Au7Peptide5 inferred. HRTEM-derived ~2.85±0.55 nm may be beam-affected.</x:v>
      </x:c>
      <x:c r="AG30" s="20" t="str">
        <x:v>Nanomaterials Methods 2.1–2.3 and Results 3.1</x:v>
      </x:c>
      <x:c r="AH30" s="20" t="str">
        <x:v>https://doi.org/10.3390/nano8121040</x:v>
      </x:c>
      <x:c r="AI30" s="24" t="n">
        <x:f>ROUND(100*COUNTA(G30,J30,L30,R30,S30,T30,V30,X30,AA30,AC30)/10,0)</x:f>
        <x:v>60</x:v>
      </x:c>
      <x:c r="AJ30" s="20" t="str">
        <x:v>QC_HOLD</x:v>
      </x:c>
      <x:c r="AK30" s="20" t="str">
        <x:v>SOURCE_CONFLICT</x:v>
      </x:c>
      <x:c r="AL30" s="20" t="str">
        <x:v>Critical sequence inconsistency inside the primary article; verify typeset PDF/author correction before encoding sequence.</x:v>
      </x:c>
      <x:c r="AM30" s="20" t="str">
        <x:v>2026-09-07</x:v>
      </x:c>
      <x:c r="AN30" s="20" t="str">
        <x:v>WEB_PRIMARY</x:v>
      </x:c>
    </x:row>
    <x:row r="31" ht="19" customHeight="1">
      <x:c r="A31" s="20" t="str">
        <x:v>R028</x:v>
      </x:c>
      <x:c r="B31" s="20" t="str">
        <x:v>W05</x:v>
      </x:c>
      <x:c r="C31" s="20" t="str">
        <x:v>A1 DIRECT_PEPTIDE_ATOMIC_AUNC</x:v>
      </x:c>
      <x:c r="D31" s="20" t="str">
        <x:v>DIRECT</x:v>
      </x:c>
      <x:c r="E31" s="20" t="str">
        <x:v>atomically_precise_AuNC</x:v>
      </x:c>
      <x:c r="F31" s="20" t="str">
        <x:v>Sv peptide</x:v>
      </x:c>
      <x:c r="G31" s="20" t="str">
        <x:v>CCYGGPKKKRKPG</x:v>
      </x:c>
      <x:c r="H31" s="20" t="str">
        <x:v>L</x:v>
      </x:c>
      <x:c r="I31" s="20" t="str">
        <x:v>NH2- / -COOH</x:v>
      </x:c>
      <x:c r="J31" s="20" t="n">
        <x:v>25</x:v>
      </x:c>
      <x:c r="K31" s="20" t="n">
        <x:v>9</x:v>
      </x:c>
      <x:c r="L31" s="20"/>
      <x:c r="M31" s="20"/>
      <x:c r="N31" s="20" t="str">
        <x:v>Au25Sv9</x:v>
      </x:c>
      <x:c r="O31" s="20" t="str">
        <x:v>HAuCl4</x:v>
      </x:c>
      <x:c r="P31" s="20" t="str">
        <x:v>Original study reports designed tridecapeptide Sv; exact protocol requires final primary extraction</x:v>
      </x:c>
      <x:c r="Q31" s="20" t="str">
        <x:v>Peptide-templated</x:v>
      </x:c>
      <x:c r="R31" s="20" t="n">
        <x:v>10</x:v>
      </x:c>
      <x:c r="S31" s="20"/>
      <x:c r="T31" s="20" t="n">
        <x:v>15</x:v>
      </x:c>
      <x:c r="U31" s="20" t="str">
        <x:v>Sealed/dark protocol reported in source family; verify exact reagent quantities before training synthesis model</x:v>
      </x:c>
      <x:c r="V31" s="20" t="n">
        <x:v>645</x:v>
      </x:c>
      <x:c r="W31" s="20" t="str">
        <x:v>Red fluorescence; emission peak ~645</x:v>
      </x:c>
      <x:c r="X31" s="20"/>
      <x:c r="Y31" s="20"/>
      <x:c r="Z31" s="20"/>
      <x:c r="AA31" s="20"/>
      <x:c r="AB31" s="20"/>
      <x:c r="AC31" s="20"/>
      <x:c r="AD31" s="20"/>
      <x:c r="AE31" s="20" t="str">
        <x:v>Chronic lymphocytic leukemia therapy</x:v>
      </x:c>
      <x:c r="AF31" s="20" t="str">
        <x:v>Atomic Au25Sv9 binds/inhibits thioredoxin reductase 1 and increases oxidative stress in CLL cells.</x:v>
      </x:c>
      <x:c r="AG31" s="20" t="str">
        <x:v>Science Bulletin primary article / PubMed</x:v>
      </x:c>
      <x:c r="AH31" s="20" t="str">
        <x:v>https://doi.org/10.1016/j.scib.2017.03.024</x:v>
      </x:c>
      <x:c r="AI31" s="24" t="n">
        <x:f>ROUND(100*COUNTA(G31,J31,L31,R31,S31,T31,V31,X31,AA31,AC31)/10,0)</x:f>
        <x:v>50</x:v>
      </x:c>
      <x:c r="AJ31" s="20" t="str">
        <x:v>TRAIN_STRUCTURE_ONLY</x:v>
      </x:c>
      <x:c r="AK31" s="20" t="str">
        <x:v>EXACT_FROM_2017_PRIMARY</x:v>
      </x:c>
      <x:c r="AL31" s="20" t="str">
        <x:v>Do not merge with 2020 SV variant CCYGGPKKKRKVG; sequence-cluster leakage risk is high.</x:v>
      </x:c>
      <x:c r="AM31" s="20" t="str">
        <x:v>2026-09-07</x:v>
      </x:c>
      <x:c r="AN31" s="20" t="str">
        <x:v>WEB_PRIMARY</x:v>
      </x:c>
    </x:row>
    <x:row r="32" ht="19" customHeight="1">
      <x:c r="A32" s="20" t="str">
        <x:v>R029</x:v>
      </x:c>
      <x:c r="B32" s="20" t="str">
        <x:v>W06</x:v>
      </x:c>
      <x:c r="C32" s="20" t="str">
        <x:v>A2 DIRECT_PEPTIDE_NONPRECISE_AUNC</x:v>
      </x:c>
      <x:c r="D32" s="20" t="str">
        <x:v>DIRECT</x:v>
      </x:c>
      <x:c r="E32" s="20" t="str">
        <x:v>ultrasmall_AuNC_unknown_nuclearity</x:v>
      </x:c>
      <x:c r="F32" s="20" t="str">
        <x:v>DGEAGC oligopeptide</x:v>
      </x:c>
      <x:c r="G32" s="20" t="str">
        <x:v>DGEAGC</x:v>
      </x:c>
      <x:c r="H32" s="20" t="str">
        <x:v>L</x:v>
      </x:c>
      <x:c r="I32" s="20" t="str">
        <x:v>None</x:v>
      </x:c>
      <x:c r="J32" s="20"/>
      <x:c r="K32" s="20"/>
      <x:c r="L32" s="20" t="n">
        <x:v>1.3</x:v>
      </x:c>
      <x:c r="M32" s="20"/>
      <x:c r="N32" s="20" t="str">
        <x:v>Monodispersed ultrasmall peptide-protected AuNC</x:v>
      </x:c>
      <x:c r="O32" s="20" t="str">
        <x:v>HAuCl4</x:v>
      </x:c>
      <x:c r="P32" s="20" t="str">
        <x:v>68 µL HAuCl4 0.2 g/mL + 1.0 mL peptide 50 mg/mL + 17.6 mL water</x:v>
      </x:c>
      <x:c r="Q32" s="20" t="str">
        <x:v>Thermal reduction</x:v>
      </x:c>
      <x:c r="R32" s="20"/>
      <x:c r="S32" s="20" t="n">
        <x:v>70</x:v>
      </x:c>
      <x:c r="T32" s="20" t="n">
        <x:v>2</x:v>
      </x:c>
      <x:c r="U32" s="20" t="str">
        <x:v>Vigorous stirring RT 5 min, then 70°C for 2 h; PAGE purification used for characterization</x:v>
      </x:c>
      <x:c r="V32" s="20" t="n">
        <x:v>600</x:v>
      </x:c>
      <x:c r="W32" s="20" t="str">
        <x:v>λex 400 / λem 600</x:v>
      </x:c>
      <x:c r="X32" s="20"/>
      <x:c r="Y32" s="20" t="n">
        <x:v>400</x:v>
      </x:c>
      <x:c r="Z32" s="20"/>
      <x:c r="AA32" s="20"/>
      <x:c r="AB32" s="20"/>
      <x:c r="AC32" s="20"/>
      <x:c r="AD32" s="20"/>
      <x:c r="AE32" s="20" t="str">
        <x:v>Peroxidase mimic / cell imaging</x:v>
      </x:c>
      <x:c r="AF32" s="20" t="str">
        <x:v>Straightforward one-pot sequence+synthesis+size+optical record; article introduction contains a DGECGC typo but Methods specify DGEAGC.</x:v>
      </x:c>
      <x:c r="AG32" s="20" t="str">
        <x:v>Molecules 2023 Methods 3.1/3.3 + Results 2.1</x:v>
      </x:c>
      <x:c r="AH32" s="20" t="str">
        <x:v>https://doi.org/10.3390/molecules28010070</x:v>
      </x:c>
      <x:c r="AI32" s="24" t="n">
        <x:f>ROUND(100*COUNTA(G32,J32,L32,R32,S32,T32,V32,X32,AA32,AC32)/10,0)</x:f>
        <x:v>50</x:v>
      </x:c>
      <x:c r="AJ32" s="20" t="str">
        <x:v>TRAIN_OPTICAL_SIZE</x:v>
      </x:c>
      <x:c r="AK32" s="20" t="str">
        <x:v>EXACT_FROM_METHODS</x:v>
      </x:c>
      <x:c r="AL32" s="20" t="str">
        <x:v>Use DGEAGC from Materials/Methods; record introduction typo DGECGC in QC log.</x:v>
      </x:c>
      <x:c r="AM32" s="20" t="str">
        <x:v>2026-09-07</x:v>
      </x:c>
      <x:c r="AN32" s="20" t="str">
        <x:v>WEB_PRIMARY</x:v>
      </x:c>
    </x:row>
    <x:row r="33" ht="19" customHeight="1">
      <x:c r="A33" s="20" t="str">
        <x:v>R030</x:v>
      </x:c>
      <x:c r="B33" s="20" t="str">
        <x:v>W07</x:v>
      </x:c>
      <x:c r="C33" s="20" t="str">
        <x:v>A2 DIRECT_PEPTIDE_NONPRECISE_AUNC</x:v>
      </x:c>
      <x:c r="D33" s="20" t="str">
        <x:v>DIRECT</x:v>
      </x:c>
      <x:c r="E33" s="20" t="str">
        <x:v>ultrasmall_AuNC_unknown_nuclearity</x:v>
      </x:c>
      <x:c r="F33" s="20" t="str">
        <x:v>Cyclic RGD peptide</x:v>
      </x:c>
      <x:c r="G33" s="20" t="str">
        <x:v>c(RGD) / c(RGDyE) family; exact sequence requires SI verification</x:v>
      </x:c>
      <x:c r="H33" s="20" t="str">
        <x:v>L</x:v>
      </x:c>
      <x:c r="I33" s="20" t="str">
        <x:v>Cyclic peptide</x:v>
      </x:c>
      <x:c r="J33" s="20"/>
      <x:c r="K33" s="20"/>
      <x:c r="L33" s="20"/>
      <x:c r="M33" s="20"/>
      <x:c r="N33" s="20" t="str">
        <x:v>RGD-conjugated AuNC</x:v>
      </x:c>
      <x:c r="O33" s="20" t="str">
        <x:v>Chloraurate</x:v>
      </x:c>
      <x:c r="P33" s="20" t="str">
        <x:v>Cyclic RGD used as both reducing and protecting agent</x:v>
      </x:c>
      <x:c r="Q33" s="20" t="str">
        <x:v>Peptide self-reduction under alkaline condition</x:v>
      </x:c>
      <x:c r="R33" s="20"/>
      <x:c r="S33" s="20" t="n">
        <x:v>25</x:v>
      </x:c>
      <x:c r="T33" s="20" t="n">
        <x:v>0.25</x:v>
      </x:c>
      <x:c r="U33" s="20" t="str">
        <x:v>Direct alkaline synthesis; complete in 15 min at room temperature</x:v>
      </x:c>
      <x:c r="V33" s="20"/>
      <x:c r="W33" s="20" t="str">
        <x:v>Fluorescent; exact λ from full paper/SI to extract</x:v>
      </x:c>
      <x:c r="X33" s="20"/>
      <x:c r="Y33" s="20"/>
      <x:c r="Z33" s="20"/>
      <x:c r="AA33" s="20"/>
      <x:c r="AB33" s="20"/>
      <x:c r="AC33" s="20"/>
      <x:c r="AD33" s="20"/>
      <x:c r="AE33" s="20" t="str">
        <x:v>αvβ3-positive melanoma A375 imaging</x:v>
      </x:c>
      <x:c r="AF33" s="20" t="str">
        <x:v>Very fast direct peptide-AuNC synthesis; exact cyclic peptide identity/condition optimization resides in SI.</x:v>
      </x:c>
      <x:c r="AG33" s="20" t="str">
        <x:v>Bioconjugate Chemistry abstract + SI description</x:v>
      </x:c>
      <x:c r="AH33" s="20" t="str">
        <x:v>https://doi.org/10.1021/bc500505c</x:v>
      </x:c>
      <x:c r="AI33" s="24" t="n">
        <x:f>ROUND(100*COUNTA(G33,J33,L33,R33,S33,T33,V33,X33,AA33,AC33)/10,0)</x:f>
        <x:v>30</x:v>
      </x:c>
      <x:c r="AJ33" s="20" t="str">
        <x:v>QC_HOLD</x:v>
      </x:c>
      <x:c r="AK33" s="20" t="str">
        <x:v>PARTIAL_SEQUENCE</x:v>
      </x:c>
      <x:c r="AL33" s="20" t="str">
        <x:v>Acquire SI/full text before model training.</x:v>
      </x:c>
      <x:c r="AM33" s="20" t="str">
        <x:v>2026-09-07</x:v>
      </x:c>
      <x:c r="AN33" s="20" t="str">
        <x:v>WEB_PRIMARY</x:v>
      </x:c>
    </x:row>
    <x:row r="34" ht="19" customHeight="1">
      <x:c r="A34" s="20" t="str">
        <x:v>R031</x:v>
      </x:c>
      <x:c r="B34" s="20" t="str">
        <x:v>W08</x:v>
      </x:c>
      <x:c r="C34" s="20" t="str">
        <x:v>C1 AUNC_PTT_BENCHMARK</x:v>
      </x:c>
      <x:c r="D34" s="20" t="str">
        <x:v>DIRECT</x:v>
      </x:c>
      <x:c r="E34" s="20" t="str">
        <x:v>ultrasmall_AuNC_unknown_nuclearity</x:v>
      </x:c>
      <x:c r="F34" s="20" t="str">
        <x:v>LHRH analogue-functionalized AuNC</x:v>
      </x:c>
      <x:c r="G34" s="20" t="str">
        <x:v>LHRHa; exact sequence pending primary full text</x:v>
      </x:c>
      <x:c r="H34" s="20" t="str">
        <x:v>L</x:v>
      </x:c>
      <x:c r="I34" s="20" t="str">
        <x:v>Post-synthesis peptide functionalization</x:v>
      </x:c>
      <x:c r="J34" s="20"/>
      <x:c r="K34" s="20"/>
      <x:c r="L34" s="20"/>
      <x:c r="M34" s="20"/>
      <x:c r="N34" s="20" t="str">
        <x:v>PEI-modified AuNC + LHRHa nanosystem</x:v>
      </x:c>
      <x:c r="O34" s="20"/>
      <x:c r="P34" s="20" t="str">
        <x:v>PEI-AuNC combined with LHRH analogue</x:v>
      </x:c>
      <x:c r="Q34" s="20"/>
      <x:c r="R34" s="20"/>
      <x:c r="S34" s="20"/>
      <x:c r="T34" s="20"/>
      <x:c r="U34" s="20" t="str">
        <x:v>Post-functionalized targeting nanosystem</x:v>
      </x:c>
      <x:c r="V34" s="20"/>
      <x:c r="W34" s="20"/>
      <x:c r="X34" s="20"/>
      <x:c r="Y34" s="20"/>
      <x:c r="Z34" s="20"/>
      <x:c r="AA34" s="20"/>
      <x:c r="AB34" s="20"/>
      <x:c r="AC34" s="20"/>
      <x:c r="AD34" s="20"/>
      <x:c r="AE34" s="20" t="str">
        <x:v>Targeted prostate-cancer FL/CT + PTT</x:v>
      </x:c>
      <x:c r="AF34" s="20" t="str">
        <x:v>Useful peptide-functionalized AuNC PTT benchmark, but not a peptide-templated atomic-nuclearity training record.</x:v>
      </x:c>
      <x:c r="AG34" s="20" t="str">
        <x:v>J. Mater. Chem. B abstract</x:v>
      </x:c>
      <x:c r="AH34" s="20" t="str">
        <x:v>https://doi.org/10.1039/D2TB00531J</x:v>
      </x:c>
      <x:c r="AI34" s="24" t="n">
        <x:f>ROUND(100*COUNTA(G34,J34,L34,R34,S34,T34,V34,X34,AA34,AC34)/10,0)</x:f>
        <x:v>10</x:v>
      </x:c>
      <x:c r="AJ34" s="20" t="str">
        <x:v>BENCHMARK_ONLY</x:v>
      </x:c>
      <x:c r="AK34" s="20" t="str">
        <x:v>INCOMPLETE_SEQUENCE</x:v>
      </x:c>
      <x:c r="AL34" s="20" t="str">
        <x:v>Need exact LHRHa identity and laser/PCE/heating data from full primary paper.</x:v>
      </x:c>
      <x:c r="AM34" s="20" t="str">
        <x:v>2026-09-07</x:v>
      </x:c>
      <x:c r="AN34" s="20" t="str">
        <x:v>WEB_PRIMARY</x:v>
      </x:c>
    </x:row>
    <x:row r="35" ht="19" customHeight="1">
      <x:c r="A35" s="20" t="str">
        <x:v>R032</x:v>
      </x:c>
      <x:c r="B35" s="20" t="str">
        <x:v>W09</x:v>
      </x:c>
      <x:c r="C35" s="20" t="str">
        <x:v>A2 DIRECT_PEPTIDE_NONPRECISE_AUNC</x:v>
      </x:c>
      <x:c r="D35" s="20" t="str">
        <x:v>DIRECT</x:v>
      </x:c>
      <x:c r="E35" s="20" t="str">
        <x:v>ultrasmall_AuNC_unknown_nuclearity</x:v>
      </x:c>
      <x:c r="F35" s="20" t="str">
        <x:v>CMMMMM peptide</x:v>
      </x:c>
      <x:c r="G35" s="20" t="str">
        <x:v>CMMMMM</x:v>
      </x:c>
      <x:c r="H35" s="20" t="str">
        <x:v>L</x:v>
      </x:c>
      <x:c r="I35" s="20" t="str">
        <x:v>None</x:v>
      </x:c>
      <x:c r="J35" s="20"/>
      <x:c r="K35" s="20"/>
      <x:c r="L35" s="20"/>
      <x:c r="M35" s="20"/>
      <x:c r="N35" s="20" t="str">
        <x:v>Peptide-coated fluorescent AuNC</x:v>
      </x:c>
      <x:c r="O35" s="20" t="str">
        <x:v>Gold precursor; exact SI protocol pending</x:v>
      </x:c>
      <x:c r="P35" s="20" t="str">
        <x:v>Screened peptide synthesis</x:v>
      </x:c>
      <x:c r="Q35" s="20"/>
      <x:c r="R35" s="20"/>
      <x:c r="S35" s="20"/>
      <x:c r="T35" s="20"/>
      <x:c r="U35" s="20" t="str">
        <x:v>Exact synthesis conditions in Supporting Information</x:v>
      </x:c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 t="str">
        <x:v>Protein/serum discrimination</x:v>
      </x:c>
      <x:c r="AF35" s="20" t="str">
        <x:v>CMMMMM-AuNC fluorescence intensity was 230% higher than CYYYYY comparator; &gt;90% fluorescence remained after 60 min UV vs &lt;30% for CYYYYY.</x:v>
      </x:c>
      <x:c r="AG35" s="20" t="str">
        <x:v>Analytical Chemistry abstract</x:v>
      </x:c>
      <x:c r="AH35" s="20" t="str">
        <x:v>https://doi.org/10.1021/acs.analchem.9b03463</x:v>
      </x:c>
      <x:c r="AI35" s="24" t="n">
        <x:f>ROUND(100*COUNTA(G35,J35,L35,R35,S35,T35,V35,X35,AA35,AC35)/10,0)</x:f>
        <x:v>10</x:v>
      </x:c>
      <x:c r="AJ35" s="20" t="str">
        <x:v>QC_HOLD</x:v>
      </x:c>
      <x:c r="AK35" s="20" t="str">
        <x:v>EXACT_FROM_PRIMARY</x:v>
      </x:c>
      <x:c r="AL35" s="20" t="str">
        <x:v>Strong sequence-effect pair, but exact synthesis variables must be extracted before training.</x:v>
      </x:c>
      <x:c r="AM35" s="20" t="str">
        <x:v>2026-09-07</x:v>
      </x:c>
      <x:c r="AN35" s="20" t="str">
        <x:v>WEB_PRIMARY</x:v>
      </x:c>
    </x:row>
    <x:row r="36" ht="19" customHeight="1">
      <x:c r="A36" s="20" t="str">
        <x:v>R033</x:v>
      </x:c>
      <x:c r="B36" s="20" t="str">
        <x:v>W09</x:v>
      </x:c>
      <x:c r="C36" s="20" t="str">
        <x:v>A2 DIRECT_PEPTIDE_NONPRECISE_AUNC</x:v>
      </x:c>
      <x:c r="D36" s="20" t="str">
        <x:v>DIRECT</x:v>
      </x:c>
      <x:c r="E36" s="20" t="str">
        <x:v>ultrasmall_AuNC_unknown_nuclearity</x:v>
      </x:c>
      <x:c r="F36" s="20" t="str">
        <x:v>CYYYYY comparator</x:v>
      </x:c>
      <x:c r="G36" s="20" t="str">
        <x:v>CYYYYY</x:v>
      </x:c>
      <x:c r="H36" s="20" t="str">
        <x:v>L</x:v>
      </x:c>
      <x:c r="I36" s="20" t="str">
        <x:v>None</x:v>
      </x:c>
      <x:c r="J36" s="20"/>
      <x:c r="K36" s="20"/>
      <x:c r="L36" s="20"/>
      <x:c r="M36" s="20"/>
      <x:c r="N36" s="20" t="str">
        <x:v>Comparator peptide-coated AuNC</x:v>
      </x:c>
      <x:c r="O36" s="20" t="str">
        <x:v>Gold precursor; exact SI protocol pending</x:v>
      </x:c>
      <x:c r="P36" s="20" t="str">
        <x:v>Comparator peptide synthesis</x:v>
      </x:c>
      <x:c r="Q36" s="20"/>
      <x:c r="R36" s="20"/>
      <x:c r="S36" s="20"/>
      <x:c r="T36" s="20"/>
      <x:c r="U36" s="20" t="str">
        <x:v>Exact synthesis conditions in Supporting Information</x:v>
      </x:c>
      <x:c r="V36" s="20"/>
      <x:c r="W36" s="20"/>
      <x:c r="X36" s="20"/>
      <x:c r="Y36" s="20"/>
      <x:c r="Z36" s="20"/>
      <x:c r="AA36" s="20"/>
      <x:c r="AB36" s="20"/>
      <x:c r="AC36" s="20"/>
      <x:c r="AD36" s="20"/>
      <x:c r="AE36" s="20" t="str">
        <x:v>Comparator for fluorescence/stability</x:v>
      </x:c>
      <x:c r="AF36" s="20" t="str">
        <x:v>Matched comparator to CMMMMM; lower fluorescence and markedly poorer UV photostability.</x:v>
      </x:c>
      <x:c r="AG36" s="20" t="str">
        <x:v>Analytical Chemistry abstract</x:v>
      </x:c>
      <x:c r="AH36" s="20" t="str">
        <x:v>https://doi.org/10.1021/acs.analchem.9b03463</x:v>
      </x:c>
      <x:c r="AI36" s="24" t="n">
        <x:f>ROUND(100*COUNTA(G36,J36,L36,R36,S36,T36,V36,X36,AA36,AC36)/10,0)</x:f>
        <x:v>10</x:v>
      </x:c>
      <x:c r="AJ36" s="20" t="str">
        <x:v>QC_HOLD</x:v>
      </x:c>
      <x:c r="AK36" s="20" t="str">
        <x:v>EXACT_FROM_PRIMARY</x:v>
      </x:c>
      <x:c r="AL36" s="20" t="str">
        <x:v>Paired comparator is highly informative once SI synthesis variables are obtained.</x:v>
      </x:c>
      <x:c r="AM36" s="20" t="str">
        <x:v>2026-09-07</x:v>
      </x:c>
      <x:c r="AN36" s="20" t="str">
        <x:v>WEB_PRIMARY</x:v>
      </x:c>
    </x:row>
    <x:row r="37" ht="19" customHeight="1">
      <x:c r="A37" s="20" t="str">
        <x:v>R034</x:v>
      </x:c>
      <x:c r="B37" s="20" t="str">
        <x:v>W17</x:v>
      </x:c>
      <x:c r="C37" s="20" t="str">
        <x:v>A2 DIRECT_PEPTIDE_NONPRECISE_AUNC</x:v>
      </x:c>
      <x:c r="D37" s="20" t="str">
        <x:v>DIRECT</x:v>
      </x:c>
      <x:c r="E37" s="20" t="str">
        <x:v>ultrasmall_AuNC_unknown_nuclearity</x:v>
      </x:c>
      <x:c r="F37" s="20" t="str">
        <x:v>Blue-YCY AuNC</x:v>
      </x:c>
      <x:c r="G37" s="20" t="str">
        <x:v>YCY</x:v>
      </x:c>
      <x:c r="H37" s="20" t="str">
        <x:v>L</x:v>
      </x:c>
      <x:c r="I37" s="20" t="str">
        <x:v>Blue fraction / supernatant</x:v>
      </x:c>
      <x:c r="J37" s="20"/>
      <x:c r="K37" s="20"/>
      <x:c r="L37" s="20" t="n">
        <x:v>1.8</x:v>
      </x:c>
      <x:c r="M37" s="20"/>
      <x:c r="N37" s="20" t="str">
        <x:v>Blue fluorescent peptide AuNC</x:v>
      </x:c>
      <x:c r="O37" s="20" t="str">
        <x:v>HAuCl4</x:v>
      </x:c>
      <x:c r="P37" s="20" t="str">
        <x:v>0.5 mL peptide 25 mM + 0.5 mL HAuCl4·3H2O 25 mM</x:v>
      </x:c>
      <x:c r="Q37" s="20" t="str">
        <x:v>Peptide-assisted alkaline thermal synthesis</x:v>
      </x:c>
      <x:c r="R37" s="20" t="n">
        <x:v>10</x:v>
      </x:c>
      <x:c r="S37" s="20" t="n">
        <x:v>70</x:v>
      </x:c>
      <x:c r="T37" s="20" t="n">
        <x:v>8.25</x:v>
      </x:c>
      <x:c r="U37" s="20" t="str">
        <x:v>Stir 15 min at 70°C; adjust pH 10 with 1 M NaOH; continue 70°C 8 h; centrifuge 16,000×g 10 min; blue product in supernatant</x:v>
      </x:c>
      <x:c r="V37" s="20" t="n">
        <x:v>415</x:v>
      </x:c>
      <x:c r="W37" s="20" t="str">
        <x:v>λex 325 / λem 415</x:v>
      </x:c>
      <x:c r="X37" s="20" t="n">
        <x:v>1.2</x:v>
      </x:c>
      <x:c r="Y37" s="20"/>
      <x:c r="Z37" s="20"/>
      <x:c r="AA37" s="20"/>
      <x:c r="AB37" s="20"/>
      <x:c r="AC37" s="20"/>
      <x:c r="AD37" s="20"/>
      <x:c r="AE37" s="20" t="str">
        <x:v>Optical/sensing platform</x:v>
      </x:c>
      <x:c r="AF37" s="20" t="str">
        <x:v>Exact same synthesis platform as SCY comparator; provides a controlled sequence comparison with Tyr-Cys-Tyr.</x:v>
      </x:c>
      <x:c r="AG37" s="20" t="str">
        <x:v>Molecules 2024 Methods + characterization</x:v>
      </x:c>
      <x:c r="AH37" s="20" t="str">
        <x:v>https://doi.org/10.3390/molecules29112416</x:v>
      </x:c>
      <x:c r="AI37" s="24" t="n">
        <x:f>ROUND(100*COUNTA(G37,J37,L37,R37,S37,T37,V37,X37,AA37,AC37)/10,0)</x:f>
        <x:v>70</x:v>
      </x:c>
      <x:c r="AJ37" s="20" t="str">
        <x:v>TRAIN_OPTICAL_SIZE</x:v>
      </x:c>
      <x:c r="AK37" s="20" t="str">
        <x:v>EXACT_FROM_PRIMARY</x:v>
      </x:c>
      <x:c r="AL37" s="20" t="str">
        <x:v>Direct same-paper sequence comparison. Group all W17 records together during validation.</x:v>
      </x:c>
      <x:c r="AM37" s="20" t="str">
        <x:v>2026-09-07</x:v>
      </x:c>
      <x:c r="AN37" s="20" t="str">
        <x:v>WEB_PRIMARY</x:v>
      </x:c>
    </x:row>
    <x:row r="38" ht="19" customHeight="1">
      <x:c r="A38" s="20" t="str">
        <x:v>R035</x:v>
      </x:c>
      <x:c r="B38" s="20" t="str">
        <x:v>W17</x:v>
      </x:c>
      <x:c r="C38" s="20" t="str">
        <x:v>A2 DIRECT_PEPTIDE_NONPRECISE_AUNC</x:v>
      </x:c>
      <x:c r="D38" s="20" t="str">
        <x:v>DIRECT</x:v>
      </x:c>
      <x:c r="E38" s="20" t="str">
        <x:v>ultrasmall_AuNC_unknown_nuclearity</x:v>
      </x:c>
      <x:c r="F38" s="20" t="str">
        <x:v>Blue-SCY AuNC</x:v>
      </x:c>
      <x:c r="G38" s="20" t="str">
        <x:v>SCY</x:v>
      </x:c>
      <x:c r="H38" s="20" t="str">
        <x:v>L</x:v>
      </x:c>
      <x:c r="I38" s="20" t="str">
        <x:v>Blue fraction / supernatant</x:v>
      </x:c>
      <x:c r="J38" s="20"/>
      <x:c r="K38" s="20"/>
      <x:c r="L38" s="20" t="n">
        <x:v>1.7</x:v>
      </x:c>
      <x:c r="M38" s="20"/>
      <x:c r="N38" s="20" t="str">
        <x:v>Blue fluorescent peptide AuNC</x:v>
      </x:c>
      <x:c r="O38" s="20" t="str">
        <x:v>HAuCl4</x:v>
      </x:c>
      <x:c r="P38" s="20" t="str">
        <x:v>0.5 mL peptide 25 mM + 0.5 mL HAuCl4·3H2O 25 mM</x:v>
      </x:c>
      <x:c r="Q38" s="20" t="str">
        <x:v>Peptide-assisted alkaline thermal synthesis</x:v>
      </x:c>
      <x:c r="R38" s="20" t="n">
        <x:v>10</x:v>
      </x:c>
      <x:c r="S38" s="20" t="n">
        <x:v>70</x:v>
      </x:c>
      <x:c r="T38" s="20" t="n">
        <x:v>8.25</x:v>
      </x:c>
      <x:c r="U38" s="20" t="str">
        <x:v>Stir 15 min at 70°C; adjust pH 10 with 1 M NaOH; continue 70°C 8 h; centrifuge 16,000×g 10 min; blue product in supernatant</x:v>
      </x:c>
      <x:c r="V38" s="20" t="n">
        <x:v>415</x:v>
      </x:c>
      <x:c r="W38" s="20" t="str">
        <x:v>λex 325 / λem 415</x:v>
      </x:c>
      <x:c r="X38" s="20" t="n">
        <x:v>1.5</x:v>
      </x:c>
      <x:c r="Y38" s="20"/>
      <x:c r="Z38" s="20"/>
      <x:c r="AA38" s="20"/>
      <x:c r="AB38" s="20"/>
      <x:c r="AC38" s="20"/>
      <x:c r="AD38" s="20"/>
      <x:c r="AE38" s="20" t="str">
        <x:v>Optical/sensing platform</x:v>
      </x:c>
      <x:c r="AF38" s="20" t="str">
        <x:v>SCY provides a matched one-residue substitution comparison against YCY under the same synthesis workflow.</x:v>
      </x:c>
      <x:c r="AG38" s="20" t="str">
        <x:v>Molecules 2024 Methods + characterization</x:v>
      </x:c>
      <x:c r="AH38" s="20" t="str">
        <x:v>https://doi.org/10.3390/molecules29112416</x:v>
      </x:c>
      <x:c r="AI38" s="24" t="n">
        <x:f>ROUND(100*COUNTA(G38,J38,L38,R38,S38,T38,V38,X38,AA38,AC38)/10,0)</x:f>
        <x:v>70</x:v>
      </x:c>
      <x:c r="AJ38" s="20" t="str">
        <x:v>TRAIN_OPTICAL_SIZE</x:v>
      </x:c>
      <x:c r="AK38" s="20" t="str">
        <x:v>EXACT_FROM_PRIMARY</x:v>
      </x:c>
      <x:c r="AL38" s="20" t="str">
        <x:v>Direct same-paper sequence comparison. Group all W17 records together during validation.</x:v>
      </x:c>
      <x:c r="AM38" s="20" t="str">
        <x:v>2026-09-07</x:v>
      </x:c>
      <x:c r="AN38" s="20" t="str">
        <x:v>WEB_PRIMARY</x:v>
      </x:c>
    </x:row>
    <x:row r="39" ht="19" customHeight="1">
      <x:c r="A39" s="20" t="str">
        <x:v>R036</x:v>
      </x:c>
      <x:c r="B39" s="20" t="str">
        <x:v>W17</x:v>
      </x:c>
      <x:c r="C39" s="20" t="str">
        <x:v>A2 DIRECT_PEPTIDE_NONPRECISE_AUNC</x:v>
      </x:c>
      <x:c r="D39" s="20" t="str">
        <x:v>DIRECT</x:v>
      </x:c>
      <x:c r="E39" s="20" t="str">
        <x:v>ultrasmall_AuNC_unknown_nuclearity</x:v>
      </x:c>
      <x:c r="F39" s="20" t="str">
        <x:v>Red-YCY AuNC</x:v>
      </x:c>
      <x:c r="G39" s="20" t="str">
        <x:v>YCY</x:v>
      </x:c>
      <x:c r="H39" s="20" t="str">
        <x:v>L</x:v>
      </x:c>
      <x:c r="I39" s="20" t="str">
        <x:v>Red fraction / precipitate; recovered with 10% acetic acid:DMSO 1:1</x:v>
      </x:c>
      <x:c r="J39" s="20"/>
      <x:c r="K39" s="20"/>
      <x:c r="L39" s="20" t="n">
        <x:v>1.8</x:v>
      </x:c>
      <x:c r="M39" s="20"/>
      <x:c r="N39" s="20" t="str">
        <x:v>Red fluorescent peptide AuNC</x:v>
      </x:c>
      <x:c r="O39" s="20" t="str">
        <x:v>HAuCl4</x:v>
      </x:c>
      <x:c r="P39" s="20" t="str">
        <x:v>0.5 mL peptide 25 mM + 0.5 mL HAuCl4·3H2O 25 mM</x:v>
      </x:c>
      <x:c r="Q39" s="20" t="str">
        <x:v>Peptide-assisted alkaline thermal synthesis</x:v>
      </x:c>
      <x:c r="R39" s="20" t="n">
        <x:v>10</x:v>
      </x:c>
      <x:c r="S39" s="20" t="n">
        <x:v>70</x:v>
      </x:c>
      <x:c r="T39" s="20" t="n">
        <x:v>8.25</x:v>
      </x:c>
      <x:c r="U39" s="20" t="str">
        <x:v>Same synthesis as Blue-YCY; red product isolated from precipitate after centrifugation and redissolved/purified</x:v>
      </x:c>
      <x:c r="V39" s="20" t="n">
        <x:v>670</x:v>
      </x:c>
      <x:c r="W39" s="20" t="str">
        <x:v>λem 670; excitation not entered pending direct verification</x:v>
      </x:c>
      <x:c r="X39" s="20" t="n">
        <x:v>0.8</x:v>
      </x:c>
      <x:c r="Y39" s="20"/>
      <x:c r="Z39" s="20"/>
      <x:c r="AA39" s="20"/>
      <x:c r="AB39" s="20"/>
      <x:c r="AC39" s="20"/>
      <x:c r="AD39" s="20"/>
      <x:c r="AE39" s="20" t="str">
        <x:v>Optical/sensing platform</x:v>
      </x:c>
      <x:c r="AF39" s="20" t="str">
        <x:v>Same YCY sequence and batch workflow yields a distinct red fraction, reinforcing the need to encode fractionation/process state in addition to sequence.</x:v>
      </x:c>
      <x:c r="AG39" s="20" t="str">
        <x:v>Molecules 2024 Methods + characterization</x:v>
      </x:c>
      <x:c r="AH39" s="20" t="str">
        <x:v>https://doi.org/10.3390/molecules29112416</x:v>
      </x:c>
      <x:c r="AI39" s="24" t="n">
        <x:f>ROUND(100*COUNTA(G39,J39,L39,R39,S39,T39,V39,X39,AA39,AC39)/10,0)</x:f>
        <x:v>70</x:v>
      </x:c>
      <x:c r="AJ39" s="20" t="str">
        <x:v>TRAIN_OPTICAL_SIZE</x:v>
      </x:c>
      <x:c r="AK39" s="20" t="str">
        <x:v>EXACT_FROM_PRIMARY</x:v>
      </x:c>
      <x:c r="AL39" s="20" t="str">
        <x:v>Do not collapse with Blue-YCY; process/fraction label is an explanatory variable.</x:v>
      </x:c>
      <x:c r="AM39" s="20" t="str">
        <x:v>2026-09-07</x:v>
      </x:c>
      <x:c r="AN39" s="20" t="str">
        <x:v>WEB_PRIMARY</x:v>
      </x:c>
    </x:row>
    <x:row r="40" ht="19" customHeight="1">
      <x:c r="A40" s="20" t="str">
        <x:v>R037</x:v>
      </x:c>
      <x:c r="B40" s="20" t="str">
        <x:v>W15</x:v>
      </x:c>
      <x:c r="C40" s="20" t="str">
        <x:v>A2 DIRECT_PEPTIDE_NONPRECISE_AUNC</x:v>
      </x:c>
      <x:c r="D40" s="20" t="str">
        <x:v>DIRECT</x:v>
      </x:c>
      <x:c r="E40" s="20" t="str">
        <x:v>ultrasmall_AuNC_unknown_nuclearity</x:v>
      </x:c>
      <x:c r="F40" s="20" t="str">
        <x:v>PKA-substrate peptide AuNC</x:v>
      </x:c>
      <x:c r="G40" s="20" t="str">
        <x:v>CCYLRRASLG</x:v>
      </x:c>
      <x:c r="H40" s="20" t="str">
        <x:v>L</x:v>
      </x:c>
      <x:c r="I40" s="20" t="str">
        <x:v>None</x:v>
      </x:c>
      <x:c r="J40" s="20"/>
      <x:c r="K40" s="20"/>
      <x:c r="L40" s="20"/>
      <x:c r="M40" s="20"/>
      <x:c r="N40" s="20" t="str">
        <x:v>Fluorescent peptide-templated AuNC</x:v>
      </x:c>
      <x:c r="O40" s="20" t="str">
        <x:v>HAuCl4</x:v>
      </x:c>
      <x:c r="P40" s="20" t="str">
        <x:v>376 µL peptide 1.06 mM + 16 µL HAuCl4 25 mM</x:v>
      </x:c>
      <x:c r="Q40" s="20" t="str">
        <x:v>Peptide self-reduction under alkaline condition</x:v>
      </x:c>
      <x:c r="R40" s="20" t="n">
        <x:v>9</x:v>
      </x:c>
      <x:c r="S40" s="20"/>
      <x:c r="T40" s="20" t="n">
        <x:v>13</x:v>
      </x:c>
      <x:c r="U40" s="20" t="str">
        <x:v>Vigorous stirring; 8 µL 0.5 M NaOH added within 30 s; sealed and kept dark 13 h; 3 kDa ultrafiltration</x:v>
      </x:c>
      <x:c r="V40" s="20"/>
      <x:c r="W40" s="20" t="str">
        <x:v>Exact excitation/emission held pending main-paper cross-check</x:v>
      </x:c>
      <x:c r="X40" s="20" t="n">
        <x:v>14.6</x:v>
      </x:c>
      <x:c r="Y40" s="20"/>
      <x:c r="Z40" s="20"/>
      <x:c r="AA40" s="20"/>
      <x:c r="AB40" s="20"/>
      <x:c r="AC40" s="20"/>
      <x:c r="AD40" s="20"/>
      <x:c r="AE40" s="20" t="str">
        <x:v>Protein kinase activity probe</x:v>
      </x:c>
      <x:c r="AF40" s="20" t="str">
        <x:v>Excellent exact sequence+synthesis+QY record from the primary Supporting Information.</x:v>
      </x:c>
      <x:c r="AG40" s="20" t="str">
        <x:v>RSC Supporting Information</x:v>
      </x:c>
      <x:c r="AH40" s="20" t="str">
        <x:v>https://doi.org/10.1039/C5CC02280K</x:v>
      </x:c>
      <x:c r="AI40" s="24" t="n">
        <x:f>ROUND(100*COUNTA(G40,J40,L40,R40,S40,T40,V40,X40,AA40,AC40)/10,0)</x:f>
        <x:v>40</x:v>
      </x:c>
      <x:c r="AJ40" s="20" t="str">
        <x:v>TRAIN_OPTICAL_QY</x:v>
      </x:c>
      <x:c r="AK40" s="20" t="str">
        <x:v>EXACT_FROM_PRIMARY_SI</x:v>
      </x:c>
      <x:c r="AL40" s="20" t="str">
        <x:v>Keep excitation/emission blank until directly reconciled because secondary sources disagree.</x:v>
      </x:c>
      <x:c r="AM40" s="20" t="str">
        <x:v>2026-09-07</x:v>
      </x:c>
      <x:c r="AN40" s="20" t="str">
        <x:v>WEB_PRIMARY+SI</x:v>
      </x:c>
    </x:row>
    <x:row r="41" ht="19" customHeight="1">
      <x:c r="A41" s="20" t="str">
        <x:v>R038</x:v>
      </x:c>
      <x:c r="B41" s="20" t="str">
        <x:v>W16</x:v>
      </x:c>
      <x:c r="C41" s="20" t="str">
        <x:v>AUXILIARY AG_DOPED_PEPTIDE_AUNC</x:v>
      </x:c>
      <x:c r="D41" s="20" t="str">
        <x:v>DIRECT</x:v>
      </x:c>
      <x:c r="E41" s="20" t="str">
        <x:v>Ag_doped_AuNC</x:v>
      </x:c>
      <x:c r="F41" s="20" t="str">
        <x:v>DCG-stabilized Ag-doped AuNC</x:v>
      </x:c>
      <x:c r="G41" s="20" t="str">
        <x:v>DCG</x:v>
      </x:c>
      <x:c r="H41" s="20" t="str">
        <x:v>L</x:v>
      </x:c>
      <x:c r="I41" s="20" t="str">
        <x:v>Asp-Cys-Gly</x:v>
      </x:c>
      <x:c r="J41" s="20"/>
      <x:c r="K41" s="20"/>
      <x:c r="L41" s="20"/>
      <x:c r="M41" s="20"/>
      <x:c r="N41" s="20" t="str">
        <x:v>Red fluorescent Ag-doped gold nanocluster</x:v>
      </x:c>
      <x:c r="O41" s="20" t="str">
        <x:v>HAuCl4 + Ag source</x:v>
      </x:c>
      <x:c r="P41" s="20" t="str">
        <x:v>Tripeptide acts as reducing/stabilizing ligand; exact full condition set pending extraction</x:v>
      </x:c>
      <x:c r="Q41" s="20" t="str">
        <x:v>Tripeptide-assisted synthesis</x:v>
      </x:c>
      <x:c r="R41" s="20"/>
      <x:c r="S41" s="20"/>
      <x:c r="T41" s="20"/>
      <x:c r="U41" s="20" t="str">
        <x:v>Primary article reports peptide-stabilized Ag-doped AuNCs</x:v>
      </x:c>
      <x:c r="V41" s="20"/>
      <x:c r="W41" s="20" t="str">
        <x:v>Red fluorescence</x:v>
      </x:c>
      <x:c r="X41" s="20" t="n">
        <x:v>18</x:v>
      </x:c>
      <x:c r="Y41" s="20"/>
      <x:c r="Z41" s="20"/>
      <x:c r="AA41" s="20"/>
      <x:c r="AB41" s="20"/>
      <x:c r="AC41" s="20"/>
      <x:c r="AD41" s="20"/>
      <x:c r="AE41" s="20" t="str">
        <x:v>Photodynamic therapy / bioimaging</x:v>
      </x:c>
      <x:c r="AF41" s="20" t="str">
        <x:v>Adjacent therapeutic nanocluster domain; QY value is review-derived and must not train the pure-Au core model.</x:v>
      </x:c>
      <x:c r="AG41" s="20" t="str">
        <x:v>Primary article + secondary QY mapping</x:v>
      </x:c>
      <x:c r="AH41" s="20" t="str">
        <x:v>https://doi.org/10.1021/acssuschemeng.2c04857</x:v>
      </x:c>
      <x:c r="AI41" s="24" t="n">
        <x:f>ROUND(100*COUNTA(G41,J41,L41,R41,S41,T41,V41,X41,AA41,AC41)/10,0)</x:f>
        <x:v>20</x:v>
      </x:c>
      <x:c r="AJ41" s="20" t="str">
        <x:v>AUXILIARY_ONLY</x:v>
      </x:c>
      <x:c r="AK41" s="20" t="str">
        <x:v>EXACT_SEQUENCE_QY_SECONDARY</x:v>
      </x:c>
      <x:c r="AL41" s="20" t="str">
        <x:v>Ag doping changes the material domain; separate model/transfer feature only.</x:v>
      </x:c>
      <x:c r="AM41" s="20" t="str">
        <x:v>2026-09-07</x:v>
      </x:c>
      <x:c r="AN41" s="20" t="str">
        <x:v>WEB_PRIMARY+SECONDARY_VALUE</x:v>
      </x:c>
    </x:row>
    <x:row r="42" ht="19" customHeight="1">
      <x:c r="A42" s="20" t="str">
        <x:v>R039</x:v>
      </x:c>
      <x:c r="B42" s="20" t="str">
        <x:v>W16</x:v>
      </x:c>
      <x:c r="C42" s="20" t="str">
        <x:v>AUXILIARY AG_DOPED_PEPTIDE_AUNC</x:v>
      </x:c>
      <x:c r="D42" s="20" t="str">
        <x:v>DIRECT</x:v>
      </x:c>
      <x:c r="E42" s="20" t="str">
        <x:v>Ag_doped_AuNC</x:v>
      </x:c>
      <x:c r="F42" s="20" t="str">
        <x:v>DCS-stabilized Ag-doped AuNC</x:v>
      </x:c>
      <x:c r="G42" s="20" t="str">
        <x:v>DCS</x:v>
      </x:c>
      <x:c r="H42" s="20" t="str">
        <x:v>L</x:v>
      </x:c>
      <x:c r="I42" s="20" t="str">
        <x:v>Asp-Cys-Ser</x:v>
      </x:c>
      <x:c r="J42" s="20"/>
      <x:c r="K42" s="20"/>
      <x:c r="L42" s="20"/>
      <x:c r="M42" s="20"/>
      <x:c r="N42" s="20" t="str">
        <x:v>Red fluorescent Ag-doped gold nanocluster</x:v>
      </x:c>
      <x:c r="O42" s="20" t="str">
        <x:v>HAuCl4 + Ag source</x:v>
      </x:c>
      <x:c r="P42" s="20" t="str">
        <x:v>Tripeptide acts as reducing/stabilizing ligand; exact full condition set pending extraction</x:v>
      </x:c>
      <x:c r="Q42" s="20" t="str">
        <x:v>Tripeptide-assisted synthesis</x:v>
      </x:c>
      <x:c r="R42" s="20"/>
      <x:c r="S42" s="20"/>
      <x:c r="T42" s="20"/>
      <x:c r="U42" s="20" t="str">
        <x:v>Primary article reports peptide-stabilized Ag-doped AuNCs</x:v>
      </x:c>
      <x:c r="V42" s="20"/>
      <x:c r="W42" s="20" t="str">
        <x:v>Red fluorescence</x:v>
      </x:c>
      <x:c r="X42" s="20" t="n">
        <x:v>16</x:v>
      </x:c>
      <x:c r="Y42" s="20"/>
      <x:c r="Z42" s="20"/>
      <x:c r="AA42" s="20"/>
      <x:c r="AB42" s="20"/>
      <x:c r="AC42" s="20"/>
      <x:c r="AD42" s="20"/>
      <x:c r="AE42" s="20" t="str">
        <x:v>Photodynamic therapy / bioimaging</x:v>
      </x:c>
      <x:c r="AF42" s="20" t="str">
        <x:v>Matched DCG/DCS sequence comparison, but in an Ag-doped AuNC domain and PDT rather than PTT.</x:v>
      </x:c>
      <x:c r="AG42" s="20" t="str">
        <x:v>Primary article + secondary QY mapping</x:v>
      </x:c>
      <x:c r="AH42" s="20" t="str">
        <x:v>https://doi.org/10.1021/acssuschemeng.2c04857</x:v>
      </x:c>
      <x:c r="AI42" s="24" t="n">
        <x:f>ROUND(100*COUNTA(G42,J42,L42,R42,S42,T42,V42,X42,AA42,AC42)/10,0)</x:f>
        <x:v>20</x:v>
      </x:c>
      <x:c r="AJ42" s="20" t="str">
        <x:v>AUXILIARY_ONLY</x:v>
      </x:c>
      <x:c r="AK42" s="20" t="str">
        <x:v>EXACT_SEQUENCE_QY_SECONDARY</x:v>
      </x:c>
      <x:c r="AL42" s="20" t="str">
        <x:v>Do not mix with pure peptide-AuNC targets.</x:v>
      </x:c>
      <x:c r="AM42" s="20" t="str">
        <x:v>2026-09-07</x:v>
      </x:c>
      <x:c r="AN42" s="20" t="str">
        <x:v>WEB_PRIMARY+SECONDARY_VALUE</x:v>
      </x:c>
    </x:row>
    <x:row r="43" ht="19" customHeight="1">
      <x:c r="A43" s="20" t="str">
        <x:v>R040</x:v>
      </x:c>
      <x:c r="B43" s="20" t="str">
        <x:v>W10</x:v>
      </x:c>
      <x:c r="C43" s="20" t="str">
        <x:v>A2 DIRECT_PEPTIDE_NONPRECISE_AUNC</x:v>
      </x:c>
      <x:c r="D43" s="20" t="str">
        <x:v>DIRECT</x:v>
      </x:c>
      <x:c r="E43" s="20" t="str">
        <x:v>ultrasmall_AuNC_unknown_nuclearity</x:v>
      </x:c>
      <x:c r="F43" s="20" t="str">
        <x:v>Motif-panel peptide 1</x:v>
      </x:c>
      <x:c r="G43" s="20" t="str">
        <x:v>KFFAAKCCYKFFAAKCCYKFFAAK</x:v>
      </x:c>
      <x:c r="H43" s="20" t="str">
        <x:v>L</x:v>
      </x:c>
      <x:c r="I43" s="20" t="str">
        <x:v>Repeated KFFAAK/CCY architecture</x:v>
      </x:c>
      <x:c r="J43" s="20"/>
      <x:c r="K43" s="20"/>
      <x:c r="L43" s="20"/>
      <x:c r="M43" s="20"/>
      <x:c r="N43" s="20" t="str">
        <x:v>Peptide-coupled AuNC panel</x:v>
      </x:c>
      <x:c r="O43" s="20" t="str">
        <x:v>Gold precursor</x:v>
      </x:c>
      <x:c r="P43" s="20" t="str">
        <x:v>Exact per-sequence condition/outcome mapping pending full-text extraction</x:v>
      </x:c>
      <x:c r="Q43" s="20" t="str">
        <x:v>Peptide motif-coupled one-step synthesis</x:v>
      </x:c>
      <x:c r="R43" s="20"/>
      <x:c r="S43" s="20"/>
      <x:c r="T43" s="20"/>
      <x:c r="U43" s="20" t="str">
        <x:v>Seven-sequence motif library; per-sequence quantitative outcomes pending</x:v>
      </x:c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 t="str">
        <x:v>Sequence-motif study</x:v>
      </x:c>
      <x:c r="AF43" s="20" t="str">
        <x:v>One of seven exact sequences designed to study how CCY and KFFAAK motif identity/order change AuNC optical behavior.</x:v>
      </x:c>
      <x:c r="AG43" s="20" t="str">
        <x:v>Colloids Surf B 2022 abstract/indexed sequence data</x:v>
      </x:c>
      <x:c r="AH43" s="20" t="str">
        <x:v>https://doi.org/10.1016/j.colsurfb.2022.112820</x:v>
      </x:c>
      <x:c r="AI43" s="24" t="n">
        <x:f>ROUND(100*COUNTA(G43,J43,L43,R43,S43,T43,V43,X43,AA43,AC43)/10,0)</x:f>
        <x:v>10</x:v>
      </x:c>
      <x:c r="AJ43" s="20" t="str">
        <x:v>QC_HOLD_PANEL</x:v>
      </x:c>
      <x:c r="AK43" s="20" t="str">
        <x:v>EXACT_SEQUENCE</x:v>
      </x:c>
      <x:c r="AL43" s="20" t="str">
        <x:v>No numeric target populated until full paper/SI maps outcome to this sequence.</x:v>
      </x:c>
      <x:c r="AM43" s="20" t="str">
        <x:v>2026-09-07</x:v>
      </x:c>
      <x:c r="AN43" s="20" t="str">
        <x:v>WEB_PRIMARY_INDEXED</x:v>
      </x:c>
    </x:row>
    <x:row r="44" ht="19" customHeight="1">
      <x:c r="A44" s="20" t="str">
        <x:v>R041</x:v>
      </x:c>
      <x:c r="B44" s="20" t="str">
        <x:v>W10</x:v>
      </x:c>
      <x:c r="C44" s="20" t="str">
        <x:v>A2 DIRECT_PEPTIDE_NONPRECISE_AUNC</x:v>
      </x:c>
      <x:c r="D44" s="20" t="str">
        <x:v>DIRECT</x:v>
      </x:c>
      <x:c r="E44" s="20" t="str">
        <x:v>ultrasmall_AuNC_unknown_nuclearity</x:v>
      </x:c>
      <x:c r="F44" s="20" t="str">
        <x:v>Motif-panel peptide 2</x:v>
      </x:c>
      <x:c r="G44" s="20" t="str">
        <x:v>CCY</x:v>
      </x:c>
      <x:c r="H44" s="20" t="str">
        <x:v>L</x:v>
      </x:c>
      <x:c r="I44" s="20" t="str">
        <x:v>Minimal CCY motif</x:v>
      </x:c>
      <x:c r="J44" s="20"/>
      <x:c r="K44" s="20"/>
      <x:c r="L44" s="20"/>
      <x:c r="M44" s="20"/>
      <x:c r="N44" s="20" t="str">
        <x:v>Peptide-coupled AuNC panel</x:v>
      </x:c>
      <x:c r="O44" s="20" t="str">
        <x:v>Gold precursor</x:v>
      </x:c>
      <x:c r="P44" s="20" t="str">
        <x:v>Per-sequence quantitative condition/outcome pending</x:v>
      </x:c>
      <x:c r="Q44" s="20" t="str">
        <x:v>Peptide motif-coupled one-step synthesis</x:v>
      </x:c>
      <x:c r="R44" s="20"/>
      <x:c r="S44" s="20"/>
      <x:c r="T44" s="20"/>
      <x:c r="U44" s="20" t="str">
        <x:v>Seven-sequence motif library</x:v>
      </x:c>
      <x:c r="V44" s="20"/>
      <x:c r="W44" s="20"/>
      <x:c r="X44" s="20"/>
      <x:c r="Y44" s="20"/>
      <x:c r="Z44" s="20"/>
      <x:c r="AA44" s="20"/>
      <x:c r="AB44" s="20"/>
      <x:c r="AC44" s="20"/>
      <x:c r="AD44" s="20"/>
      <x:c r="AE44" s="20" t="str">
        <x:v>Sequence-motif study</x:v>
      </x:c>
      <x:c r="AF44" s="20" t="str">
        <x:v>Minimal Cys-Cys-Tyr mineralization/reduction motif in the controlled sequence panel.</x:v>
      </x:c>
      <x:c r="AG44" s="20" t="str">
        <x:v>Colloids Surf B 2022 indexed sequence data</x:v>
      </x:c>
      <x:c r="AH44" s="20" t="str">
        <x:v>https://doi.org/10.1016/j.colsurfb.2022.112820</x:v>
      </x:c>
      <x:c r="AI44" s="24" t="n">
        <x:f>ROUND(100*COUNTA(G44,J44,L44,R44,S44,T44,V44,X44,AA44,AC44)/10,0)</x:f>
        <x:v>10</x:v>
      </x:c>
      <x:c r="AJ44" s="20" t="str">
        <x:v>QC_HOLD_PANEL</x:v>
      </x:c>
      <x:c r="AK44" s="20" t="str">
        <x:v>EXACT_SEQUENCE</x:v>
      </x:c>
      <x:c r="AL44" s="20" t="str">
        <x:v>Potentially critical minimal motif/control; await full outcome mapping.</x:v>
      </x:c>
      <x:c r="AM44" s="20" t="str">
        <x:v>2026-09-07</x:v>
      </x:c>
      <x:c r="AN44" s="20" t="str">
        <x:v>WEB_PRIMARY_INDEXED</x:v>
      </x:c>
    </x:row>
    <x:row r="45" ht="19" customHeight="1">
      <x:c r="A45" s="20" t="str">
        <x:v>R042</x:v>
      </x:c>
      <x:c r="B45" s="20" t="str">
        <x:v>W10</x:v>
      </x:c>
      <x:c r="C45" s="20" t="str">
        <x:v>A2 DIRECT_PEPTIDE_NONPRECISE_AUNC</x:v>
      </x:c>
      <x:c r="D45" s="20" t="str">
        <x:v>DIRECT</x:v>
      </x:c>
      <x:c r="E45" s="20" t="str">
        <x:v>ultrasmall_AuNC_unknown_nuclearity</x:v>
      </x:c>
      <x:c r="F45" s="20" t="str">
        <x:v>Motif-panel peptide 3</x:v>
      </x:c>
      <x:c r="G45" s="20" t="str">
        <x:v>KFFAAK</x:v>
      </x:c>
      <x:c r="H45" s="20" t="str">
        <x:v>L</x:v>
      </x:c>
      <x:c r="I45" s="20" t="str">
        <x:v>Self-assembly motif control</x:v>
      </x:c>
      <x:c r="J45" s="20"/>
      <x:c r="K45" s="20"/>
      <x:c r="L45" s="20"/>
      <x:c r="M45" s="20"/>
      <x:c r="N45" s="20" t="str">
        <x:v>Peptide-coupled AuNC panel</x:v>
      </x:c>
      <x:c r="O45" s="20" t="str">
        <x:v>Gold precursor</x:v>
      </x:c>
      <x:c r="P45" s="20" t="str">
        <x:v>Per-sequence quantitative condition/outcome pending</x:v>
      </x:c>
      <x:c r="Q45" s="20" t="str">
        <x:v>Peptide motif-coupled one-step synthesis</x:v>
      </x:c>
      <x:c r="R45" s="20"/>
      <x:c r="S45" s="20"/>
      <x:c r="T45" s="20"/>
      <x:c r="U45" s="20" t="str">
        <x:v>Seven-sequence motif library</x:v>
      </x:c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 t="str">
        <x:v>Sequence-motif study</x:v>
      </x:c>
      <x:c r="AF45" s="20" t="str">
        <x:v>KFFAAK-only control is especially valuable for learning the absence of the CCY gold-binding/reducing motif.</x:v>
      </x:c>
      <x:c r="AG45" s="20" t="str">
        <x:v>Colloids Surf B 2022 indexed sequence data</x:v>
      </x:c>
      <x:c r="AH45" s="20" t="str">
        <x:v>https://doi.org/10.1016/j.colsurfb.2022.112820</x:v>
      </x:c>
      <x:c r="AI45" s="24" t="n">
        <x:f>ROUND(100*COUNTA(G45,J45,L45,R45,S45,T45,V45,X45,AA45,AC45)/10,0)</x:f>
        <x:v>10</x:v>
      </x:c>
      <x:c r="AJ45" s="20" t="str">
        <x:v>QC_HOLD_PANEL</x:v>
      </x:c>
      <x:c r="AK45" s="20" t="str">
        <x:v>EXACT_SEQUENCE</x:v>
      </x:c>
      <x:c r="AL45" s="20" t="str">
        <x:v>May become a useful negative/control record only after the primary outcome is verified.</x:v>
      </x:c>
      <x:c r="AM45" s="20" t="str">
        <x:v>2026-09-07</x:v>
      </x:c>
      <x:c r="AN45" s="20" t="str">
        <x:v>WEB_PRIMARY_INDEXED</x:v>
      </x:c>
    </x:row>
    <x:row r="46" ht="19" customHeight="1">
      <x:c r="A46" s="20" t="str">
        <x:v>R043</x:v>
      </x:c>
      <x:c r="B46" s="20" t="str">
        <x:v>W10</x:v>
      </x:c>
      <x:c r="C46" s="20" t="str">
        <x:v>A2 DIRECT_PEPTIDE_NONPRECISE_AUNC</x:v>
      </x:c>
      <x:c r="D46" s="20" t="str">
        <x:v>DIRECT</x:v>
      </x:c>
      <x:c r="E46" s="20" t="str">
        <x:v>ultrasmall_AuNC_unknown_nuclearity</x:v>
      </x:c>
      <x:c r="F46" s="20" t="str">
        <x:v>Motif-panel peptide 4</x:v>
      </x:c>
      <x:c r="G46" s="20" t="str">
        <x:v>CCYKFFAAKKFFAAK</x:v>
      </x:c>
      <x:c r="H46" s="20" t="str">
        <x:v>L</x:v>
      </x:c>
      <x:c r="I46" s="20" t="str">
        <x:v>CCY followed by tandem KFFAAK-like architecture</x:v>
      </x:c>
      <x:c r="J46" s="20"/>
      <x:c r="K46" s="20"/>
      <x:c r="L46" s="20"/>
      <x:c r="M46" s="20"/>
      <x:c r="N46" s="20" t="str">
        <x:v>Peptide-coupled AuNC panel</x:v>
      </x:c>
      <x:c r="O46" s="20" t="str">
        <x:v>Gold precursor</x:v>
      </x:c>
      <x:c r="P46" s="20" t="str">
        <x:v>Per-sequence quantitative condition/outcome pending</x:v>
      </x:c>
      <x:c r="Q46" s="20" t="str">
        <x:v>Peptide motif-coupled one-step synthesis</x:v>
      </x:c>
      <x:c r="R46" s="20"/>
      <x:c r="S46" s="20"/>
      <x:c r="T46" s="20"/>
      <x:c r="U46" s="20" t="str">
        <x:v>Seven-sequence motif library</x:v>
      </x:c>
      <x:c r="V46" s="20"/>
      <x:c r="W46" s="20"/>
      <x:c r="X46" s="20"/>
      <x:c r="Y46" s="20"/>
      <x:c r="Z46" s="20"/>
      <x:c r="AA46" s="20"/>
      <x:c r="AB46" s="20"/>
      <x:c r="AC46" s="20"/>
      <x:c r="AD46" s="20"/>
      <x:c r="AE46" s="20" t="str">
        <x:v>Sequence-motif study</x:v>
      </x:c>
      <x:c r="AF46" s="20" t="str">
        <x:v>Exact motif permutation for position-sensitive feature engineering.</x:v>
      </x:c>
      <x:c r="AG46" s="20" t="str">
        <x:v>Colloids Surf B 2022 indexed sequence data</x:v>
      </x:c>
      <x:c r="AH46" s="20" t="str">
        <x:v>https://doi.org/10.1016/j.colsurfb.2022.112820</x:v>
      </x:c>
      <x:c r="AI46" s="24" t="n">
        <x:f>ROUND(100*COUNTA(G46,J46,L46,R46,S46,T46,V46,X46,AA46,AC46)/10,0)</x:f>
        <x:v>10</x:v>
      </x:c>
      <x:c r="AJ46" s="20" t="str">
        <x:v>QC_HOLD_PANEL</x:v>
      </x:c>
      <x:c r="AK46" s="20" t="str">
        <x:v>EXACT_SEQUENCE</x:v>
      </x:c>
      <x:c r="AL46" s="20" t="str">
        <x:v>Await full outcome mapping.</x:v>
      </x:c>
      <x:c r="AM46" s="20" t="str">
        <x:v>2026-09-07</x:v>
      </x:c>
      <x:c r="AN46" s="20" t="str">
        <x:v>WEB_PRIMARY_INDEXED</x:v>
      </x:c>
    </x:row>
    <x:row r="47" ht="19" customHeight="1">
      <x:c r="A47" s="20" t="str">
        <x:v>R044</x:v>
      </x:c>
      <x:c r="B47" s="20" t="str">
        <x:v>W10</x:v>
      </x:c>
      <x:c r="C47" s="20" t="str">
        <x:v>A2 DIRECT_PEPTIDE_NONPRECISE_AUNC</x:v>
      </x:c>
      <x:c r="D47" s="20" t="str">
        <x:v>DIRECT</x:v>
      </x:c>
      <x:c r="E47" s="20" t="str">
        <x:v>ultrasmall_AuNC_unknown_nuclearity</x:v>
      </x:c>
      <x:c r="F47" s="20" t="str">
        <x:v>Motif-panel peptide 5</x:v>
      </x:c>
      <x:c r="G47" s="20" t="str">
        <x:v>KFFAAKCCYKFFAAK</x:v>
      </x:c>
      <x:c r="H47" s="20" t="str">
        <x:v>L</x:v>
      </x:c>
      <x:c r="I47" s="20" t="str">
        <x:v>Interleaved KFFAAK-CCY-KFFAAK</x:v>
      </x:c>
      <x:c r="J47" s="20"/>
      <x:c r="K47" s="20"/>
      <x:c r="L47" s="20"/>
      <x:c r="M47" s="20"/>
      <x:c r="N47" s="20" t="str">
        <x:v>Peptide-coupled AuNC panel</x:v>
      </x:c>
      <x:c r="O47" s="20" t="str">
        <x:v>Gold precursor</x:v>
      </x:c>
      <x:c r="P47" s="20" t="str">
        <x:v>Per-sequence quantitative condition/outcome pending</x:v>
      </x:c>
      <x:c r="Q47" s="20" t="str">
        <x:v>Peptide motif-coupled one-step synthesis</x:v>
      </x:c>
      <x:c r="R47" s="20"/>
      <x:c r="S47" s="20"/>
      <x:c r="T47" s="20"/>
      <x:c r="U47" s="20" t="str">
        <x:v>Seven-sequence motif library</x:v>
      </x:c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 t="str">
        <x:v>Sequence-motif study</x:v>
      </x:c>
      <x:c r="AF47" s="20" t="str">
        <x:v>Exact motif-position variant suitable for spacing/order descriptors once outcomes are recovered.</x:v>
      </x:c>
      <x:c r="AG47" s="20" t="str">
        <x:v>Colloids Surf B 2022 indexed sequence data</x:v>
      </x:c>
      <x:c r="AH47" s="20" t="str">
        <x:v>https://doi.org/10.1016/j.colsurfb.2022.112820</x:v>
      </x:c>
      <x:c r="AI47" s="24" t="n">
        <x:f>ROUND(100*COUNTA(G47,J47,L47,R47,S47,T47,V47,X47,AA47,AC47)/10,0)</x:f>
        <x:v>10</x:v>
      </x:c>
      <x:c r="AJ47" s="20" t="str">
        <x:v>QC_HOLD_PANEL</x:v>
      </x:c>
      <x:c r="AK47" s="20" t="str">
        <x:v>EXACT_SEQUENCE</x:v>
      </x:c>
      <x:c r="AL47" s="20" t="str">
        <x:v>Await full outcome mapping.</x:v>
      </x:c>
      <x:c r="AM47" s="20" t="str">
        <x:v>2026-09-07</x:v>
      </x:c>
      <x:c r="AN47" s="20" t="str">
        <x:v>WEB_PRIMARY_INDEXED</x:v>
      </x:c>
    </x:row>
    <x:row r="48" ht="19" customHeight="1">
      <x:c r="A48" s="20" t="str">
        <x:v>R045</x:v>
      </x:c>
      <x:c r="B48" s="20" t="str">
        <x:v>W10</x:v>
      </x:c>
      <x:c r="C48" s="20" t="str">
        <x:v>A2 DIRECT_PEPTIDE_NONPRECISE_AUNC</x:v>
      </x:c>
      <x:c r="D48" s="20" t="str">
        <x:v>DIRECT</x:v>
      </x:c>
      <x:c r="E48" s="20" t="str">
        <x:v>ultrasmall_AuNC_unknown_nuclearity</x:v>
      </x:c>
      <x:c r="F48" s="20" t="str">
        <x:v>Motif-panel peptide 6</x:v>
      </x:c>
      <x:c r="G48" s="20" t="str">
        <x:v>CCYKFFAAKYCC</x:v>
      </x:c>
      <x:c r="H48" s="20" t="str">
        <x:v>L</x:v>
      </x:c>
      <x:c r="I48" s="20" t="str">
        <x:v>CCY + KFFAAK + YCC</x:v>
      </x:c>
      <x:c r="J48" s="20"/>
      <x:c r="K48" s="20"/>
      <x:c r="L48" s="20"/>
      <x:c r="M48" s="20"/>
      <x:c r="N48" s="20" t="str">
        <x:v>Peptide-coupled AuNC panel</x:v>
      </x:c>
      <x:c r="O48" s="20" t="str">
        <x:v>Gold precursor</x:v>
      </x:c>
      <x:c r="P48" s="20" t="str">
        <x:v>Per-sequence quantitative condition/outcome pending</x:v>
      </x:c>
      <x:c r="Q48" s="20" t="str">
        <x:v>Peptide motif-coupled one-step synthesis</x:v>
      </x:c>
      <x:c r="R48" s="20"/>
      <x:c r="S48" s="20"/>
      <x:c r="T48" s="20"/>
      <x:c r="U48" s="20" t="str">
        <x:v>Seven-sequence motif library</x:v>
      </x:c>
      <x:c r="V48" s="20"/>
      <x:c r="W48" s="20"/>
      <x:c r="X48" s="20"/>
      <x:c r="Y48" s="20"/>
      <x:c r="Z48" s="20"/>
      <x:c r="AA48" s="20"/>
      <x:c r="AB48" s="20"/>
      <x:c r="AC48" s="20"/>
      <x:c r="AD48" s="20"/>
      <x:c r="AE48" s="20" t="str">
        <x:v>Sequence-motif study</x:v>
      </x:c>
      <x:c r="AF48" s="20" t="str">
        <x:v>Two Cys-rich termini and altered Tyr/Cys positioning make this high-value for positional descriptor design.</x:v>
      </x:c>
      <x:c r="AG48" s="20" t="str">
        <x:v>Colloids Surf B 2022 indexed sequence data</x:v>
      </x:c>
      <x:c r="AH48" s="20" t="str">
        <x:v>https://doi.org/10.1016/j.colsurfb.2022.112820</x:v>
      </x:c>
      <x:c r="AI48" s="24" t="n">
        <x:f>ROUND(100*COUNTA(G48,J48,L48,R48,S48,T48,V48,X48,AA48,AC48)/10,0)</x:f>
        <x:v>10</x:v>
      </x:c>
      <x:c r="AJ48" s="20" t="str">
        <x:v>QC_HOLD_PANEL</x:v>
      </x:c>
      <x:c r="AK48" s="20" t="str">
        <x:v>EXACT_SEQUENCE</x:v>
      </x:c>
      <x:c r="AL48" s="20" t="str">
        <x:v>Await full outcome mapping.</x:v>
      </x:c>
      <x:c r="AM48" s="20" t="str">
        <x:v>2026-09-07</x:v>
      </x:c>
      <x:c r="AN48" s="20" t="str">
        <x:v>WEB_PRIMARY_INDEXED</x:v>
      </x:c>
    </x:row>
    <x:row r="49" ht="19" customHeight="1">
      <x:c r="A49" s="20" t="str">
        <x:v>R046</x:v>
      </x:c>
      <x:c r="B49" s="20" t="str">
        <x:v>W10</x:v>
      </x:c>
      <x:c r="C49" s="20" t="str">
        <x:v>A2 DIRECT_PEPTIDE_NONPRECISE_AUNC</x:v>
      </x:c>
      <x:c r="D49" s="20" t="str">
        <x:v>DIRECT</x:v>
      </x:c>
      <x:c r="E49" s="20" t="str">
        <x:v>ultrasmall_AuNC_unknown_nuclearity</x:v>
      </x:c>
      <x:c r="F49" s="20" t="str">
        <x:v>Motif-panel peptide 7</x:v>
      </x:c>
      <x:c r="G49" s="20" t="str">
        <x:v>CCYKFFAAK</x:v>
      </x:c>
      <x:c r="H49" s="20" t="str">
        <x:v>L</x:v>
      </x:c>
      <x:c r="I49" s="20" t="str">
        <x:v>Minimal combined CCY + KFFAAK motif</x:v>
      </x:c>
      <x:c r="J49" s="20"/>
      <x:c r="K49" s="20"/>
      <x:c r="L49" s="20"/>
      <x:c r="M49" s="20"/>
      <x:c r="N49" s="20" t="str">
        <x:v>Peptide-coupled AuNC panel</x:v>
      </x:c>
      <x:c r="O49" s="20" t="str">
        <x:v>Gold precursor</x:v>
      </x:c>
      <x:c r="P49" s="20" t="str">
        <x:v>Per-sequence quantitative condition/outcome pending</x:v>
      </x:c>
      <x:c r="Q49" s="20" t="str">
        <x:v>Peptide motif-coupled one-step synthesis</x:v>
      </x:c>
      <x:c r="R49" s="20"/>
      <x:c r="S49" s="20"/>
      <x:c r="T49" s="20"/>
      <x:c r="U49" s="20" t="str">
        <x:v>Seven-sequence motif library</x:v>
      </x:c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 t="str">
        <x:v>Sequence-motif study</x:v>
      </x:c>
      <x:c r="AF49" s="20" t="str">
        <x:v>Compact combined motif candidate; useful for sequence-length and motif-order comparisons.</x:v>
      </x:c>
      <x:c r="AG49" s="20" t="str">
        <x:v>Colloids Surf B 2022 indexed sequence data</x:v>
      </x:c>
      <x:c r="AH49" s="20" t="str">
        <x:v>https://doi.org/10.1016/j.colsurfb.2022.112820</x:v>
      </x:c>
      <x:c r="AI49" s="24" t="n">
        <x:f>ROUND(100*COUNTA(G49,J49,L49,R49,S49,T49,V49,X49,AA49,AC49)/10,0)</x:f>
        <x:v>10</x:v>
      </x:c>
      <x:c r="AJ49" s="20" t="str">
        <x:v>QC_HOLD_PANEL</x:v>
      </x:c>
      <x:c r="AK49" s="20" t="str">
        <x:v>EXACT_SEQUENCE</x:v>
      </x:c>
      <x:c r="AL49" s="20" t="str">
        <x:v>Await full outcome mapping.</x:v>
      </x:c>
      <x:c r="AM49" s="20" t="str">
        <x:v>2026-09-07</x:v>
      </x:c>
      <x:c r="AN49" s="20" t="str">
        <x:v>WEB_PRIMARY_INDEXED</x:v>
      </x:c>
    </x:row>
    <x:row r="50" ht="19" customHeight="1">
      <x:c r="A50" s="20" t="str">
        <x:v>R047</x:v>
      </x:c>
      <x:c r="B50" s="20" t="str">
        <x:v>W20</x:v>
      </x:c>
      <x:c r="C50" s="20" t="str">
        <x:v>A2 DIRECT_PEPTIDE_NONPRECISE_AUNC</x:v>
      </x:c>
      <x:c r="D50" s="20" t="str">
        <x:v>DIRECT</x:v>
      </x:c>
      <x:c r="E50" s="20" t="str">
        <x:v>ultrasmall_AuNC_unknown_nuclearity</x:v>
      </x:c>
      <x:c r="F50" s="20" t="str">
        <x:v>ECE-stabilized AuNC</x:v>
      </x:c>
      <x:c r="G50" s="20" t="str">
        <x:v>ECE</x:v>
      </x:c>
      <x:c r="H50" s="20" t="str">
        <x:v>L</x:v>
      </x:c>
      <x:c r="I50" s="20" t="str">
        <x:v>None</x:v>
      </x:c>
      <x:c r="J50" s="20"/>
      <x:c r="K50" s="20"/>
      <x:c r="L50" s="20"/>
      <x:c r="M50" s="20"/>
      <x:c r="N50" s="20" t="str">
        <x:v>NIR-emitting peptide-stabilized AuNC</x:v>
      </x:c>
      <x:c r="O50" s="20" t="str">
        <x:v>HAuCl4</x:v>
      </x:c>
      <x:c r="P50" s="20" t="str">
        <x:v>500 µL 20 mM HAuCl4 + 500 µL 20 mM ECE + 500 µL 20 mM TCEP</x:v>
      </x:c>
      <x:c r="Q50" s="20" t="str">
        <x:v>TCEP pretreatment + NaBH4 nucleation</x:v>
      </x:c>
      <x:c r="R50" s="20"/>
      <x:c r="S50" s="20" t="n">
        <x:v>70</x:v>
      </x:c>
      <x:c r="T50" s="20" t="n">
        <x:v>8.25</x:v>
      </x:c>
      <x:c r="U50" s="20" t="str">
        <x:v>Incubate HAuCl4/peptide/TCEP 70°C 15 min; add 58 µL 13.8 mM NaBH4; continue 70°C 8 h; dialysis purification</x:v>
      </x:c>
      <x:c r="V50" s="20"/>
      <x:c r="W50" s="20" t="str">
        <x:v>Maximum emission &gt;740 nm; exact peak left blank pending direct numeric figure extraction</x:v>
      </x:c>
      <x:c r="X50" s="20" t="n">
        <x:v>7</x:v>
      </x:c>
      <x:c r="Y50" s="20"/>
      <x:c r="Z50" s="20"/>
      <x:c r="AA50" s="20"/>
      <x:c r="AB50" s="20"/>
      <x:c r="AC50" s="20"/>
      <x:c r="AD50" s="20"/>
      <x:c r="AE50" s="20" t="str">
        <x:v>NIR bioimaging / sequence-QY study</x:v>
      </x:c>
      <x:c r="AF50" s="20" t="str">
        <x:v>Exact primary QY = 7.0% under 480 nm excitation. Part of a controlled five-peptide sequence panel.</x:v>
      </x:c>
      <x:c r="AG50" s="20" t="str">
        <x:v>Analytical Chemistry 2024 primary full text</x:v>
      </x:c>
      <x:c r="AH50" s="20" t="str">
        <x:v>https://doi.org/10.1021/acs.analchem.4c00321</x:v>
      </x:c>
      <x:c r="AI50" s="24" t="n">
        <x:f>ROUND(100*COUNTA(G50,J50,L50,R50,S50,T50,V50,X50,AA50,AC50)/10,0)</x:f>
        <x:v>40</x:v>
      </x:c>
      <x:c r="AJ50" s="20" t="str">
        <x:v>TRAIN_OPTICAL_QY</x:v>
      </x:c>
      <x:c r="AK50" s="20" t="str">
        <x:v>EXACT_FROM_PRIMARY</x:v>
      </x:c>
      <x:c r="AL50" s="20" t="str">
        <x:v>Same-paper panel; keep W20 rows grouped in validation.</x:v>
      </x:c>
      <x:c r="AM50" s="20" t="str">
        <x:v>2026-09-07</x:v>
      </x:c>
      <x:c r="AN50" s="20" t="str">
        <x:v>WEB_PRIMARY_OPEN_ACCESS</x:v>
      </x:c>
    </x:row>
    <x:row r="51" ht="19" customHeight="1">
      <x:c r="A51" s="20" t="str">
        <x:v>R048</x:v>
      </x:c>
      <x:c r="B51" s="20" t="str">
        <x:v>W20</x:v>
      </x:c>
      <x:c r="C51" s="20" t="str">
        <x:v>A2 DIRECT_PEPTIDE_NONPRECISE_AUNC</x:v>
      </x:c>
      <x:c r="D51" s="20" t="str">
        <x:v>DIRECT</x:v>
      </x:c>
      <x:c r="E51" s="20" t="str">
        <x:v>ultrasmall_AuNC_unknown_nuclearity</x:v>
      </x:c>
      <x:c r="F51" s="20" t="str">
        <x:v>EECEE-stabilized AuNC</x:v>
      </x:c>
      <x:c r="G51" s="20" t="str">
        <x:v>EECEE</x:v>
      </x:c>
      <x:c r="H51" s="20" t="str">
        <x:v>L</x:v>
      </x:c>
      <x:c r="I51" s="20" t="str">
        <x:v>None</x:v>
      </x:c>
      <x:c r="J51" s="20"/>
      <x:c r="K51" s="20"/>
      <x:c r="L51" s="20" t="n">
        <x:v>0.9</x:v>
      </x:c>
      <x:c r="M51" s="20" t="n">
        <x:v>1.1</x:v>
      </x:c>
      <x:c r="N51" s="20" t="str">
        <x:v>NIR-emitting peptide-stabilized AuNC</x:v>
      </x:c>
      <x:c r="O51" s="20" t="str">
        <x:v>HAuCl4</x:v>
      </x:c>
      <x:c r="P51" s="20" t="str">
        <x:v>500 µL 20 mM HAuCl4 + 500 µL 20 mM EECEE + 500 µL 20 mM TCEP</x:v>
      </x:c>
      <x:c r="Q51" s="20" t="str">
        <x:v>TCEP pretreatment + NaBH4 nucleation</x:v>
      </x:c>
      <x:c r="R51" s="20"/>
      <x:c r="S51" s="20" t="n">
        <x:v>70</x:v>
      </x:c>
      <x:c r="T51" s="20" t="n">
        <x:v>8.25</x:v>
      </x:c>
      <x:c r="U51" s="20" t="str">
        <x:v>Incubate HAuCl4/peptide/TCEP 70°C 15 min; add 58 µL 13.8 mM NaBH4; continue 70°C 8 h; dialysis purification</x:v>
      </x:c>
      <x:c r="V51" s="20" t="n">
        <x:v>740</x:v>
      </x:c>
      <x:c r="W51" s="20" t="str">
        <x:v>Primary conclusion reports maximum emission 740 nm</x:v>
      </x:c>
      <x:c r="X51" s="20" t="n">
        <x:v>14</x:v>
      </x:c>
      <x:c r="Y51" s="20"/>
      <x:c r="Z51" s="20"/>
      <x:c r="AA51" s="20"/>
      <x:c r="AB51" s="20"/>
      <x:c r="AC51" s="20"/>
      <x:c r="AD51" s="20"/>
      <x:c r="AE51" s="20" t="str">
        <x:v>Lysosome / αvβ3 imaging</x:v>
      </x:c>
      <x:c r="AF51" s="20" t="str">
        <x:v>Primary TEM core 0.9±0.2 nm; DLS 1.1±0.2 nm; QY 14%. MALDI strongest peak assigned Au25S11+3EECEE species but authors explicitly caution this does not prove exact kernel nuclearity.</x:v>
      </x:c>
      <x:c r="AG51" s="20" t="str">
        <x:v>Analytical Chemistry 2024 primary full text</x:v>
      </x:c>
      <x:c r="AH51" s="20" t="str">
        <x:v>https://doi.org/10.1021/acs.analchem.4c00321</x:v>
      </x:c>
      <x:c r="AI51" s="24" t="n">
        <x:f>ROUND(100*COUNTA(G51,J51,L51,R51,S51,T51,V51,X51,AA51,AC51)/10,0)</x:f>
        <x:v>60</x:v>
      </x:c>
      <x:c r="AJ51" s="20" t="str">
        <x:v>TRAIN_OPTICAL_SIZE_QY</x:v>
      </x:c>
      <x:c r="AK51" s="20" t="str">
        <x:v>EXACT_FROM_PRIMARY</x:v>
      </x:c>
      <x:c r="AL51" s="20" t="str">
        <x:v>Do NOT encode Au25 as exact nuclearity; mass spectrum is composition evidence, not definitive kernel structure.</x:v>
      </x:c>
      <x:c r="AM51" s="20" t="str">
        <x:v>2026-09-07</x:v>
      </x:c>
      <x:c r="AN51" s="20" t="str">
        <x:v>WEB_PRIMARY_OPEN_ACCESS</x:v>
      </x:c>
    </x:row>
    <x:row r="52" ht="19" customHeight="1">
      <x:c r="A52" s="20" t="str">
        <x:v>R049</x:v>
      </x:c>
      <x:c r="B52" s="20" t="str">
        <x:v>W20</x:v>
      </x:c>
      <x:c r="C52" s="20" t="str">
        <x:v>A2 DIRECT_PEPTIDE_NONPRECISE_AUNC</x:v>
      </x:c>
      <x:c r="D52" s="20" t="str">
        <x:v>DIRECT</x:v>
      </x:c>
      <x:c r="E52" s="20" t="str">
        <x:v>ultrasmall_AuNC_unknown_nuclearity</x:v>
      </x:c>
      <x:c r="F52" s="20" t="str">
        <x:v>EEECEEE-stabilized AuNC</x:v>
      </x:c>
      <x:c r="G52" s="20" t="str">
        <x:v>EEECEEE</x:v>
      </x:c>
      <x:c r="H52" s="20" t="str">
        <x:v>L</x:v>
      </x:c>
      <x:c r="I52" s="20" t="str">
        <x:v>None</x:v>
      </x:c>
      <x:c r="J52" s="20"/>
      <x:c r="K52" s="20"/>
      <x:c r="L52" s="20"/>
      <x:c r="M52" s="20"/>
      <x:c r="N52" s="20" t="str">
        <x:v>NIR-emitting peptide-stabilized AuNC</x:v>
      </x:c>
      <x:c r="O52" s="20" t="str">
        <x:v>HAuCl4</x:v>
      </x:c>
      <x:c r="P52" s="20" t="str">
        <x:v>500 µL 20 mM HAuCl4 + 500 µL 20 mM EEECEEE + 500 µL 20 mM TCEP</x:v>
      </x:c>
      <x:c r="Q52" s="20" t="str">
        <x:v>TCEP pretreatment + NaBH4 nucleation</x:v>
      </x:c>
      <x:c r="R52" s="20"/>
      <x:c r="S52" s="20" t="n">
        <x:v>70</x:v>
      </x:c>
      <x:c r="T52" s="20" t="n">
        <x:v>8.25</x:v>
      </x:c>
      <x:c r="U52" s="20" t="str">
        <x:v>Incubate 70°C 15 min; NaBH4; 70°C 8 h; dialysis</x:v>
      </x:c>
      <x:c r="V52" s="20"/>
      <x:c r="W52" s="20" t="str">
        <x:v>Maximum emission &gt;740 nm</x:v>
      </x:c>
      <x:c r="X52" s="20" t="n">
        <x:v>7</x:v>
      </x:c>
      <x:c r="Y52" s="20"/>
      <x:c r="Z52" s="20"/>
      <x:c r="AA52" s="20"/>
      <x:c r="AB52" s="20"/>
      <x:c r="AC52" s="20"/>
      <x:c r="AD52" s="20"/>
      <x:c r="AE52" s="20" t="str">
        <x:v>NIR bioimaging / sequence-QY study</x:v>
      </x:c>
      <x:c r="AF52" s="20" t="str">
        <x:v>Exact primary QY = 7.0% at 480 nm. More Glu residues did not outperform EECEE, consistent with ligand-bulk/coverage effects.</x:v>
      </x:c>
      <x:c r="AG52" s="20" t="str">
        <x:v>Analytical Chemistry 2024 primary full text</x:v>
      </x:c>
      <x:c r="AH52" s="20" t="str">
        <x:v>https://doi.org/10.1021/acs.analchem.4c00321</x:v>
      </x:c>
      <x:c r="AI52" s="24" t="n">
        <x:f>ROUND(100*COUNTA(G52,J52,L52,R52,S52,T52,V52,X52,AA52,AC52)/10,0)</x:f>
        <x:v>40</x:v>
      </x:c>
      <x:c r="AJ52" s="20" t="str">
        <x:v>TRAIN_OPTICAL_QY</x:v>
      </x:c>
      <x:c r="AK52" s="20" t="str">
        <x:v>EXACT_FROM_PRIMARY</x:v>
      </x:c>
      <x:c r="AL52" s="20" t="str">
        <x:v>Same-paper panel.</x:v>
      </x:c>
      <x:c r="AM52" s="20" t="str">
        <x:v>2026-09-07</x:v>
      </x:c>
      <x:c r="AN52" s="20" t="str">
        <x:v>WEB_PRIMARY_OPEN_ACCESS</x:v>
      </x:c>
    </x:row>
    <x:row r="53" ht="19" customHeight="1">
      <x:c r="A53" s="20" t="str">
        <x:v>R050</x:v>
      </x:c>
      <x:c r="B53" s="20" t="str">
        <x:v>W20</x:v>
      </x:c>
      <x:c r="C53" s="20" t="str">
        <x:v>A2 DIRECT_PEPTIDE_NONPRECISE_AUNC</x:v>
      </x:c>
      <x:c r="D53" s="20" t="str">
        <x:v>DIRECT</x:v>
      </x:c>
      <x:c r="E53" s="20" t="str">
        <x:v>ultrasmall_AuNC_unknown_nuclearity</x:v>
      </x:c>
      <x:c r="F53" s="20" t="str">
        <x:v>GGCGG-stabilized AuNC</x:v>
      </x:c>
      <x:c r="G53" s="20" t="str">
        <x:v>GGCGG</x:v>
      </x:c>
      <x:c r="H53" s="20" t="str">
        <x:v>L</x:v>
      </x:c>
      <x:c r="I53" s="20" t="str">
        <x:v>None</x:v>
      </x:c>
      <x:c r="J53" s="20"/>
      <x:c r="K53" s="20"/>
      <x:c r="L53" s="20"/>
      <x:c r="M53" s="20"/>
      <x:c r="N53" s="20" t="str">
        <x:v>NIR-emitting peptide-stabilized AuNC</x:v>
      </x:c>
      <x:c r="O53" s="20" t="str">
        <x:v>HAuCl4</x:v>
      </x:c>
      <x:c r="P53" s="20" t="str">
        <x:v>500 µL 20 mM HAuCl4 + 500 µL 20 mM GGCGG + 500 µL 20 mM TCEP</x:v>
      </x:c>
      <x:c r="Q53" s="20" t="str">
        <x:v>TCEP pretreatment + NaBH4 nucleation</x:v>
      </x:c>
      <x:c r="R53" s="20"/>
      <x:c r="S53" s="20" t="n">
        <x:v>70</x:v>
      </x:c>
      <x:c r="T53" s="20" t="n">
        <x:v>8.25</x:v>
      </x:c>
      <x:c r="U53" s="20" t="str">
        <x:v>Incubate 70°C 15 min; NaBH4; 70°C 8 h; dialysis</x:v>
      </x:c>
      <x:c r="V53" s="20"/>
      <x:c r="W53" s="20" t="str">
        <x:v>Maximum emission &gt;740 nm</x:v>
      </x:c>
      <x:c r="X53" s="20" t="n">
        <x:v>5.6</x:v>
      </x:c>
      <x:c r="Y53" s="20"/>
      <x:c r="Z53" s="20"/>
      <x:c r="AA53" s="20"/>
      <x:c r="AB53" s="20"/>
      <x:c r="AC53" s="20"/>
      <x:c r="AD53" s="20"/>
      <x:c r="AE53" s="20" t="str">
        <x:v>NIR bioimaging / sequence-QY study</x:v>
      </x:c>
      <x:c r="AF53" s="20" t="str">
        <x:v>Exact primary QY = 5.6% at 480 nm.</x:v>
      </x:c>
      <x:c r="AG53" s="20" t="str">
        <x:v>Analytical Chemistry 2024 primary full text</x:v>
      </x:c>
      <x:c r="AH53" s="20" t="str">
        <x:v>https://doi.org/10.1021/acs.analchem.4c00321</x:v>
      </x:c>
      <x:c r="AI53" s="24" t="n">
        <x:f>ROUND(100*COUNTA(G53,J53,L53,R53,S53,T53,V53,X53,AA53,AC53)/10,0)</x:f>
        <x:v>40</x:v>
      </x:c>
      <x:c r="AJ53" s="20" t="str">
        <x:v>TRAIN_OPTICAL_QY</x:v>
      </x:c>
      <x:c r="AK53" s="20" t="str">
        <x:v>EXACT_FROM_PRIMARY</x:v>
      </x:c>
      <x:c r="AL53" s="20" t="str">
        <x:v>Same-paper panel.</x:v>
      </x:c>
      <x:c r="AM53" s="20" t="str">
        <x:v>2026-09-07</x:v>
      </x:c>
      <x:c r="AN53" s="20" t="str">
        <x:v>WEB_PRIMARY_OPEN_ACCESS</x:v>
      </x:c>
    </x:row>
    <x:row r="54" ht="19" customHeight="1">
      <x:c r="A54" s="20" t="str">
        <x:v>R051</x:v>
      </x:c>
      <x:c r="B54" s="20" t="str">
        <x:v>W20</x:v>
      </x:c>
      <x:c r="C54" s="20" t="str">
        <x:v>A2 DIRECT_PEPTIDE_NONPRECISE_AUNC</x:v>
      </x:c>
      <x:c r="D54" s="20" t="str">
        <x:v>DIRECT</x:v>
      </x:c>
      <x:c r="E54" s="20" t="str">
        <x:v>ultrasmall_AuNC_unknown_nuclearity</x:v>
      </x:c>
      <x:c r="F54" s="20" t="str">
        <x:v>RRCRR-stabilized AuNC</x:v>
      </x:c>
      <x:c r="G54" s="20" t="str">
        <x:v>RRCRR</x:v>
      </x:c>
      <x:c r="H54" s="20" t="str">
        <x:v>L</x:v>
      </x:c>
      <x:c r="I54" s="20" t="str">
        <x:v>None</x:v>
      </x:c>
      <x:c r="J54" s="20"/>
      <x:c r="K54" s="20"/>
      <x:c r="L54" s="20"/>
      <x:c r="M54" s="20"/>
      <x:c r="N54" s="20" t="str">
        <x:v>NIR-emitting peptide-stabilized AuNC</x:v>
      </x:c>
      <x:c r="O54" s="20" t="str">
        <x:v>HAuCl4</x:v>
      </x:c>
      <x:c r="P54" s="20" t="str">
        <x:v>500 µL 20 mM HAuCl4 + 500 µL 20 mM RRCRR + 500 µL 20 mM TCEP</x:v>
      </x:c>
      <x:c r="Q54" s="20" t="str">
        <x:v>TCEP pretreatment + NaBH4 nucleation</x:v>
      </x:c>
      <x:c r="R54" s="20"/>
      <x:c r="S54" s="20" t="n">
        <x:v>70</x:v>
      </x:c>
      <x:c r="T54" s="20" t="n">
        <x:v>8.25</x:v>
      </x:c>
      <x:c r="U54" s="20" t="str">
        <x:v>Incubate 70°C 15 min; NaBH4; 70°C 8 h; dialysis</x:v>
      </x:c>
      <x:c r="V54" s="20"/>
      <x:c r="W54" s="20" t="str">
        <x:v>Maximum emission &gt;740 nm</x:v>
      </x:c>
      <x:c r="X54" s="20" t="n">
        <x:v>1.8</x:v>
      </x:c>
      <x:c r="Y54" s="20"/>
      <x:c r="Z54" s="20"/>
      <x:c r="AA54" s="20"/>
      <x:c r="AB54" s="20"/>
      <x:c r="AC54" s="20"/>
      <x:c r="AD54" s="20"/>
      <x:c r="AE54" s="20" t="str">
        <x:v>NIR bioimaging / sequence-QY study</x:v>
      </x:c>
      <x:c r="AF54" s="20" t="str">
        <x:v>Exact primary QY = 1.8% at 480 nm; useful charge-contrast endpoint versus acidic Glu-rich peptides.</x:v>
      </x:c>
      <x:c r="AG54" s="20" t="str">
        <x:v>Analytical Chemistry 2024 primary full text</x:v>
      </x:c>
      <x:c r="AH54" s="20" t="str">
        <x:v>https://doi.org/10.1021/acs.analchem.4c00321</x:v>
      </x:c>
      <x:c r="AI54" s="24" t="n">
        <x:f>ROUND(100*COUNTA(G54,J54,L54,R54,S54,T54,V54,X54,AA54,AC54)/10,0)</x:f>
        <x:v>40</x:v>
      </x:c>
      <x:c r="AJ54" s="20" t="str">
        <x:v>TRAIN_OPTICAL_QY</x:v>
      </x:c>
      <x:c r="AK54" s="20" t="str">
        <x:v>EXACT_FROM_PRIMARY</x:v>
      </x:c>
      <x:c r="AL54" s="20" t="str">
        <x:v>Same-paper panel.</x:v>
      </x:c>
      <x:c r="AM54" s="20" t="str">
        <x:v>2026-09-07</x:v>
      </x:c>
      <x:c r="AN54" s="20" t="str">
        <x:v>WEB_PRIMARY_OPEN_ACCESS</x:v>
      </x:c>
    </x:row>
    <x:row r="55" ht="19" customHeight="1">
      <x:c r="A55" s="20" t="str">
        <x:v>R052</x:v>
      </x:c>
      <x:c r="B55" s="20" t="str">
        <x:v>W21</x:v>
      </x:c>
      <x:c r="C55" s="20" t="str">
        <x:v>A2 DIRECT_PEPTIDE_NONPRECISE_AUNC</x:v>
      </x:c>
      <x:c r="D55" s="20" t="str">
        <x:v>DIRECT</x:v>
      </x:c>
      <x:c r="E55" s="20" t="str">
        <x:v>ultrasmall_AuNC_unknown_nuclearity</x:v>
      </x:c>
      <x:c r="F55" s="20" t="str">
        <x:v>CCY(EAAAK)3-AuNC</x:v>
      </x:c>
      <x:c r="G55" s="20" t="str">
        <x:v>CCYEAAAKEAAAKEAAAK</x:v>
      </x:c>
      <x:c r="H55" s="20" t="str">
        <x:v>L</x:v>
      </x:c>
      <x:c r="I55" s="20" t="str">
        <x:v>CCY mineralization motif + rigid EAAAK repeats</x:v>
      </x:c>
      <x:c r="J55" s="20"/>
      <x:c r="K55" s="20"/>
      <x:c r="L55" s="20" t="n">
        <x:v>1.1</x:v>
      </x:c>
      <x:c r="M55" s="20" t="n">
        <x:v>3</x:v>
      </x:c>
      <x:c r="N55" s="20" t="str">
        <x:v>Short rigid peptide-conjugated AuNC</x:v>
      </x:c>
      <x:c r="O55" s="20" t="str">
        <x:v>HAuCl4</x:v>
      </x:c>
      <x:c r="P55" s="20" t="str">
        <x:v>3.4 mg CCY(EAAAK)3 in 1.65 mL H2O; 66 µL 25 mM HAuCl4</x:v>
      </x:c>
      <x:c r="Q55" s="20" t="str">
        <x:v>Peptide-assisted alkaline synthesis</x:v>
      </x:c>
      <x:c r="R55" s="20" t="n">
        <x:v>13</x:v>
      </x:c>
      <x:c r="S55" s="20"/>
      <x:c r="T55" s="20" t="n">
        <x:v>12</x:v>
      </x:c>
      <x:c r="U55" s="20" t="str">
        <x:v>HAuCl4 added slowly under vigorous stirring; 300 µL 0.5 M NaOH; 12 h in dark; 10 kDa dialysis 3 d</x:v>
      </x:c>
      <x:c r="V55" s="20" t="n">
        <x:v>660</x:v>
      </x:c>
      <x:c r="W55" s="20" t="str">
        <x:v>λex 498 / λem 660</x:v>
      </x:c>
      <x:c r="X55" s="20"/>
      <x:c r="Y55" s="20" t="n">
        <x:v>273</x:v>
      </x:c>
      <x:c r="Z55" s="20"/>
      <x:c r="AA55" s="20"/>
      <x:c r="AB55" s="20"/>
      <x:c r="AC55" s="20"/>
      <x:c r="AD55" s="20"/>
      <x:c r="AE55" s="20" t="str">
        <x:v>Peptide-conjugated AuNC mechanics / optical characterization</x:v>
      </x:c>
      <x:c r="AF55" s="20" t="str">
        <x:v>Direct primary record: core 1.1 nm; apparent DLS ~3 nm; emission 660 nm at 498 nm excitation.</x:v>
      </x:c>
      <x:c r="AG55" s="20" t="str">
        <x:v>Nanomaterials 2021 Methods 2.6 + Results 3.3</x:v>
      </x:c>
      <x:c r="AH55" s="20" t="str">
        <x:v>https://doi.org/10.3390/nano11112932</x:v>
      </x:c>
      <x:c r="AI55" s="24" t="n">
        <x:f>ROUND(100*COUNTA(G55,J55,L55,R55,S55,T55,V55,X55,AA55,AC55)/10,0)</x:f>
        <x:v>50</x:v>
      </x:c>
      <x:c r="AJ55" s="20" t="str">
        <x:v>TRAIN_OPTICAL_SIZE</x:v>
      </x:c>
      <x:c r="AK55" s="20" t="str">
        <x:v>EXACT_FROM_PRIMARY_OPEN_ACCESS</x:v>
      </x:c>
      <x:c r="AL55" s="20" t="str">
        <x:v>Temperature not explicitly populated; do not infer room temperature into training.</x:v>
      </x:c>
      <x:c r="AM55" s="20" t="str">
        <x:v>2026-09-07</x:v>
      </x:c>
      <x:c r="AN55" s="20" t="str">
        <x:v>WEB_PRIMARY_OPEN_ACCESS</x:v>
      </x:c>
    </x:row>
    <x:row r="56" ht="19" customHeight="1">
      <x:c r="A56" s="20" t="str">
        <x:v>R053</x:v>
      </x:c>
      <x:c r="B56" s="20" t="str">
        <x:v>W22</x:v>
      </x:c>
      <x:c r="C56" s="20" t="str">
        <x:v>A2 DIRECT_PEPTIDE_NONPRECISE_AUNC</x:v>
      </x:c>
      <x:c r="D56" s="20" t="str">
        <x:v>DIRECT</x:v>
      </x:c>
      <x:c r="E56" s="20" t="str">
        <x:v>ultrasmall_AuNC_unknown_nuclearity</x:v>
      </x:c>
      <x:c r="F56" s="20" t="str">
        <x:v>Self-assembling PNF-AuNC peptide</x:v>
      </x:c>
      <x:c r="G56" s="20" t="str">
        <x:v>RGDAEAKAEAKCCYYCCAEAKAEAKRGD</x:v>
      </x:c>
      <x:c r="H56" s="20" t="str">
        <x:v>L</x:v>
      </x:c>
      <x:c r="I56" s="20" t="str">
        <x:v>Multidomain RGD + assembly + CCYYCC Au-forming motif</x:v>
      </x:c>
      <x:c r="J56" s="20"/>
      <x:c r="K56" s="20"/>
      <x:c r="L56" s="20" t="n">
        <x:v>1.8</x:v>
      </x:c>
      <x:c r="M56" s="20"/>
      <x:c r="N56" s="20" t="str">
        <x:v>Peptide-AuNC followed by self-assembled nanofiber enhancement</x:v>
      </x:c>
      <x:c r="O56" s="20" t="str">
        <x:v>HAuCl4</x:v>
      </x:c>
      <x:c r="P56" s="20" t="str">
        <x:v>Motif-designed peptide used as reducing/protecting/self-assembling scaffold; full reagent quantities remain to be SI-audited</x:v>
      </x:c>
      <x:c r="Q56" s="20" t="str">
        <x:v>CCY/CCYYCC biomimetic reduction + supramolecular assembly</x:v>
      </x:c>
      <x:c r="R56" s="20"/>
      <x:c r="S56" s="20"/>
      <x:c r="T56" s="20"/>
      <x:c r="U56" s="20" t="str">
        <x:v>Peptide-AuNC formation followed by controlled self-assembly into PNF-AuNC</x:v>
      </x:c>
      <x:c r="V56" s="20" t="n">
        <x:v>660</x:v>
      </x:c>
      <x:c r="W56" s="20" t="str">
        <x:v>λex 480 / λem 660</x:v>
      </x:c>
      <x:c r="X56" s="20" t="n">
        <x:v>21.3</x:v>
      </x:c>
      <x:c r="Y56" s="20"/>
      <x:c r="Z56" s="20"/>
      <x:c r="AA56" s="20"/>
      <x:c r="AB56" s="20"/>
      <x:c r="AC56" s="20"/>
      <x:c r="AD56" s="20"/>
      <x:c r="AE56" s="20" t="str">
        <x:v>Temperature sensing and cellular imaging</x:v>
      </x:c>
      <x:c r="AF56" s="20" t="str">
        <x:v>Peptide-AuNC core average 1.8±0.2 nm. Nanofiber self-assembly enhanced luminescence ~70-fold; PNF-AuNC QY 21.3±1.8%.</x:v>
      </x:c>
      <x:c r="AG56" s="20" t="str">
        <x:v>Bioconjugate Chemistry 2017 primary article</x:v>
      </x:c>
      <x:c r="AH56" s="20" t="str">
        <x:v>https://doi.org/10.1021/acs.bioconjchem.7b00312</x:v>
      </x:c>
      <x:c r="AI56" s="24" t="n">
        <x:f>ROUND(100*COUNTA(G56,J56,L56,R56,S56,T56,V56,X56,AA56,AC56)/10,0)</x:f>
        <x:v>40</x:v>
      </x:c>
      <x:c r="AJ56" s="20" t="str">
        <x:v>TRAIN_THERANOSTIC_OPTICAL</x:v>
      </x:c>
      <x:c r="AK56" s="20" t="str">
        <x:v>EXACT_SEQUENCE_PRIMARY; PARTIAL_SYNTHESIS</x:v>
      </x:c>
      <x:c r="AL56" s="20" t="str">
        <x:v>QY reflects assembled PNF-AuNC suprastructure, not isolated free AuNC; use assembly-state feature.</x:v>
      </x:c>
      <x:c r="AM56" s="20" t="str">
        <x:v>2026-09-07</x:v>
      </x:c>
      <x:c r="AN56" s="20" t="str">
        <x:v>WEB_PRIMARY</x:v>
      </x:c>
    </x:row>
    <x:row r="57" ht="19" customHeight="1">
      <x:c r="A57" s="20" t="str">
        <x:v>R054</x:v>
      </x:c>
      <x:c r="B57" s="20" t="str">
        <x:v>W22</x:v>
      </x:c>
      <x:c r="C57" s="20" t="str">
        <x:v>FORMATION_CONTROL</x:v>
      </x:c>
      <x:c r="D57" s="20" t="str">
        <x:v>DIRECT</x:v>
      </x:c>
      <x:c r="E57" s="20" t="str">
        <x:v>gold_nanoparticle_failure_control</x:v>
      </x:c>
      <x:c r="F57" s="20" t="str">
        <x:v>Pep II control</x:v>
      </x:c>
      <x:c r="G57" s="20" t="str">
        <x:v>RGDAEAKAEAKAEAKCCY</x:v>
      </x:c>
      <x:c r="H57" s="20" t="str">
        <x:v>L</x:v>
      </x:c>
      <x:c r="I57" s="20" t="str">
        <x:v>Shorter assembly/capping motif</x:v>
      </x:c>
      <x:c r="J57" s="20"/>
      <x:c r="K57" s="20"/>
      <x:c r="L57" s="20"/>
      <x:c r="M57" s="20"/>
      <x:c r="N57" s="20" t="str">
        <x:v>Predominantly Au nanoparticles; almost no fluorescence under same conditions</x:v>
      </x:c>
      <x:c r="O57" s="20" t="str">
        <x:v>HAuCl4</x:v>
      </x:c>
      <x:c r="P57" s="20" t="str">
        <x:v>Same synthesis conditions as W22 positive peptide</x:v>
      </x:c>
      <x:c r="Q57" s="20" t="str">
        <x:v>Peptide biomimetic reduction attempt</x:v>
      </x:c>
      <x:c r="R57" s="20"/>
      <x:c r="S57" s="20"/>
      <x:c r="T57" s="20"/>
      <x:c r="U57" s="20" t="str">
        <x:v>Same conditions as PNF-AuNC peptide</x:v>
      </x:c>
      <x:c r="V57" s="20"/>
      <x:c r="W57" s="20" t="str">
        <x:v>Almost no fluorescence</x:v>
      </x:c>
      <x:c r="X57" s="20"/>
      <x:c r="Y57" s="20"/>
      <x:c r="Z57" s="20"/>
      <x:c r="AA57" s="20"/>
      <x:c r="AB57" s="20"/>
      <x:c r="AC57" s="20"/>
      <x:c r="AD57" s="20"/>
      <x:c r="AE57" s="20" t="str">
        <x:v>Formation negative/control</x:v>
      </x:c>
      <x:c r="AF57" s="20" t="str">
        <x:v>Under the same conditions, Pep II produced almost no fluorescence and many Au nanoparticles by TEM. This is a rare explicit sequence-level negative/control for AuNC formation.</x:v>
      </x:c>
      <x:c r="AG57" s="20" t="str">
        <x:v>Bioconjugate Chemistry 2017 primary article</x:v>
      </x:c>
      <x:c r="AH57" s="20" t="str">
        <x:v>https://doi.org/10.1021/acs.bioconjchem.7b00312</x:v>
      </x:c>
      <x:c r="AI57" s="24" t="n">
        <x:f>ROUND(100*COUNTA(G57,J57,L57,R57,S57,T57,V57,X57,AA57,AC57)/10,0)</x:f>
        <x:v>10</x:v>
      </x:c>
      <x:c r="AJ57" s="20" t="str">
        <x:v>FORMATION_NEGATIVE</x:v>
      </x:c>
      <x:c r="AK57" s="20" t="str">
        <x:v>EXACT_FROM_PRIMARY</x:v>
      </x:c>
      <x:c r="AL57" s="20" t="str">
        <x:v>High-value negative, but one control is far from enough for a robust formation classifier.</x:v>
      </x:c>
      <x:c r="AM57" s="20" t="str">
        <x:v>2026-09-07</x:v>
      </x:c>
      <x:c r="AN57" s="20" t="str">
        <x:v>WEB_PRIMARY</x:v>
      </x:c>
    </x:row>
    <x:row r="58" ht="19" customHeight="1">
      <x:c r="A58" s="20" t="str">
        <x:v>R055</x:v>
      </x:c>
      <x:c r="B58" s="20" t="str">
        <x:v>W18</x:v>
      </x:c>
      <x:c r="C58" s="20" t="str">
        <x:v>A1 DIRECT_PEPTIDE_ATOMIC_AUNC</x:v>
      </x:c>
      <x:c r="D58" s="20" t="str">
        <x:v>DIRECT</x:v>
      </x:c>
      <x:c r="E58" s="20" t="str">
        <x:v>atomically_precise_AuNC</x:v>
      </x:c>
      <x:c r="F58" s="20" t="str">
        <x:v>Peptide 1 HDAC substrate</x:v>
      </x:c>
      <x:c r="G58" s="20" t="str">
        <x:v>CCIHK</x:v>
      </x:c>
      <x:c r="H58" s="20" t="str">
        <x:v>L</x:v>
      </x:c>
      <x:c r="I58" s="20" t="str">
        <x:v>Lys acetylation: CCIHK(Ac)</x:v>
      </x:c>
      <x:c r="J58" s="20" t="n">
        <x:v>8</x:v>
      </x:c>
      <x:c r="K58" s="20" t="n">
        <x:v>2</x:v>
      </x:c>
      <x:c r="L58" s="20" t="n">
        <x:v>1.1</x:v>
      </x:c>
      <x:c r="M58" s="20"/>
      <x:c r="N58" s="20" t="str">
        <x:v>Au8 cluster with two peptides + two MPA ligands</x:v>
      </x:c>
      <x:c r="O58" s="20" t="str">
        <x:v>HAuCl4</x:v>
      </x:c>
      <x:c r="P58" s="20" t="str">
        <x:v>200 µL 62 µM peptide + 1.5 mL 50 mM HAuCl4 + 1.5 mL methanol + 300 µL 30 µM MPA</x:v>
      </x:c>
      <x:c r="Q58" s="20" t="str">
        <x:v>300 µL 1 M NaBH4 after 10 min pre-stir</x:v>
      </x:c>
      <x:c r="R58" s="20" t="n">
        <x:v>8</x:v>
      </x:c>
      <x:c r="S58" s="20"/>
      <x:c r="T58" s="20" t="n">
        <x:v>0.333</x:v>
      </x:c>
      <x:c r="U58" s="20" t="str">
        <x:v>Adjust pH 8 with NaOH; stir 10 min; add fresh ice-cooled NaBH4; stir another 10 min; 3 kDa ultrafiltration ×3</x:v>
      </x:c>
      <x:c r="V58" s="20"/>
      <x:c r="W58" s="20" t="str">
        <x:v>Primary article/SI optical peak not entered numerically</x:v>
      </x:c>
      <x:c r="X58" s="20" t="n">
        <x:v>21.7</x:v>
      </x:c>
      <x:c r="Y58" s="20"/>
      <x:c r="Z58" s="20"/>
      <x:c r="AA58" s="20"/>
      <x:c r="AB58" s="20"/>
      <x:c r="AC58" s="20"/>
      <x:c r="AD58" s="20"/>
      <x:c r="AE58" s="20" t="str">
        <x:v>PTM-enzyme fluorescent beacon</x:v>
      </x:c>
      <x:c r="AF58" s="20" t="str">
        <x:v>MALDI-TOF assigned Au8(peptide)2(MPA)2; average TEM size ~1.1 nm; QY 21.7%.</x:v>
      </x:c>
      <x:c r="AG58" s="20" t="str">
        <x:v>Anal. Chem. 2013 main text + SI</x:v>
      </x:c>
      <x:c r="AH58" s="20" t="str">
        <x:v>https://doi.org/10.1021/ac403308b</x:v>
      </x:c>
      <x:c r="AI58" s="24" t="n">
        <x:f>ROUND(100*COUNTA(G58,J58,L58,R58,S58,T58,V58,X58,AA58,AC58)/10,0)</x:f>
        <x:v>60</x:v>
      </x:c>
      <x:c r="AJ58" s="20" t="str">
        <x:v>TRAIN_CORE</x:v>
      </x:c>
      <x:c r="AK58" s="20" t="str">
        <x:v>EXACT_FROM_PRIMARY_SI</x:v>
      </x:c>
      <x:c r="AL58" s="20" t="str">
        <x:v>High-value exact atomic sequence+synthesis+size+QY record.</x:v>
      </x:c>
      <x:c r="AM58" s="20" t="str">
        <x:v>2026-09-07</x:v>
      </x:c>
      <x:c r="AN58" s="20" t="str">
        <x:v>WEB_PRIMARY+SI</x:v>
      </x:c>
    </x:row>
    <x:row r="59" ht="19" customHeight="1">
      <x:c r="A59" s="20" t="str">
        <x:v>R056</x:v>
      </x:c>
      <x:c r="B59" s="20" t="str">
        <x:v>W18</x:v>
      </x:c>
      <x:c r="C59" s="20" t="str">
        <x:v>A2 DIRECT_PEPTIDE_NONPRECISE_AUNC</x:v>
      </x:c>
      <x:c r="D59" s="20" t="str">
        <x:v>DIRECT</x:v>
      </x:c>
      <x:c r="E59" s="20" t="str">
        <x:v>ultrasmall_AuNC_unknown_nuclearity</x:v>
      </x:c>
      <x:c r="F59" s="20" t="str">
        <x:v>Peptide 2 control</x:v>
      </x:c>
      <x:c r="G59" s="20" t="str">
        <x:v>CCGKE</x:v>
      </x:c>
      <x:c r="H59" s="20" t="str">
        <x:v>L</x:v>
      </x:c>
      <x:c r="I59" s="20" t="str">
        <x:v>Unmodified control peptide</x:v>
      </x:c>
      <x:c r="J59" s="20"/>
      <x:c r="K59" s="20"/>
      <x:c r="L59" s="20"/>
      <x:c r="M59" s="20"/>
      <x:c r="N59" s="20" t="str">
        <x:v>Fluorescent peptide-templated AuNC</x:v>
      </x:c>
      <x:c r="O59" s="20" t="str">
        <x:v>HAuCl4</x:v>
      </x:c>
      <x:c r="P59" s="20" t="str">
        <x:v>Same generic synthesis procedure as W18 peptide panel</x:v>
      </x:c>
      <x:c r="Q59" s="20" t="str">
        <x:v>MPA + NaBH4</x:v>
      </x:c>
      <x:c r="R59" s="20" t="n">
        <x:v>8</x:v>
      </x:c>
      <x:c r="S59" s="20"/>
      <x:c r="T59" s="20" t="n">
        <x:v>0.333</x:v>
      </x:c>
      <x:c r="U59" s="20" t="str">
        <x:v>Same 10 min pre-stir + 10 min post-NaBH4 procedure; 3 kDa ultrafiltration</x:v>
      </x:c>
      <x:c r="V59" s="20"/>
      <x:c r="W59" s="20" t="str">
        <x:v>Fluorescent AuNC control shown in SI; exact peak not entered</x:v>
      </x:c>
      <x:c r="X59" s="20"/>
      <x:c r="Y59" s="20"/>
      <x:c r="Z59" s="20"/>
      <x:c r="AA59" s="20"/>
      <x:c r="AB59" s="20"/>
      <x:c r="AC59" s="20"/>
      <x:c r="AD59" s="20"/>
      <x:c r="AE59" s="20" t="str">
        <x:v>PTM-enzyme control</x:v>
      </x:c>
      <x:c r="AF59" s="20" t="str">
        <x:v>Peptide 2 was a non-substrate control yet formed fluorescent AuNCs under the developed procedure.</x:v>
      </x:c>
      <x:c r="AG59" s="20" t="str">
        <x:v>Anal. Chem. 2013 SI</x:v>
      </x:c>
      <x:c r="AH59" s="20" t="str">
        <x:v>https://doi.org/10.1021/ac403308b</x:v>
      </x:c>
      <x:c r="AI59" s="24" t="n">
        <x:f>ROUND(100*COUNTA(G59,J59,L59,R59,S59,T59,V59,X59,AA59,AC59)/10,0)</x:f>
        <x:v>30</x:v>
      </x:c>
      <x:c r="AJ59" s="20" t="str">
        <x:v>FORMATION_POSITIVE</x:v>
      </x:c>
      <x:c r="AK59" s="20" t="str">
        <x:v>EXACT_SEQUENCE_PRIMARY_SI</x:v>
      </x:c>
      <x:c r="AL59" s="20" t="str">
        <x:v>Useful formation-positive control; no invented exact nuclearity/QY.</x:v>
      </x:c>
      <x:c r="AM59" s="20" t="str">
        <x:v>2026-09-07</x:v>
      </x:c>
      <x:c r="AN59" s="20" t="str">
        <x:v>WEB_PRIMARY+SI</x:v>
      </x:c>
    </x:row>
    <x:row r="60" ht="19" customHeight="1">
      <x:c r="A60" s="20" t="str">
        <x:v>R057</x:v>
      </x:c>
      <x:c r="B60" s="20" t="str">
        <x:v>W18</x:v>
      </x:c>
      <x:c r="C60" s="20" t="str">
        <x:v>A2 DIRECT_PEPTIDE_NONPRECISE_AUNC</x:v>
      </x:c>
      <x:c r="D60" s="20" t="str">
        <x:v>DIRECT</x:v>
      </x:c>
      <x:c r="E60" s="20" t="str">
        <x:v>ultrasmall_AuNC_unknown_nuclearity</x:v>
      </x:c>
      <x:c r="F60" s="20" t="str">
        <x:v>Peptide 3 PKA substrate</x:v>
      </x:c>
      <x:c r="G60" s="20" t="str">
        <x:v>CCLRRASLG</x:v>
      </x:c>
      <x:c r="H60" s="20" t="str">
        <x:v>L</x:v>
      </x:c>
      <x:c r="I60" s="20" t="str">
        <x:v>Unmodified</x:v>
      </x:c>
      <x:c r="J60" s="20"/>
      <x:c r="K60" s="20"/>
      <x:c r="L60" s="20"/>
      <x:c r="M60" s="20"/>
      <x:c r="N60" s="20" t="str">
        <x:v>Fluorescent peptide-templated AuNC</x:v>
      </x:c>
      <x:c r="O60" s="20" t="str">
        <x:v>HAuCl4</x:v>
      </x:c>
      <x:c r="P60" s="20" t="str">
        <x:v>Same generic synthesis procedure as W18 peptide panel</x:v>
      </x:c>
      <x:c r="Q60" s="20" t="str">
        <x:v>MPA + NaBH4</x:v>
      </x:c>
      <x:c r="R60" s="20" t="n">
        <x:v>8</x:v>
      </x:c>
      <x:c r="S60" s="20"/>
      <x:c r="T60" s="20" t="n">
        <x:v>0.333</x:v>
      </x:c>
      <x:c r="U60" s="20" t="str">
        <x:v>Same 10 min pre-stir + 10 min post-NaBH4 procedure; 3 kDa ultrafiltration</x:v>
      </x:c>
      <x:c r="V60" s="20" t="n">
        <x:v>450</x:v>
      </x:c>
      <x:c r="W60" s="20" t="str">
        <x:v>λex 350 / λem 450</x:v>
      </x:c>
      <x:c r="X60" s="20"/>
      <x:c r="Y60" s="20"/>
      <x:c r="Z60" s="20"/>
      <x:c r="AA60" s="20"/>
      <x:c r="AB60" s="20"/>
      <x:c r="AC60" s="20"/>
      <x:c r="AD60" s="20"/>
      <x:c r="AE60" s="20" t="str">
        <x:v>PKA fluorescent beacon</x:v>
      </x:c>
      <x:c r="AF60" s="20" t="str">
        <x:v>Exact SI reports strong fluorescence at 450 nm with excitation maximum 350 nm.</x:v>
      </x:c>
      <x:c r="AG60" s="20" t="str">
        <x:v>Anal. Chem. 2013 SI</x:v>
      </x:c>
      <x:c r="AH60" s="20" t="str">
        <x:v>https://doi.org/10.1021/ac403308b</x:v>
      </x:c>
      <x:c r="AI60" s="24" t="n">
        <x:f>ROUND(100*COUNTA(G60,J60,L60,R60,S60,T60,V60,X60,AA60,AC60)/10,0)</x:f>
        <x:v>40</x:v>
      </x:c>
      <x:c r="AJ60" s="20" t="str">
        <x:v>TRAIN_OPTICAL</x:v>
      </x:c>
      <x:c r="AK60" s="20" t="str">
        <x:v>EXACT_FROM_PRIMARY_SI</x:v>
      </x:c>
      <x:c r="AL60" s="20" t="str">
        <x:v>Nuclearity is not assigned to peptide 3 unless separately mass-verified.</x:v>
      </x:c>
      <x:c r="AM60" s="20" t="str">
        <x:v>2026-09-07</x:v>
      </x:c>
      <x:c r="AN60" s="20" t="str">
        <x:v>WEB_PRIMARY+SI</x:v>
      </x:c>
    </x:row>
    <x:row r="61" ht="19" customHeight="1">
      <x:c r="A61" s="20" t="str">
        <x:v>R058</x:v>
      </x:c>
      <x:c r="B61" s="20" t="str">
        <x:v>W24</x:v>
      </x:c>
      <x:c r="C61" s="20" t="str">
        <x:v>A1 DIRECT_PEPTIDE_ATOMIC_AUNC</x:v>
      </x:c>
      <x:c r="D61" s="20" t="str">
        <x:v>DIRECT</x:v>
      </x:c>
      <x:c r="E61" s="20" t="str">
        <x:v>atomically_precise_AuNC</x:v>
      </x:c>
      <x:c r="F61" s="20" t="str">
        <x:v>Designer peptide C(GRP)3</x:v>
      </x:c>
      <x:c r="G61" s="20" t="str">
        <x:v>CGRPGRPGRP</x:v>
      </x:c>
      <x:c r="H61" s="20" t="str">
        <x:v>L</x:v>
      </x:c>
      <x:c r="I61" s="20" t="str">
        <x:v>Pro-rich helical template</x:v>
      </x:c>
      <x:c r="J61" s="20" t="n">
        <x:v>16</x:v>
      </x:c>
      <x:c r="K61" s="20" t="n">
        <x:v>1</x:v>
      </x:c>
      <x:c r="L61" s="20" t="n">
        <x:v>0.74</x:v>
      </x:c>
      <x:c r="M61" s="20"/>
      <x:c r="N61" s="20" t="str">
        <x:v>Au16 peptide-caged nanocluster</x:v>
      </x:c>
      <x:c r="O61" s="20" t="str">
        <x:v>Au ions / gold precursor</x:v>
      </x:c>
      <x:c r="P61" s="20" t="str">
        <x:v>Exact reagent quantities remain in ESI; primary main text confirms peptide-templated reduction</x:v>
      </x:c>
      <x:c r="Q61" s="20" t="str">
        <x:v>NaBH4</x:v>
      </x:c>
      <x:c r="R61" s="20"/>
      <x:c r="S61" s="20"/>
      <x:c r="T61" s="20"/>
      <x:c r="U61" s="20" t="str">
        <x:v>NaBH4-triggered growth in presence of C(GRP)3; exact quantities not entered until ESI extraction</x:v>
      </x:c>
      <x:c r="V61" s="20" t="n">
        <x:v>680</x:v>
      </x:c>
      <x:c r="W61" s="20" t="str">
        <x:v>λex 440 / λem 680</x:v>
      </x:c>
      <x:c r="X61" s="20"/>
      <x:c r="Y61" s="20"/>
      <x:c r="Z61" s="20"/>
      <x:c r="AA61" s="20"/>
      <x:c r="AB61" s="20"/>
      <x:c r="AC61" s="20"/>
      <x:c r="AD61" s="20"/>
      <x:c r="AE61" s="20" t="str">
        <x:v>NIR fluorescence / cellular uptake</x:v>
      </x:c>
      <x:c r="AF61" s="20" t="str">
        <x:v>MALDI revealed 16 Au atoms + one peptide. SAXS radius 3.7 Å; core-size field stores derived diameter 0.74 nm.</x:v>
      </x:c>
      <x:c r="AG61" s="20" t="str">
        <x:v>Chem. Commun. 2014 accepted manuscript</x:v>
      </x:c>
      <x:c r="AH61" s="20" t="str">
        <x:v>https://doi.org/10.1039/C4CC03240C</x:v>
      </x:c>
      <x:c r="AI61" s="24" t="n">
        <x:f>ROUND(100*COUNTA(G61,J61,L61,R61,S61,T61,V61,X61,AA61,AC61)/10,0)</x:f>
        <x:v>40</x:v>
      </x:c>
      <x:c r="AJ61" s="20" t="str">
        <x:v>TRAIN_CORE_STRUCTURE_OPTICAL</x:v>
      </x:c>
      <x:c r="AK61" s="20" t="str">
        <x:v>EXACT_SEQUENCE_PRIMARY</x:v>
      </x:c>
      <x:c r="AL61" s="20" t="str">
        <x:v>Atomic/nuclearity and optical record strong; condition-model use waits for exact ESI quantities.</x:v>
      </x:c>
      <x:c r="AM61" s="20" t="str">
        <x:v>2026-09-07</x:v>
      </x:c>
      <x:c r="AN61" s="20" t="str">
        <x:v>WEB_PRIMARY_AUTHOR_MANUSCRIPT</x:v>
      </x:c>
    </x:row>
    <x:row r="62" ht="19" customHeight="1">
      <x:c r="A62" s="20" t="str">
        <x:v>R059</x:v>
      </x:c>
      <x:c r="B62" s="20" t="str">
        <x:v>W24</x:v>
      </x:c>
      <x:c r="C62" s="20" t="str">
        <x:v>FORMATION_CONTROL</x:v>
      </x:c>
      <x:c r="D62" s="20" t="str">
        <x:v>DIRECT</x:v>
      </x:c>
      <x:c r="E62" s="20" t="str">
        <x:v>gold_nanoparticle_failure_control</x:v>
      </x:c>
      <x:c r="F62" s="20" t="str">
        <x:v>Cys-free (GRP)3</x:v>
      </x:c>
      <x:c r="G62" s="20" t="str">
        <x:v>GRPGRPGRP</x:v>
      </x:c>
      <x:c r="H62" s="20" t="str">
        <x:v>L</x:v>
      </x:c>
      <x:c r="I62" s="20" t="str">
        <x:v>Cys removed from positive template</x:v>
      </x:c>
      <x:c r="J62" s="20"/>
      <x:c r="K62" s="20"/>
      <x:c r="L62" s="20"/>
      <x:c r="M62" s="20"/>
      <x:c r="N62" s="20" t="str">
        <x:v>Aggregated gold nanoparticles; not AuNC</x:v>
      </x:c>
      <x:c r="O62" s="20" t="str">
        <x:v>Au ions / gold precursor</x:v>
      </x:c>
      <x:c r="P62" s="20" t="str">
        <x:v>Matched to C(GRP)3 experiment</x:v>
      </x:c>
      <x:c r="Q62" s="20" t="str">
        <x:v>NaBH4</x:v>
      </x:c>
      <x:c r="R62" s="20"/>
      <x:c r="S62" s="20"/>
      <x:c r="T62" s="20"/>
      <x:c r="U62" s="20" t="str">
        <x:v>Same general growth experiment as positive C(GRP)3</x:v>
      </x:c>
      <x:c r="V62" s="20"/>
      <x:c r="W62" s="20" t="str">
        <x:v>No fluorescence</x:v>
      </x:c>
      <x:c r="X62" s="20"/>
      <x:c r="Y62" s="20"/>
      <x:c r="Z62" s="20"/>
      <x:c r="AA62" s="20"/>
      <x:c r="AB62" s="20"/>
      <x:c r="AC62" s="20"/>
      <x:c r="AD62" s="20"/>
      <x:c r="AE62" s="20" t="str">
        <x:v>Formation negative/control</x:v>
      </x:c>
      <x:c r="AF62" s="20" t="str">
        <x:v>Removing the Cys nucleating residue produced blue-coloured aggregated Au nanoparticles and no fluorescence.</x:v>
      </x:c>
      <x:c r="AG62" s="20" t="str">
        <x:v>Chem. Commun. 2014 accepted manuscript</x:v>
      </x:c>
      <x:c r="AH62" s="20" t="str">
        <x:v>https://doi.org/10.1039/C4CC03240C</x:v>
      </x:c>
      <x:c r="AI62" s="24" t="n">
        <x:f>ROUND(100*COUNTA(G62,J62,L62,R62,S62,T62,V62,X62,AA62,AC62)/10,0)</x:f>
        <x:v>10</x:v>
      </x:c>
      <x:c r="AJ62" s="20" t="str">
        <x:v>FORMATION_NEGATIVE</x:v>
      </x:c>
      <x:c r="AK62" s="20" t="str">
        <x:v>EXACT_FROM_PRIMARY</x:v>
      </x:c>
      <x:c r="AL62" s="20" t="str">
        <x:v>Matched sequence-ablation negative for nucleation motif.</x:v>
      </x:c>
      <x:c r="AM62" s="20" t="str">
        <x:v>2026-09-07</x:v>
      </x:c>
      <x:c r="AN62" s="20" t="str">
        <x:v>WEB_PRIMARY_AUTHOR_MANUSCRIPT</x:v>
      </x:c>
    </x:row>
    <x:row r="63" ht="19" customHeight="1">
      <x:c r="A63" s="20" t="str">
        <x:v>R060</x:v>
      </x:c>
      <x:c r="B63" s="20" t="str">
        <x:v>W24</x:v>
      </x:c>
      <x:c r="C63" s="20" t="str">
        <x:v>FORMATION_CONTROL</x:v>
      </x:c>
      <x:c r="D63" s="20" t="str">
        <x:v>DIRECT</x:v>
      </x:c>
      <x:c r="E63" s="20" t="str">
        <x:v>gold_nanoparticle_failure_control</x:v>
      </x:c>
      <x:c r="F63" s="20" t="str">
        <x:v>Pro-free C(GRG)3</x:v>
      </x:c>
      <x:c r="G63" s="20" t="str">
        <x:v>CGRGGRGGRG</x:v>
      </x:c>
      <x:c r="H63" s="20" t="str">
        <x:v>L</x:v>
      </x:c>
      <x:c r="I63" s="20" t="str">
        <x:v>Pro residues replaced; non-helical control</x:v>
      </x:c>
      <x:c r="J63" s="20"/>
      <x:c r="K63" s="20"/>
      <x:c r="L63" s="20"/>
      <x:c r="M63" s="20"/>
      <x:c r="N63" s="20" t="str">
        <x:v>Plasmonic peptide-decorated Au nanoparticles; not AuNC</x:v>
      </x:c>
      <x:c r="O63" s="20" t="str">
        <x:v>Au ions / gold precursor</x:v>
      </x:c>
      <x:c r="P63" s="20" t="str">
        <x:v>Matched to C(GRP)3 experiment</x:v>
      </x:c>
      <x:c r="Q63" s="20" t="str">
        <x:v>NaBH4</x:v>
      </x:c>
      <x:c r="R63" s="20"/>
      <x:c r="S63" s="20"/>
      <x:c r="T63" s="20"/>
      <x:c r="U63" s="20" t="str">
        <x:v>Same general growth experiment as positive C(GRP)3</x:v>
      </x:c>
      <x:c r="V63" s="20"/>
      <x:c r="W63" s="20" t="str">
        <x:v>No fluorescence</x:v>
      </x:c>
      <x:c r="X63" s="20"/>
      <x:c r="Y63" s="20" t="n">
        <x:v>523</x:v>
      </x:c>
      <x:c r="Z63" s="20"/>
      <x:c r="AA63" s="20"/>
      <x:c r="AB63" s="20"/>
      <x:c r="AC63" s="20"/>
      <x:c r="AD63" s="20"/>
      <x:c r="AE63" s="20" t="str">
        <x:v>Formation negative/control</x:v>
      </x:c>
      <x:c r="AF63" s="20" t="str">
        <x:v>Pro-free control gave red nanoparticle solution with LSPR 523 nm and no fluorescence, showing 3D peptide conformation is critical.</x:v>
      </x:c>
      <x:c r="AG63" s="20" t="str">
        <x:v>Chem. Commun. 2014 accepted manuscript</x:v>
      </x:c>
      <x:c r="AH63" s="20" t="str">
        <x:v>https://doi.org/10.1039/C4CC03240C</x:v>
      </x:c>
      <x:c r="AI63" s="24" t="n">
        <x:f>ROUND(100*COUNTA(G63,J63,L63,R63,S63,T63,V63,X63,AA63,AC63)/10,0)</x:f>
        <x:v>10</x:v>
      </x:c>
      <x:c r="AJ63" s="20" t="str">
        <x:v>FORMATION_NEGATIVE</x:v>
      </x:c>
      <x:c r="AK63" s="20" t="str">
        <x:v>EXACT_FROM_PRIMARY</x:v>
      </x:c>
      <x:c r="AL63" s="20" t="str">
        <x:v>Matched topology/conformation negative.</x:v>
      </x:c>
      <x:c r="AM63" s="20" t="str">
        <x:v>2026-09-07</x:v>
      </x:c>
      <x:c r="AN63" s="20" t="str">
        <x:v>WEB_PRIMARY_AUTHOR_MANUSCRIPT</x:v>
      </x:c>
    </x:row>
    <x:row r="64" ht="19" customHeight="1">
      <x:c r="A64" s="20" t="str">
        <x:v>R061</x:v>
      </x:c>
      <x:c r="B64" s="20" t="str">
        <x:v>W25</x:v>
      </x:c>
      <x:c r="C64" s="20" t="str">
        <x:v>C2 AUNC_BIOMEDICAL_BENCHMARK</x:v>
      </x:c>
      <x:c r="D64" s="20" t="str">
        <x:v>DIRECT</x:v>
      </x:c>
      <x:c r="E64" s="20" t="str">
        <x:v>post_functionalized_BSA_AuNC</x:v>
      </x:c>
      <x:c r="F64" s="20" t="str">
        <x:v>CCYWDAHRDY-modified BSA-AuNC</x:v>
      </x:c>
      <x:c r="G64" s="20" t="str">
        <x:v>CCYWDAHRDY</x:v>
      </x:c>
      <x:c r="H64" s="20" t="str">
        <x:v>L</x:v>
      </x:c>
      <x:c r="I64" s="20" t="str">
        <x:v>Post-synthesis peptide coupling to BSA-AuNC</x:v>
      </x:c>
      <x:c r="J64" s="20"/>
      <x:c r="K64" s="20"/>
      <x:c r="L64" s="20" t="n">
        <x:v>1.8</x:v>
      </x:c>
      <x:c r="M64" s="20"/>
      <x:c r="N64" s="20" t="str">
        <x:v>Peptide-modified BSA-protected AuNC</x:v>
      </x:c>
      <x:c r="O64" s="20" t="str">
        <x:v>HAuCl4</x:v>
      </x:c>
      <x:c r="P64" s="20" t="str">
        <x:v>BSA-AuNC prepared first; 0.5 mL peptide 1 mg/mL added to 2 mL AuNC solution</x:v>
      </x:c>
      <x:c r="Q64" s="20" t="str">
        <x:v>BSA-mediated AuNC synthesis; peptide added post-synthesis</x:v>
      </x:c>
      <x:c r="R64" s="20"/>
      <x:c r="S64" s="20" t="n">
        <x:v>25</x:v>
      </x:c>
      <x:c r="T64" s="20" t="n">
        <x:v>24</x:v>
      </x:c>
      <x:c r="U64" s="20" t="str">
        <x:v>Peptide/AuNC mixture stirred gently 25°C for 24 h</x:v>
      </x:c>
      <x:c r="V64" s="20" t="n">
        <x:v>650</x:v>
      </x:c>
      <x:c r="W64" s="20" t="str">
        <x:v>AuNC emission 650 nm; peptide modification increased fluorescence</x:v>
      </x:c>
      <x:c r="X64" s="20"/>
      <x:c r="Y64" s="20"/>
      <x:c r="Z64" s="20"/>
      <x:c r="AA64" s="20"/>
      <x:c r="AB64" s="20"/>
      <x:c r="AC64" s="20"/>
      <x:c r="AD64" s="20"/>
      <x:c r="AE64" s="20" t="str">
        <x:v>Cu2+ sensing benchmark</x:v>
      </x:c>
      <x:c r="AF64" s="20" t="str">
        <x:v>NOT peptide-templated synthesis: AuNCs were first synthesized with BSA, then CCYWDAHRDY was coupled. Benchmark only.</x:v>
      </x:c>
      <x:c r="AG64" s="20" t="str">
        <x:v>Scientific Reports 2022 full text</x:v>
      </x:c>
      <x:c r="AH64" s="20" t="str">
        <x:v>https://doi.org/10.1038/s41598-022-10500-9</x:v>
      </x:c>
      <x:c r="AI64" s="24" t="n">
        <x:f>ROUND(100*COUNTA(G64,J64,L64,R64,S64,T64,V64,X64,AA64,AC64)/10,0)</x:f>
        <x:v>50</x:v>
      </x:c>
      <x:c r="AJ64" s="20" t="str">
        <x:v>BENCHMARK_ONLY</x:v>
      </x:c>
      <x:c r="AK64" s="20" t="str">
        <x:v>POST_FUNCTIONALIZATION</x:v>
      </x:c>
      <x:c r="AL64" s="20" t="str">
        <x:v>Do not train peptide-template inverse-design model with this row.</x:v>
      </x:c>
      <x:c r="AM64" s="20" t="str">
        <x:v>2026-09-07</x:v>
      </x:c>
      <x:c r="AN64" s="20" t="str">
        <x:v>WEB_PRIMARY_OPEN_ACCESS</x:v>
      </x:c>
    </x:row>
    <x:row r="65" ht="19" customHeight="1">
      <x:c r="A65" s="20" t="str">
        <x:v>R062</x:v>
      </x:c>
      <x:c r="B65" s="20" t="str">
        <x:v>W26</x:v>
      </x:c>
      <x:c r="C65" s="20" t="str">
        <x:v>A1 DIRECT_PEPTIDE_ATOMIC_AUNC</x:v>
      </x:c>
      <x:c r="D65" s="20" t="str">
        <x:v>DIRECT</x:v>
      </x:c>
      <x:c r="E65" s="20" t="str">
        <x:v>atomically_precise_AuNC</x:v>
      </x:c>
      <x:c r="F65" s="20" t="str">
        <x:v>CCYTAT peptide</x:v>
      </x:c>
      <x:c r="G65" s="20" t="str">
        <x:v>CCYRGRKKRRQRRR</x:v>
      </x:c>
      <x:c r="H65" s="20" t="str">
        <x:v>L</x:v>
      </x:c>
      <x:c r="I65" s="20" t="str">
        <x:v>TAT nuclear-localization domain; two Cys mineralization motif</x:v>
      </x:c>
      <x:c r="J65" s="20" t="n">
        <x:v>25</x:v>
      </x:c>
      <x:c r="K65" s="20"/>
      <x:c r="L65" s="20" t="n">
        <x:v>1.5</x:v>
      </x:c>
      <x:c r="M65" s="20"/>
      <x:c r="N65" s="20" t="str">
        <x:v>Au25-core peptide/sulfur-protected fluorescent cluster</x:v>
      </x:c>
      <x:c r="O65" s="20" t="str">
        <x:v>HAuCl4</x:v>
      </x:c>
      <x:c r="P65" s="20" t="str">
        <x:v>376 µL CCYTAT 1.06 mM + 16 µL HAuCl4 25 mM</x:v>
      </x:c>
      <x:c r="Q65" s="20" t="str">
        <x:v>Peptide/Tyr-mediated biomineralization; NaOH-assisted</x:v>
      </x:c>
      <x:c r="R65" s="20" t="n">
        <x:v>10</x:v>
      </x:c>
      <x:c r="S65" s="20"/>
      <x:c r="T65" s="20" t="n">
        <x:v>12</x:v>
      </x:c>
      <x:c r="U65" s="20" t="str">
        <x:v>HAuCl4 slowly added under vigorous stirring; 8 µL 0.5 M NaOH within 30 s; sealed in dark 12 h; MWCO 500 dialysis 12 h; MWCO 3000 concentration</x:v>
      </x:c>
      <x:c r="V65" s="20" t="n">
        <x:v>677</x:v>
      </x:c>
      <x:c r="W65" s="20" t="str">
        <x:v>λex 502 / λem 677</x:v>
      </x:c>
      <x:c r="X65" s="20" t="n">
        <x:v>11</x:v>
      </x:c>
      <x:c r="Y65" s="20"/>
      <x:c r="Z65" s="20"/>
      <x:c r="AA65" s="20"/>
      <x:c r="AB65" s="20"/>
      <x:c r="AC65" s="20"/>
      <x:c r="AD65" s="20"/>
      <x:c r="AE65" s="20" t="str">
        <x:v>Nuclear-targeted cell imaging</x:v>
      </x:c>
      <x:c r="AF65" s="20" t="str">
        <x:v>MALDI-TOF supports an Au25 core with mixed CCYTAT/S surface compositions; HRTEM mean diameter 1.5±0.2 nm; QY 11%.</x:v>
      </x:c>
      <x:c r="AG65" s="20" t="str">
        <x:v>Chem. Commun. 2012 main text + RSC ESI S1.1/S2/S3/S4</x:v>
      </x:c>
      <x:c r="AH65" s="20" t="str">
        <x:v>https://doi.org/10.1039/C1CC15926G</x:v>
      </x:c>
      <x:c r="AI65" s="24" t="n">
        <x:f>ROUND(100*COUNTA(G65,J65,L65,R65,S65,T65,V65,X65,AA65,AC65)/10,0)</x:f>
        <x:v>70</x:v>
      </x:c>
      <x:c r="AJ65" s="20" t="str">
        <x:v>TRAIN_CORE</x:v>
      </x:c>
      <x:c r="AK65" s="20" t="str">
        <x:v>EXACT_FROM_PRIMARY+SI</x:v>
      </x:c>
      <x:c r="AL65" s="20" t="str">
        <x:v>Do not set peptide ligand count to 18: MALDI reports mixed CCYTAT/S compositions, not 18 peptide ligands.</x:v>
      </x:c>
      <x:c r="AM65" s="20" t="str">
        <x:v>2026-09-07</x:v>
      </x:c>
      <x:c r="AN65" s="20" t="str">
        <x:v>WEB_PRIMARY+SI</x:v>
      </x:c>
    </x:row>
    <x:row r="66" ht="19" customHeight="1">
      <x:c r="A66" s="20" t="str">
        <x:v>R063</x:v>
      </x:c>
      <x:c r="B66" s="20" t="str">
        <x:v>W27</x:v>
      </x:c>
      <x:c r="C66" s="20" t="str">
        <x:v>A2 DIRECT_PEPTIDE_NONPRECISE_AUNC</x:v>
      </x:c>
      <x:c r="D66" s="20" t="str">
        <x:v>DIRECT</x:v>
      </x:c>
      <x:c r="E66" s="20" t="str">
        <x:v>ultrasmall_AuNC_unknown_nuclearity</x:v>
      </x:c>
      <x:c r="F66" s="20" t="str">
        <x:v>c(RGDyC) cyclic peptide</x:v>
      </x:c>
      <x:c r="G66" s="20" t="str">
        <x:v>RGDyC</x:v>
      </x:c>
      <x:c r="H66" s="20" t="str">
        <x:v>Mixed; D-Tyr (y)</x:v>
      </x:c>
      <x:c r="I66" s="20" t="str">
        <x:v>Cyclic RGD peptide</x:v>
      </x:c>
      <x:c r="J66" s="20"/>
      <x:c r="K66" s="20"/>
      <x:c r="L66" s="20"/>
      <x:c r="M66" s="20"/>
      <x:c r="N66" s="20" t="str">
        <x:v>Red/NIR fluorescent cyclic-peptide-templated AuNC</x:v>
      </x:c>
      <x:c r="O66" s="20" t="str">
        <x:v>HAuCl4</x:v>
      </x:c>
      <x:c r="P66" s="20" t="str">
        <x:v>1.5 mL c(RGDyC) 5 mM + 100 µL HAuCl4 25 mM</x:v>
      </x:c>
      <x:c r="Q66" s="20" t="str">
        <x:v>Peptide Tyr/Cys-mediated one-step synthesis</x:v>
      </x:c>
      <x:c r="R66" s="20" t="n">
        <x:v>12.5</x:v>
      </x:c>
      <x:c r="S66" s="20" t="n">
        <x:v>50</x:v>
      </x:c>
      <x:c r="T66" s="20" t="n">
        <x:v>20</x:v>
      </x:c>
      <x:c r="U66" s="20" t="str">
        <x:v>Vigorous stirring; 100 µL 0.5 M NaOH after 2 min to pH 12–13; sealed 50°C for &gt;20 h; dialysis purification</x:v>
      </x:c>
      <x:c r="V66" s="20"/>
      <x:c r="W66" s="20" t="str">
        <x:v>Primary paper reports red/NIR emission; exact numerical peak intentionally not populated here</x:v>
      </x:c>
      <x:c r="X66" s="20"/>
      <x:c r="Y66" s="20"/>
      <x:c r="Z66" s="20"/>
      <x:c r="AA66" s="20"/>
      <x:c r="AB66" s="20"/>
      <x:c r="AC66" s="20"/>
      <x:c r="AD66" s="20"/>
      <x:c r="AE66" s="20" t="str">
        <x:v>αvβ3-targeted tumor imaging / radiotherapy sensitization</x:v>
      </x:c>
      <x:c r="AF66" s="20" t="str">
        <x:v>Commercial cyclic RGD peptide acts as reducing, stabilizing and targeting agent in a one-step cancer-targeted AuNC synthesis.</x:v>
      </x:c>
      <x:c r="AG66" s="20" t="str">
        <x:v>Biomaterials 2017 Methods — Synthesis of fluorescent gold nanoclusters</x:v>
      </x:c>
      <x:c r="AH66" s="20" t="str">
        <x:v>https://doi.org/10.1016/j.biomaterials.2017.08.017</x:v>
      </x:c>
      <x:c r="AI66" s="24" t="n">
        <x:f>ROUND(100*COUNTA(G66,J66,L66,R66,S66,T66,V66,X66,AA66,AC66)/10,0)</x:f>
        <x:v>40</x:v>
      </x:c>
      <x:c r="AJ66" s="20" t="str">
        <x:v>TRAIN_SYNTHESIS_FORMATION</x:v>
      </x:c>
      <x:c r="AK66" s="20" t="str">
        <x:v>EXACT_CYCLIC_SEQUENCE_PRIMARY</x:v>
      </x:c>
      <x:c r="AL66" s="20" t="str">
        <x:v>Nuclearity is left blank because the 2017 primary paper does not establish an atomically precise formula in the evidence used here; later DFT work must not be retrofitted as primary proof.</x:v>
      </x:c>
      <x:c r="AM66" s="20" t="str">
        <x:v>2026-09-07</x:v>
      </x:c>
      <x:c r="AN66" s="20" t="str">
        <x:v>WEB_PRIMARY</x:v>
      </x:c>
    </x:row>
    <x:row r="67" ht="19" customHeight="1">
      <x:c r="A67" s="20" t="str">
        <x:v>R064</x:v>
      </x:c>
      <x:c r="B67" s="20" t="str">
        <x:v>W28</x:v>
      </x:c>
      <x:c r="C67" s="20" t="str">
        <x:v>A1 DIRECT_PEPTIDE_ATOMIC_AUNC</x:v>
      </x:c>
      <x:c r="D67" s="20" t="str">
        <x:v>DIRECT</x:v>
      </x:c>
      <x:c r="E67" s="20" t="str">
        <x:v>atomically_precise_AuNC</x:v>
      </x:c>
      <x:c r="F67" s="20" t="str">
        <x:v>Cys-Arg dipeptide</x:v>
      </x:c>
      <x:c r="G67" s="20" t="str">
        <x:v>CR</x:v>
      </x:c>
      <x:c r="H67" s="20" t="str">
        <x:v>L</x:v>
      </x:c>
      <x:c r="I67" s="20" t="str">
        <x:v>None</x:v>
      </x:c>
      <x:c r="J67" s="20" t="n">
        <x:v>23</x:v>
      </x:c>
      <x:c r="K67" s="20" t="n">
        <x:v>14</x:v>
      </x:c>
      <x:c r="L67" s="20"/>
      <x:c r="M67" s="20"/>
      <x:c r="N67" s="20" t="str">
        <x:v>Au23(CR)14 molecular nanocluster</x:v>
      </x:c>
      <x:c r="O67" s="20" t="str">
        <x:v>HAuCl4</x:v>
      </x:c>
      <x:c r="P67" s="20" t="str">
        <x:v>187 mg (0.675 mmol) CR in 100 mL H2O/ethanol 1:2; add 6 mL HAuCl4 2.5 mM</x:v>
      </x:c>
      <x:c r="Q67" s="20" t="str">
        <x:v>NaBH4 after alkaline pre-aging</x:v>
      </x:c>
      <x:c r="R67" s="20"/>
      <x:c r="S67" s="20" t="n">
        <x:v>0</x:v>
      </x:c>
      <x:c r="T67" s="20"/>
      <x:c r="U67" s="20" t="str">
        <x:v>Cool ~0°C 18 h at 340 rpm; add 18 mL NaOH 0.1 M and stir 10 min at 400 rpm; rapidly add 200 µL NaBH4 0.11 M pre-cooled to 4°C; react 1 h; 3 kDa UF 5000×g 30 min; wash and lyophilize</x:v>
      </x:c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 t="str">
        <x:v>Amyloid-fibril dissolution / nanomedicine</x:v>
      </x:c>
      <x:c r="AF67" s="20" t="str">
        <x:v>ESI-MS single peak 8397.9925 assigns Au23(CR)14; TGA independently confirms 14 CR ligands.</x:v>
      </x:c>
      <x:c r="AG67" s="20" t="str">
        <x:v>National Science Review 2020, Molecular composition + Methods</x:v>
      </x:c>
      <x:c r="AH67" s="20" t="str">
        <x:v>https://doi.org/10.1093/nsr/nwz215</x:v>
      </x:c>
      <x:c r="AI67" s="24" t="n">
        <x:f>ROUND(100*COUNTA(G67,J67,L67,R67,S67,T67,V67,X67,AA67,AC67)/10,0)</x:f>
        <x:v>30</x:v>
      </x:c>
      <x:c r="AJ67" s="20" t="str">
        <x:v>TRAIN_CORE_NUCLEARITY</x:v>
      </x:c>
      <x:c r="AK67" s="20" t="str">
        <x:v>EXACT_FROM_PRIMARY</x:v>
      </x:c>
      <x:c r="AL67" s="20" t="str">
        <x:v>Multi-stage temperature/time protocol is preserved in process text; a single total reaction-time scalar is intentionally not invented.</x:v>
      </x:c>
      <x:c r="AM67" s="20" t="str">
        <x:v>2026-09-07</x:v>
      </x:c>
      <x:c r="AN67" s="20" t="str">
        <x:v>WEB_PRIMARY_OPEN_ACCESS</x:v>
      </x:c>
    </x:row>
    <x:row r="68" ht="19" customHeight="1">
      <x:c r="A68" s="20" t="str">
        <x:v>R065</x:v>
      </x:c>
      <x:c r="B68" s="20" t="str">
        <x:v>W29</x:v>
      </x:c>
      <x:c r="C68" s="20" t="str">
        <x:v>A1 DIRECT_PEPTIDE_ATOMIC_AUNC</x:v>
      </x:c>
      <x:c r="D68" s="20" t="str">
        <x:v>DIRECT</x:v>
      </x:c>
      <x:c r="E68" s="20" t="str">
        <x:v>atomically_precise_AuNC</x:v>
      </x:c>
      <x:c r="F68" s="20" t="str">
        <x:v>RGDC tetrapeptide</x:v>
      </x:c>
      <x:c r="G68" s="20" t="str">
        <x:v>RGDC</x:v>
      </x:c>
      <x:c r="H68" s="20" t="str">
        <x:v>L</x:v>
      </x:c>
      <x:c r="I68" s="20" t="str">
        <x:v>None</x:v>
      </x:c>
      <x:c r="J68" s="20" t="n">
        <x:v>16</x:v>
      </x:c>
      <x:c r="K68" s="20" t="n">
        <x:v>14</x:v>
      </x:c>
      <x:c r="L68" s="20"/>
      <x:c r="M68" s="20"/>
      <x:c r="N68" s="20" t="str">
        <x:v>Optically pure Au16(RGDC)14</x:v>
      </x:c>
      <x:c r="O68" s="20" t="str">
        <x:v>HAuCl4</x:v>
      </x:c>
      <x:c r="P68" s="20" t="str">
        <x:v>RGDC 9 mM + HAuCl4 3 mM + Omnirad 2959 3 mM</x:v>
      </x:c>
      <x:c r="Q68" s="20" t="str">
        <x:v>Photochemical Omnirad 2959 / Norrish Type I radicals</x:v>
      </x:c>
      <x:c r="R68" s="20" t="n">
        <x:v>10</x:v>
      </x:c>
      <x:c r="S68" s="20"/>
      <x:c r="T68" s="20" t="n">
        <x:v>0.5</x:v>
      </x:c>
      <x:c r="U68" s="20" t="str">
        <x:v>Adjust to pH 10 with minimal 1 M NaOH; N2 purge 15 min; irradiate with five UVA lamps 250 W m−2 for 30 min; 3 kDa centrifugal purification; store 4°C</x:v>
      </x:c>
      <x:c r="V68" s="20" t="n">
        <x:v>770</x:v>
      </x:c>
      <x:c r="W68" s="20" t="str">
        <x:v>Product emission ~770 nm</x:v>
      </x:c>
      <x:c r="X68" s="20"/>
      <x:c r="Y68" s="20"/>
      <x:c r="Z68" s="20"/>
      <x:c r="AA68" s="20"/>
      <x:c r="AB68" s="20"/>
      <x:c r="AC68" s="20"/>
      <x:c r="AD68" s="20"/>
      <x:c r="AE68" s="20" t="str">
        <x:v>Type-I ROS photosensitizer / PDT research</x:v>
      </x:c>
      <x:c r="AF68" s="20" t="str">
        <x:v>High-resolution ESI-MS supports atomically precise Au16(RGDC)14; optical purity assessed by EEM/PARAFAC.</x:v>
      </x:c>
      <x:c r="AG68" s="20" t="str">
        <x:v>Nanoscale 2023 primary article + associated patent synthesis embodiment</x:v>
      </x:c>
      <x:c r="AH68" s="20" t="str">
        <x:v>https://doi.org/10.1039/D3NR02258G</x:v>
      </x:c>
      <x:c r="AI68" s="24" t="n">
        <x:f>ROUND(100*COUNTA(G68,J68,L68,R68,S68,T68,V68,X68,AA68,AC68)/10,0)</x:f>
        <x:v>50</x:v>
      </x:c>
      <x:c r="AJ68" s="20" t="str">
        <x:v>TRAIN_CORE_NUCLEARITY_OPTICAL</x:v>
      </x:c>
      <x:c r="AK68" s="20" t="str">
        <x:v>EXACT_FROM_PRIMARY</x:v>
      </x:c>
      <x:c r="AL68" s="20" t="str">
        <x:v>Synthesis quantities are supported by the associated patent embodiment; retain source distinction in provenance.</x:v>
      </x:c>
      <x:c r="AM68" s="20" t="str">
        <x:v>2026-09-07</x:v>
      </x:c>
      <x:c r="AN68" s="20" t="str">
        <x:v>WEB_PRIMARY+ASSOCIATED_PATENT</x:v>
      </x:c>
    </x:row>
    <x:row r="69" ht="19" customHeight="1">
      <x:c r="A69" s="20" t="str">
        <x:v>R066</x:v>
      </x:c>
      <x:c r="B69" s="20" t="str">
        <x:v>W30</x:v>
      </x:c>
      <x:c r="C69" s="20" t="str">
        <x:v>A1 DIRECT_PEPTIDE_ATOMIC_AUNC</x:v>
      </x:c>
      <x:c r="D69" s="20" t="str">
        <x:v>DIRECT</x:v>
      </x:c>
      <x:c r="E69" s="20" t="str">
        <x:v>atomically_precise_AuNC</x:v>
      </x:c>
      <x:c r="F69" s="20" t="str">
        <x:v>Lys-Cys-Lys tripeptide</x:v>
      </x:c>
      <x:c r="G69" s="20" t="str">
        <x:v>KCK</x:v>
      </x:c>
      <x:c r="H69" s="20" t="str">
        <x:v>L</x:v>
      </x:c>
      <x:c r="I69" s="20" t="str">
        <x:v>None</x:v>
      </x:c>
      <x:c r="J69" s="20" t="n">
        <x:v>22</x:v>
      </x:c>
      <x:c r="K69" s="20" t="n">
        <x:v>16</x:v>
      </x:c>
      <x:c r="L69" s="20"/>
      <x:c r="M69" s="20"/>
      <x:c r="N69" s="20" t="str">
        <x:v>Atomically precise Au22(KCK)16</x:v>
      </x:c>
      <x:c r="O69" s="20" t="str">
        <x:v>HAuCl4</x:v>
      </x:c>
      <x:c r="P69" s="20" t="str">
        <x:v>KCK 9 mM + HAuCl4 3 mM + Omnirad 2959 9 mM</x:v>
      </x:c>
      <x:c r="Q69" s="20" t="str">
        <x:v>Photochemical Omnirad 2959 followed by red-light size focusing</x:v>
      </x:c>
      <x:c r="R69" s="20" t="n">
        <x:v>11</x:v>
      </x:c>
      <x:c r="S69" s="20"/>
      <x:c r="T69" s="20" t="n">
        <x:v>24.2</x:v>
      </x:c>
      <x:c r="U69" s="20" t="str">
        <x:v>Add 1 mM NaOH to pH 11; N2 purge 15 min; UVA 250 W m−2 for 12 min to crude mixture; irradiate 620 nm LED at 1.5 mW for 24 h; 3 kDa centrifugal purification; store 4°C</x:v>
      </x:c>
      <x:c r="V69" s="20" t="n">
        <x:v>790</x:v>
      </x:c>
      <x:c r="W69" s="20" t="str">
        <x:v>Crude ~760 nm; size-focused Au22(KCK)16 ~790 nm</x:v>
      </x:c>
      <x:c r="X69" s="20"/>
      <x:c r="Y69" s="20" t="n">
        <x:v>500</x:v>
      </x:c>
      <x:c r="Z69" s="20"/>
      <x:c r="AA69" s="20"/>
      <x:c r="AB69" s="20"/>
      <x:c r="AC69" s="20"/>
      <x:c r="AD69" s="20"/>
      <x:c r="AE69" s="20" t="str">
        <x:v>Type-I ROS photosensitizer / radiosensitization platform</x:v>
      </x:c>
      <x:c r="AF69" s="20" t="str">
        <x:v>ESI-MS-supported Au22(KCK)16; light-activated size focusing converts a mixed fluorescent population into an optically precise product.</x:v>
      </x:c>
      <x:c r="AG69" s="20" t="str">
        <x:v>Nanoscale 2024 full primary article</x:v>
      </x:c>
      <x:c r="AH69" s="20" t="str">
        <x:v>https://doi.org/10.1039/D3NR04793H</x:v>
      </x:c>
      <x:c r="AI69" s="24" t="n">
        <x:f>ROUND(100*COUNTA(G69,J69,L69,R69,S69,T69,V69,X69,AA69,AC69)/10,0)</x:f>
        <x:v>50</x:v>
      </x:c>
      <x:c r="AJ69" s="20" t="str">
        <x:v>TRAIN_CORE_NUCLEARITY_OPTICAL</x:v>
      </x:c>
      <x:c r="AK69" s="20" t="str">
        <x:v>EXACT_FROM_PRIMARY</x:v>
      </x:c>
      <x:c r="AL69" s="20" t="str">
        <x:v>W29 and W30 share a closely related Stamplecoskie photochemical platform; group them together in lab-aware stress testing.</x:v>
      </x:c>
      <x:c r="AM69" s="20" t="str">
        <x:v>2026-09-07</x:v>
      </x:c>
      <x:c r="AN69" s="20" t="str">
        <x:v>WEB_PRIMARY</x:v>
      </x:c>
    </x:row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  <x:row r="101" ht="19" customHeight="1"/>
    <x:row r="102" ht="19" customHeight="1"/>
    <x:row r="103" ht="19" customHeight="1"/>
    <x:row r="104" ht="19" customHeight="1"/>
    <x:row r="105" ht="19" customHeight="1"/>
    <x:row r="106" ht="19" customHeight="1"/>
    <x:row r="107" ht="19" customHeight="1"/>
    <x:row r="108" ht="19" customHeight="1"/>
    <x:row r="109" ht="19" customHeight="1"/>
    <x:row r="110" ht="19" customHeight="1"/>
    <x:row r="111" ht="19" customHeight="1"/>
    <x:row r="112" ht="19" customHeight="1"/>
    <x:row r="113" ht="19" customHeight="1"/>
    <x:row r="114" ht="19" customHeight="1"/>
    <x:row r="115" ht="19" customHeight="1"/>
    <x:row r="116" ht="19" customHeight="1"/>
    <x:row r="117" ht="19" customHeight="1"/>
    <x:row r="118" ht="19" customHeight="1"/>
    <x:row r="119" ht="19" customHeight="1"/>
    <x:row r="120" ht="19" customHeight="1"/>
    <x:row r="121" ht="19" customHeight="1"/>
    <x:row r="122" ht="19" customHeight="1"/>
    <x:row r="123" ht="19" customHeight="1"/>
    <x:row r="124" ht="19" customHeight="1"/>
    <x:row r="125" ht="19" customHeight="1"/>
    <x:row r="126" ht="19" customHeight="1"/>
    <x:row r="127" ht="19" customHeight="1"/>
    <x:row r="128" ht="19" customHeight="1"/>
    <x:row r="129" ht="19" customHeight="1"/>
    <x:row r="130" ht="19" customHeight="1"/>
    <x:row r="131" ht="19" customHeight="1"/>
    <x:row r="132" ht="19" customHeight="1"/>
    <x:row r="133" ht="19" customHeight="1"/>
    <x:row r="134" ht="19" customHeight="1"/>
    <x:row r="135" ht="19" customHeight="1"/>
    <x:row r="136" ht="19" customHeight="1"/>
    <x:row r="137" ht="19" customHeight="1"/>
    <x:row r="138" ht="19" customHeight="1"/>
    <x:row r="139" ht="19" customHeight="1"/>
    <x:row r="140" ht="19" customHeight="1"/>
  </x:sheetData>
  <x:conditionalFormatting sqref="AJ4:AJ69">
    <x:cfRule type="expression" dxfId="13" priority="1">
      <x:formula>LEFT(AJ4,5)="TRAIN"</x:formula>
    </x:cfRule>
  </x:conditionalFormatting>
  <x:conditionalFormatting sqref="AI4:AI69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667fb837ed44625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42" hidden="0" customWidth="1"/>
    <x:col min="4" max="4" width="28" hidden="0" customWidth="1"/>
    <x:col min="5" max="5" width="31" hidden="0" customWidth="1"/>
    <x:col min="6" max="6" width="14" hidden="0" customWidth="1"/>
    <x:col min="7" max="7" width="13" hidden="0" customWidth="1"/>
    <x:col min="8" max="8" width="16" hidden="0" customWidth="1"/>
    <x:col min="9" max="9" width="9" hidden="0" customWidth="1"/>
    <x:col min="10" max="10" width="10" hidden="0" customWidth="1"/>
    <x:col min="11" max="11" width="10" hidden="0" customWidth="1"/>
    <x:col min="12" max="12" width="13" hidden="0" customWidth="1"/>
    <x:col min="13" max="13" width="12" hidden="0" customWidth="1"/>
    <x:col min="14" max="14" width="15" hidden="0" customWidth="1"/>
    <x:col min="15" max="15" width="28" hidden="0" customWidth="1"/>
    <x:col min="16" max="16" width="30" hidden="0" customWidth="1"/>
    <x:col min="17" max="17" width="18" hidden="0" customWidth="1"/>
    <x:col min="18" max="18" width="34" hidden="0" customWidth="1"/>
    <x:col min="19" max="19" width="20" hidden="0" customWidth="1"/>
    <x:col min="20" max="20" width="68" hidden="0" customWidth="1"/>
    <x:col min="21" max="21" width="22" hidden="0" customWidth="1"/>
    <x:col min="22" max="22" width="14" hidden="0" customWidth="1"/>
    <x:col min="23" max="23" width="18" hidden="0" customWidth="1"/>
    <x:col min="24" max="24" width="18" hidden="0" customWidth="1"/>
    <x:col min="25" max="25" width="42" hidden="0" customWidth="1"/>
    <x:col min="26" max="26" width="30" hidden="0" customWidth="1"/>
  </x:cols>
  <x:sheetData>
    <x:row r="1" ht="30" customHeight="1">
      <x:c r="A1" s="66" t="str">
        <x:v>PepAuDB v0.6 — Curated Training View with Protocol- and Lab-Aware Validation Metadata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66"/>
      <x:c r="W1" s="66"/>
      <x:c r="X1" s="66"/>
      <x:c r="Y1" s="66"/>
      <x:c r="Z1" s="66"/>
    </x:row>
    <x:row r="2" ht="19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</x:row>
    <x:row r="3" ht="34" customHeight="1">
      <x:c r="A3" s="71" t="str">
        <x:v>Record_ID</x:v>
      </x:c>
      <x:c r="B3" s="71" t="str">
        <x:v>Source_ID</x:v>
      </x:c>
      <x:c r="C3" s="71" t="str">
        <x:v>Sequence</x:v>
      </x:c>
      <x:c r="D3" s="71" t="str">
        <x:v>Material_Regime</x:v>
      </x:c>
      <x:c r="E3" s="71" t="str">
        <x:v>Eligibility</x:v>
      </x:c>
      <x:c r="F3" s="71" t="str">
        <x:v>Au_Nuclearity</x:v>
      </x:c>
      <x:c r="G3" s="71" t="str">
        <x:v>Core_Size_nm</x:v>
      </x:c>
      <x:c r="H3" s="71" t="str">
        <x:v>Hydrodynamic_Size_nm</x:v>
      </x:c>
      <x:c r="I3" s="71" t="str">
        <x:v>pH</x:v>
      </x:c>
      <x:c r="J3" s="71" t="str">
        <x:v>Temp_C</x:v>
      </x:c>
      <x:c r="K3" s="71" t="str">
        <x:v>Time_h</x:v>
      </x:c>
      <x:c r="L3" s="71" t="str">
        <x:v>Emission_nm</x:v>
      </x:c>
      <x:c r="M3" s="71" t="str">
        <x:v>PLQY_pct</x:v>
      </x:c>
      <x:c r="N3" s="71" t="str">
        <x:v>Paper_Group</x:v>
      </x:c>
      <x:c r="O3" s="71" t="str">
        <x:v>Sequence_Cluster</x:v>
      </x:c>
      <x:c r="P3" s="71" t="str">
        <x:v>Use_for_Targets</x:v>
      </x:c>
      <x:c r="Q3" s="71" t="str">
        <x:v>Metal_Composition</x:v>
      </x:c>
      <x:c r="R3" s="71" t="str">
        <x:v>Product_Process_State</x:v>
      </x:c>
      <x:c r="S3" s="71" t="str">
        <x:v>Assembly_State</x:v>
      </x:c>
      <x:c r="T3" s="71" t="str">
        <x:v>Critical_Validation_Note</x:v>
      </x:c>
      <x:c r="U3" s="71" t="str">
        <x:v>Modification_State</x:v>
      </x:c>
      <x:c r="V3" s="71" t="str">
        <x:v>Ligand_Count</x:v>
      </x:c>
      <x:c r="W3" s="71" t="str">
        <x:v>Cyclization_State</x:v>
      </x:c>
      <x:c r="X3" s="71" t="str">
        <x:v>Chirality_State</x:v>
      </x:c>
      <x:c r="Y3" s="71" t="str">
        <x:v>Protocol_Family</x:v>
      </x:c>
      <x:c r="Z3" s="71" t="str">
        <x:v>Lab_Group</x:v>
      </x:c>
    </x:row>
    <x:row r="4" ht="19" customHeight="1">
      <x:c r="A4" s="20" t="str">
        <x:v>R015</x:v>
      </x:c>
      <x:c r="B4" s="20" t="str">
        <x:v>S10</x:v>
      </x:c>
      <x:c r="C4" s="20" t="str">
        <x:v>ECG</x:v>
      </x:c>
      <x:c r="D4" s="20" t="str">
        <x:v>atomically_precise_AuNC</x:v>
      </x:c>
      <x:c r="E4" s="20" t="str">
        <x:v>TRAIN_CORE</x:v>
      </x:c>
      <x:c r="F4" s="20" t="n">
        <x:v>22</x:v>
      </x:c>
      <x:c r="G4" s="20" t="n">
        <x:v>1.5</x:v>
      </x:c>
      <x:c r="H4" s="20"/>
      <x:c r="I4" s="20" t="n">
        <x:v>12</x:v>
      </x:c>
      <x:c r="J4" s="20" t="n">
        <x:v>25</x:v>
      </x:c>
      <x:c r="K4" s="20" t="n">
        <x:v>8.5</x:v>
      </x:c>
      <x:c r="L4" s="20" t="n">
        <x:v>925</x:v>
      </x:c>
      <x:c r="M4" s="20" t="n">
        <x:v>0.16</x:v>
      </x:c>
      <x:c r="N4" s="20" t="str">
        <x:v>S10</x:v>
      </x:c>
      <x:c r="O4" s="20" t="str">
        <x:v>GSH_ATOMIC_FAMILY</x:v>
      </x:c>
      <x:c r="P4" s="20" t="str">
        <x:v>nuclearity,size,emission,QY</x:v>
      </x:c>
      <x:c r="Q4" s="20" t="str">
        <x:v>pure_Au</x:v>
      </x:c>
      <x:c r="R4" s="20" t="str">
        <x:v>standard_atomic_product</x:v>
      </x:c>
      <x:c r="S4" s="20" t="str">
        <x:v>dispersed</x:v>
      </x:c>
      <x:c r="T4" s="20" t="str">
        <x:v>Same paper/family as R016; never split across train/test.</x:v>
      </x:c>
      <x:c r="U4" s="20" t="str">
        <x:v>none_or_not_encoded</x:v>
      </x:c>
      <x:c r="V4" s="20" t="n">
        <x:v>18</x:v>
      </x:c>
      <x:c r="W4" s="20" t="str">
        <x:v>linear</x:v>
      </x:c>
      <x:c r="X4" s="20" t="str">
        <x:v>L</x:v>
      </x:c>
      <x:c r="Y4" s="20" t="str">
        <x:v>GSH_BOROHYDRIDE_SIZE_FOCUS</x:v>
      </x:c>
      <x:c r="Z4" s="20" t="str">
        <x:v>LAB_S10</x:v>
      </x:c>
    </x:row>
    <x:row r="5" ht="19" customHeight="1">
      <x:c r="A5" s="20" t="str">
        <x:v>R016</x:v>
      </x:c>
      <x:c r="B5" s="20" t="str">
        <x:v>S10</x:v>
      </x:c>
      <x:c r="C5" s="20" t="str">
        <x:v>ECG</x:v>
      </x:c>
      <x:c r="D5" s="20" t="str">
        <x:v>atomically_precise_AuNC</x:v>
      </x:c>
      <x:c r="E5" s="20" t="str">
        <x:v>TRAIN_CORE</x:v>
      </x:c>
      <x:c r="F5" s="20" t="n">
        <x:v>21</x:v>
      </x:c>
      <x:c r="G5" s="20" t="n">
        <x:v>1.5</x:v>
      </x:c>
      <x:c r="H5" s="20"/>
      <x:c r="I5" s="20" t="n">
        <x:v>12</x:v>
      </x:c>
      <x:c r="J5" s="20" t="n">
        <x:v>25</x:v>
      </x:c>
      <x:c r="K5" s="20" t="n">
        <x:v>8.5</x:v>
      </x:c>
      <x:c r="L5" s="20" t="n">
        <x:v>925</x:v>
      </x:c>
      <x:c r="M5" s="20" t="n">
        <x:v>0.16</x:v>
      </x:c>
      <x:c r="N5" s="20" t="str">
        <x:v>S10</x:v>
      </x:c>
      <x:c r="O5" s="20" t="str">
        <x:v>GSH_ATOMIC_FAMILY</x:v>
      </x:c>
      <x:c r="P5" s="20" t="str">
        <x:v>nuclearity,size,emission,QY</x:v>
      </x:c>
      <x:c r="Q5" s="20" t="str">
        <x:v>AuCu</x:v>
      </x:c>
      <x:c r="R5" s="20" t="str">
        <x:v>standard_atomic_product</x:v>
      </x:c>
      <x:c r="S5" s="20" t="str">
        <x:v>dispersed</x:v>
      </x:c>
      <x:c r="T5" s="20" t="str">
        <x:v>Cu-doped variant; metal composition must be explicit.</x:v>
      </x:c>
      <x:c r="U5" s="20" t="str">
        <x:v>none_or_not_encoded</x:v>
      </x:c>
      <x:c r="V5" s="20" t="n">
        <x:v>18</x:v>
      </x:c>
      <x:c r="W5" s="20" t="str">
        <x:v>linear</x:v>
      </x:c>
      <x:c r="X5" s="20" t="str">
        <x:v>L</x:v>
      </x:c>
      <x:c r="Y5" s="20" t="str">
        <x:v>GSH_BOROHYDRIDE_SIZE_FOCUS</x:v>
      </x:c>
      <x:c r="Z5" s="20" t="str">
        <x:v>LAB_S10</x:v>
      </x:c>
    </x:row>
    <x:row r="6" ht="19" customHeight="1">
      <x:c r="A6" s="20" t="str">
        <x:v>R026</x:v>
      </x:c>
      <x:c r="B6" s="20" t="str">
        <x:v>W03</x:v>
      </x:c>
      <x:c r="C6" s="20" t="str">
        <x:v>CCYLQLQAEER</x:v>
      </x:c>
      <x:c r="D6" s="20" t="str">
        <x:v>atomically_precise_AuNC</x:v>
      </x:c>
      <x:c r="E6" s="20" t="str">
        <x:v>TRAIN_CORE</x:v>
      </x:c>
      <x:c r="F6" s="20" t="n">
        <x:v>21</x:v>
      </x:c>
      <x:c r="G6" s="20" t="n">
        <x:v>2</x:v>
      </x:c>
      <x:c r="H6" s="20"/>
      <x:c r="I6" s="20" t="n">
        <x:v>11.5</x:v>
      </x:c>
      <x:c r="J6" s="20" t="n">
        <x:v>25</x:v>
      </x:c>
      <x:c r="K6" s="20" t="n">
        <x:v>18</x:v>
      </x:c>
      <x:c r="L6" s="20" t="n">
        <x:v>640</x:v>
      </x:c>
      <x:c r="M6" s="20" t="n">
        <x:v>2.86</x:v>
      </x:c>
      <x:c r="N6" s="20" t="str">
        <x:v>W03</x:v>
      </x:c>
      <x:c r="O6" s="20" t="str">
        <x:v>CCYJNP5_FAMILY</x:v>
      </x:c>
      <x:c r="P6" s="20" t="str">
        <x:v>nuclearity,size,emission,QY</x:v>
      </x:c>
      <x:c r="Q6" s="20" t="str">
        <x:v>pure_Au</x:v>
      </x:c>
      <x:c r="R6" s="20" t="str">
        <x:v>standard_product</x:v>
      </x:c>
      <x:c r="S6" s="20" t="str">
        <x:v>dispersed</x:v>
      </x:c>
      <x:c r="T6" s="20" t="str">
        <x:v>High-value atomic record; entire paper is one validation group.</x:v>
      </x:c>
      <x:c r="U6" s="20" t="str">
        <x:v>none_or_not_encoded</x:v>
      </x:c>
      <x:c r="V6" s="20"/>
      <x:c r="W6" s="20" t="str">
        <x:v>linear</x:v>
      </x:c>
      <x:c r="X6" s="20" t="str">
        <x:v>L</x:v>
      </x:c>
      <x:c r="Y6" s="20" t="str">
        <x:v>ALKALINE_PEPTIDE_BIOMINERALIZATION</x:v>
      </x:c>
      <x:c r="Z6" s="20" t="str">
        <x:v>LAB_W03</x:v>
      </x:c>
    </x:row>
    <x:row r="7" ht="19" customHeight="1">
      <x:c r="A7" s="20" t="str">
        <x:v>R028</x:v>
      </x:c>
      <x:c r="B7" s="20" t="str">
        <x:v>W05</x:v>
      </x:c>
      <x:c r="C7" s="20" t="str">
        <x:v>CCYGGPKKKRKPG</x:v>
      </x:c>
      <x:c r="D7" s="20" t="str">
        <x:v>atomically_precise_AuNC</x:v>
      </x:c>
      <x:c r="E7" s="20" t="str">
        <x:v>TRAIN_STRUCTURE_ONLY</x:v>
      </x:c>
      <x:c r="F7" s="20" t="n">
        <x:v>25</x:v>
      </x:c>
      <x:c r="G7" s="20"/>
      <x:c r="H7" s="20"/>
      <x:c r="I7" s="20" t="n">
        <x:v>10</x:v>
      </x:c>
      <x:c r="J7" s="20"/>
      <x:c r="K7" s="20" t="n">
        <x:v>15</x:v>
      </x:c>
      <x:c r="L7" s="20" t="n">
        <x:v>645</x:v>
      </x:c>
      <x:c r="M7" s="20"/>
      <x:c r="N7" s="20" t="str">
        <x:v>W05</x:v>
      </x:c>
      <x:c r="O7" s="20" t="str">
        <x:v>SV_POLYBASIC_FAMILY</x:v>
      </x:c>
      <x:c r="P7" s="20" t="str">
        <x:v>nuclearity,emission</x:v>
      </x:c>
      <x:c r="Q7" s="20" t="str">
        <x:v>pure_Au</x:v>
      </x:c>
      <x:c r="R7" s="20" t="str">
        <x:v>standard_product</x:v>
      </x:c>
      <x:c r="S7" s="20" t="str">
        <x:v>dispersed</x:v>
      </x:c>
      <x:c r="T7" s="20" t="str">
        <x:v>Synthesis quantities incomplete; no condition-model use.</x:v>
      </x:c>
      <x:c r="U7" s="20" t="str">
        <x:v>none_or_not_encoded</x:v>
      </x:c>
      <x:c r="V7" s="20" t="n">
        <x:v>9</x:v>
      </x:c>
      <x:c r="W7" s="20" t="str">
        <x:v>linear</x:v>
      </x:c>
      <x:c r="X7" s="20" t="str">
        <x:v>L</x:v>
      </x:c>
      <x:c r="Y7" s="20" t="str">
        <x:v>PEPTIDE_TEMPLATE_ATOMIC</x:v>
      </x:c>
      <x:c r="Z7" s="20" t="str">
        <x:v>LAB_W05</x:v>
      </x:c>
    </x:row>
    <x:row r="8" ht="19" customHeight="1">
      <x:c r="A8" s="20" t="str">
        <x:v>R029</x:v>
      </x:c>
      <x:c r="B8" s="20" t="str">
        <x:v>W06</x:v>
      </x:c>
      <x:c r="C8" s="20" t="str">
        <x:v>DGEAGC</x:v>
      </x:c>
      <x:c r="D8" s="20" t="str">
        <x:v>ultrasmall_AuNC_unknown_nuclearity</x:v>
      </x:c>
      <x:c r="E8" s="20" t="str">
        <x:v>TRAIN_OPTICAL_SIZE</x:v>
      </x:c>
      <x:c r="F8" s="20"/>
      <x:c r="G8" s="20" t="n">
        <x:v>1.3</x:v>
      </x:c>
      <x:c r="H8" s="20"/>
      <x:c r="I8" s="20"/>
      <x:c r="J8" s="20" t="n">
        <x:v>70</x:v>
      </x:c>
      <x:c r="K8" s="20" t="n">
        <x:v>2</x:v>
      </x:c>
      <x:c r="L8" s="20" t="n">
        <x:v>600</x:v>
      </x:c>
      <x:c r="M8" s="20"/>
      <x:c r="N8" s="20" t="str">
        <x:v>W06</x:v>
      </x:c>
      <x:c r="O8" s="20" t="str">
        <x:v>DGEAGC_FAMILY</x:v>
      </x:c>
      <x:c r="P8" s="20" t="str">
        <x:v>size,emission</x:v>
      </x:c>
      <x:c r="Q8" s="20" t="str">
        <x:v>pure_Au</x:v>
      </x:c>
      <x:c r="R8" s="20" t="str">
        <x:v>standard_product</x:v>
      </x:c>
      <x:c r="S8" s="20" t="str">
        <x:v>dispersed</x:v>
      </x:c>
      <x:c r="T8" s="20" t="str">
        <x:v>Methods sequence used; article typo retained in QC.</x:v>
      </x:c>
      <x:c r="U8" s="20" t="str">
        <x:v>none_or_not_encoded</x:v>
      </x:c>
      <x:c r="V8" s="20"/>
      <x:c r="W8" s="20" t="str">
        <x:v>linear</x:v>
      </x:c>
      <x:c r="X8" s="20" t="str">
        <x:v>L</x:v>
      </x:c>
      <x:c r="Y8" s="20" t="str">
        <x:v>THERMAL_PEPTIDE_AUNC</x:v>
      </x:c>
      <x:c r="Z8" s="20" t="str">
        <x:v>LAB_W06</x:v>
      </x:c>
    </x:row>
    <x:row r="9" ht="19" customHeight="1">
      <x:c r="A9" s="20" t="str">
        <x:v>R034</x:v>
      </x:c>
      <x:c r="B9" s="20" t="str">
        <x:v>W17</x:v>
      </x:c>
      <x:c r="C9" s="20" t="str">
        <x:v>YCY</x:v>
      </x:c>
      <x:c r="D9" s="20" t="str">
        <x:v>ultrasmall_AuNC_unknown_nuclearity</x:v>
      </x:c>
      <x:c r="E9" s="20" t="str">
        <x:v>TRAIN_OPTICAL_SIZE</x:v>
      </x:c>
      <x:c r="F9" s="20"/>
      <x:c r="G9" s="20" t="n">
        <x:v>1.8</x:v>
      </x:c>
      <x:c r="H9" s="20"/>
      <x:c r="I9" s="20" t="n">
        <x:v>10</x:v>
      </x:c>
      <x:c r="J9" s="20" t="n">
        <x:v>70</x:v>
      </x:c>
      <x:c r="K9" s="20" t="n">
        <x:v>8.25</x:v>
      </x:c>
      <x:c r="L9" s="20" t="n">
        <x:v>415</x:v>
      </x:c>
      <x:c r="M9" s="20" t="n">
        <x:v>1.2</x:v>
      </x:c>
      <x:c r="N9" s="20" t="str">
        <x:v>W17</x:v>
      </x:c>
      <x:c r="O9" s="20" t="str">
        <x:v>TRIPEPTIDE_YCY_SCY</x:v>
      </x:c>
      <x:c r="P9" s="20" t="str">
        <x:v>size,emission,QY</x:v>
      </x:c>
      <x:c r="Q9" s="20" t="str">
        <x:v>pure_Au</x:v>
      </x:c>
      <x:c r="R9" s="20" t="str">
        <x:v>supernatant_blue_fraction</x:v>
      </x:c>
      <x:c r="S9" s="20" t="str">
        <x:v>fractionated</x:v>
      </x:c>
      <x:c r="T9" s="20" t="str">
        <x:v>Same paper/batch family as R035-R036.</x:v>
      </x:c>
      <x:c r="U9" s="20" t="str">
        <x:v>none_or_not_encoded</x:v>
      </x:c>
      <x:c r="V9" s="20"/>
      <x:c r="W9" s="20" t="str">
        <x:v>linear</x:v>
      </x:c>
      <x:c r="X9" s="20" t="str">
        <x:v>L</x:v>
      </x:c>
      <x:c r="Y9" s="20" t="str">
        <x:v>ALKALINE_THERMAL_FRACTIONATION</x:v>
      </x:c>
      <x:c r="Z9" s="20" t="str">
        <x:v>LAB_W17</x:v>
      </x:c>
    </x:row>
    <x:row r="10" ht="19" customHeight="1">
      <x:c r="A10" s="20" t="str">
        <x:v>R035</x:v>
      </x:c>
      <x:c r="B10" s="20" t="str">
        <x:v>W17</x:v>
      </x:c>
      <x:c r="C10" s="20" t="str">
        <x:v>SCY</x:v>
      </x:c>
      <x:c r="D10" s="20" t="str">
        <x:v>ultrasmall_AuNC_unknown_nuclearity</x:v>
      </x:c>
      <x:c r="E10" s="20" t="str">
        <x:v>TRAIN_OPTICAL_SIZE</x:v>
      </x:c>
      <x:c r="F10" s="20"/>
      <x:c r="G10" s="20" t="n">
        <x:v>1.7</x:v>
      </x:c>
      <x:c r="H10" s="20"/>
      <x:c r="I10" s="20" t="n">
        <x:v>10</x:v>
      </x:c>
      <x:c r="J10" s="20" t="n">
        <x:v>70</x:v>
      </x:c>
      <x:c r="K10" s="20" t="n">
        <x:v>8.25</x:v>
      </x:c>
      <x:c r="L10" s="20" t="n">
        <x:v>415</x:v>
      </x:c>
      <x:c r="M10" s="20" t="n">
        <x:v>1.5</x:v>
      </x:c>
      <x:c r="N10" s="20" t="str">
        <x:v>W17</x:v>
      </x:c>
      <x:c r="O10" s="20" t="str">
        <x:v>TRIPEPTIDE_YCY_SCY</x:v>
      </x:c>
      <x:c r="P10" s="20" t="str">
        <x:v>size,emission,QY</x:v>
      </x:c>
      <x:c r="Q10" s="20" t="str">
        <x:v>pure_Au</x:v>
      </x:c>
      <x:c r="R10" s="20" t="str">
        <x:v>supernatant_blue_fraction</x:v>
      </x:c>
      <x:c r="S10" s="20" t="str">
        <x:v>fractionated</x:v>
      </x:c>
      <x:c r="T10" s="20" t="str">
        <x:v>Near-neighbor sequence to YCY; cluster together.</x:v>
      </x:c>
      <x:c r="U10" s="20" t="str">
        <x:v>none_or_not_encoded</x:v>
      </x:c>
      <x:c r="V10" s="20"/>
      <x:c r="W10" s="20" t="str">
        <x:v>linear</x:v>
      </x:c>
      <x:c r="X10" s="20" t="str">
        <x:v>L</x:v>
      </x:c>
      <x:c r="Y10" s="20" t="str">
        <x:v>ALKALINE_THERMAL_FRACTIONATION</x:v>
      </x:c>
      <x:c r="Z10" s="20" t="str">
        <x:v>LAB_W17</x:v>
      </x:c>
    </x:row>
    <x:row r="11" ht="19" customHeight="1">
      <x:c r="A11" s="20" t="str">
        <x:v>R036</x:v>
      </x:c>
      <x:c r="B11" s="20" t="str">
        <x:v>W17</x:v>
      </x:c>
      <x:c r="C11" s="20" t="str">
        <x:v>YCY</x:v>
      </x:c>
      <x:c r="D11" s="20" t="str">
        <x:v>ultrasmall_AuNC_unknown_nuclearity</x:v>
      </x:c>
      <x:c r="E11" s="20" t="str">
        <x:v>TRAIN_OPTICAL_SIZE</x:v>
      </x:c>
      <x:c r="F11" s="20"/>
      <x:c r="G11" s="20" t="n">
        <x:v>1.8</x:v>
      </x:c>
      <x:c r="H11" s="20"/>
      <x:c r="I11" s="20" t="n">
        <x:v>10</x:v>
      </x:c>
      <x:c r="J11" s="20" t="n">
        <x:v>70</x:v>
      </x:c>
      <x:c r="K11" s="20" t="n">
        <x:v>8.25</x:v>
      </x:c>
      <x:c r="L11" s="20" t="n">
        <x:v>670</x:v>
      </x:c>
      <x:c r="M11" s="20" t="n">
        <x:v>0.8</x:v>
      </x:c>
      <x:c r="N11" s="20" t="str">
        <x:v>W17</x:v>
      </x:c>
      <x:c r="O11" s="20" t="str">
        <x:v>TRIPEPTIDE_YCY_SCY</x:v>
      </x:c>
      <x:c r="P11" s="20" t="str">
        <x:v>size,emission,QY</x:v>
      </x:c>
      <x:c r="Q11" s="20" t="str">
        <x:v>pure_Au</x:v>
      </x:c>
      <x:c r="R11" s="20" t="str">
        <x:v>precipitate_red_fraction_recovered</x:v>
      </x:c>
      <x:c r="S11" s="20" t="str">
        <x:v>fractionated</x:v>
      </x:c>
      <x:c r="T11" s="20" t="str">
        <x:v>Same sequence as R034 but different isolated fraction; never random-split.</x:v>
      </x:c>
      <x:c r="U11" s="20" t="str">
        <x:v>none_or_not_encoded</x:v>
      </x:c>
      <x:c r="V11" s="20"/>
      <x:c r="W11" s="20" t="str">
        <x:v>linear</x:v>
      </x:c>
      <x:c r="X11" s="20" t="str">
        <x:v>L</x:v>
      </x:c>
      <x:c r="Y11" s="20" t="str">
        <x:v>ALKALINE_THERMAL_FRACTIONATION</x:v>
      </x:c>
      <x:c r="Z11" s="20" t="str">
        <x:v>LAB_W17</x:v>
      </x:c>
    </x:row>
    <x:row r="12" ht="19" customHeight="1">
      <x:c r="A12" s="20" t="str">
        <x:v>R037</x:v>
      </x:c>
      <x:c r="B12" s="20" t="str">
        <x:v>W15</x:v>
      </x:c>
      <x:c r="C12" s="20" t="str">
        <x:v>CCYLRRASLG</x:v>
      </x:c>
      <x:c r="D12" s="20" t="str">
        <x:v>ultrasmall_AuNC_unknown_nuclearity</x:v>
      </x:c>
      <x:c r="E12" s="20" t="str">
        <x:v>TRAIN_OPTICAL_QY</x:v>
      </x:c>
      <x:c r="F12" s="20"/>
      <x:c r="G12" s="20"/>
      <x:c r="H12" s="20"/>
      <x:c r="I12" s="20" t="n">
        <x:v>9</x:v>
      </x:c>
      <x:c r="J12" s="20"/>
      <x:c r="K12" s="20" t="n">
        <x:v>13</x:v>
      </x:c>
      <x:c r="L12" s="20"/>
      <x:c r="M12" s="20" t="n">
        <x:v>14.6</x:v>
      </x:c>
      <x:c r="N12" s="20" t="str">
        <x:v>W15</x:v>
      </x:c>
      <x:c r="O12" s="20" t="str">
        <x:v>CCY_PKA_SUBSTRATE</x:v>
      </x:c>
      <x:c r="P12" s="20" t="str">
        <x:v>QY</x:v>
      </x:c>
      <x:c r="Q12" s="20" t="str">
        <x:v>pure_Au</x:v>
      </x:c>
      <x:c r="R12" s="20" t="str">
        <x:v>standard_product</x:v>
      </x:c>
      <x:c r="S12" s="20" t="str">
        <x:v>dispersed</x:v>
      </x:c>
      <x:c r="T12" s="20" t="str">
        <x:v>QY/synthesis SI-grounded; emission withheld pending reconciliation.</x:v>
      </x:c>
      <x:c r="U12" s="20" t="str">
        <x:v>none_or_not_encoded</x:v>
      </x:c>
      <x:c r="V12" s="20"/>
      <x:c r="W12" s="20" t="str">
        <x:v>linear</x:v>
      </x:c>
      <x:c r="X12" s="20" t="str">
        <x:v>L</x:v>
      </x:c>
      <x:c r="Y12" s="20" t="str">
        <x:v>ALKALINE_DARK_PEPTIDE_AUNC</x:v>
      </x:c>
      <x:c r="Z12" s="20" t="str">
        <x:v>LAB_W15</x:v>
      </x:c>
    </x:row>
    <x:row r="13" ht="19" customHeight="1">
      <x:c r="A13" s="20" t="str">
        <x:v>R047</x:v>
      </x:c>
      <x:c r="B13" s="20" t="str">
        <x:v>W20</x:v>
      </x:c>
      <x:c r="C13" s="20" t="str">
        <x:v>ECE</x:v>
      </x:c>
      <x:c r="D13" s="20" t="str">
        <x:v>ultrasmall_AuNC_unknown_nuclearity</x:v>
      </x:c>
      <x:c r="E13" s="20" t="str">
        <x:v>TRAIN_OPTICAL_QY</x:v>
      </x:c>
      <x:c r="F13" s="20"/>
      <x:c r="G13" s="20"/>
      <x:c r="H13" s="20"/>
      <x:c r="I13" s="20"/>
      <x:c r="J13" s="20" t="n">
        <x:v>70</x:v>
      </x:c>
      <x:c r="K13" s="20" t="n">
        <x:v>8.25</x:v>
      </x:c>
      <x:c r="L13" s="20"/>
      <x:c r="M13" s="20" t="n">
        <x:v>7</x:v>
      </x:c>
      <x:c r="N13" s="20" t="str">
        <x:v>W20</x:v>
      </x:c>
      <x:c r="O13" s="20" t="str">
        <x:v>W20_ACIDIC_BASIC_PANEL</x:v>
      </x:c>
      <x:c r="P13" s="20" t="str">
        <x:v>QY</x:v>
      </x:c>
      <x:c r="Q13" s="20" t="str">
        <x:v>pure_Au</x:v>
      </x:c>
      <x:c r="R13" s="20" t="str">
        <x:v>standard_product</x:v>
      </x:c>
      <x:c r="S13" s="20" t="str">
        <x:v>dispersed</x:v>
      </x:c>
      <x:c r="T13" s="20" t="str">
        <x:v>Keep entire five-peptide panel in one paper group.</x:v>
      </x:c>
      <x:c r="U13" s="20" t="str">
        <x:v>none_or_not_encoded</x:v>
      </x:c>
      <x:c r="V13" s="20"/>
      <x:c r="W13" s="20" t="str">
        <x:v>linear</x:v>
      </x:c>
      <x:c r="X13" s="20" t="str">
        <x:v>L</x:v>
      </x:c>
      <x:c r="Y13" s="20" t="str">
        <x:v>TCEP_NABH4_THERMAL</x:v>
      </x:c>
      <x:c r="Z13" s="20" t="str">
        <x:v>LAB_W20</x:v>
      </x:c>
    </x:row>
    <x:row r="14" ht="19" customHeight="1">
      <x:c r="A14" s="20" t="str">
        <x:v>R048</x:v>
      </x:c>
      <x:c r="B14" s="20" t="str">
        <x:v>W20</x:v>
      </x:c>
      <x:c r="C14" s="20" t="str">
        <x:v>EECEE</x:v>
      </x:c>
      <x:c r="D14" s="20" t="str">
        <x:v>ultrasmall_AuNC_unknown_nuclearity</x:v>
      </x:c>
      <x:c r="E14" s="20" t="str">
        <x:v>TRAIN_OPTICAL_SIZE_QY</x:v>
      </x:c>
      <x:c r="F14" s="20"/>
      <x:c r="G14" s="20" t="n">
        <x:v>0.9</x:v>
      </x:c>
      <x:c r="H14" s="20" t="n">
        <x:v>1.1</x:v>
      </x:c>
      <x:c r="I14" s="20"/>
      <x:c r="J14" s="20" t="n">
        <x:v>70</x:v>
      </x:c>
      <x:c r="K14" s="20" t="n">
        <x:v>8.25</x:v>
      </x:c>
      <x:c r="L14" s="20" t="n">
        <x:v>740</x:v>
      </x:c>
      <x:c r="M14" s="20" t="n">
        <x:v>14</x:v>
      </x:c>
      <x:c r="N14" s="20" t="str">
        <x:v>W20</x:v>
      </x:c>
      <x:c r="O14" s="20" t="str">
        <x:v>W20_ACIDIC_BASIC_PANEL</x:v>
      </x:c>
      <x:c r="P14" s="20" t="str">
        <x:v>size,emission,QY</x:v>
      </x:c>
      <x:c r="Q14" s="20" t="str">
        <x:v>pure_Au</x:v>
      </x:c>
      <x:c r="R14" s="20" t="str">
        <x:v>standard_product</x:v>
      </x:c>
      <x:c r="S14" s="20" t="str">
        <x:v>dispersed</x:v>
      </x:c>
      <x:c r="T14" s="20" t="str">
        <x:v>MALDI Au25-like composition is not exact kernel proof.</x:v>
      </x:c>
      <x:c r="U14" s="20" t="str">
        <x:v>none_or_not_encoded</x:v>
      </x:c>
      <x:c r="V14" s="20"/>
      <x:c r="W14" s="20" t="str">
        <x:v>linear</x:v>
      </x:c>
      <x:c r="X14" s="20" t="str">
        <x:v>L</x:v>
      </x:c>
      <x:c r="Y14" s="20" t="str">
        <x:v>TCEP_NABH4_THERMAL</x:v>
      </x:c>
      <x:c r="Z14" s="20" t="str">
        <x:v>LAB_W20</x:v>
      </x:c>
    </x:row>
    <x:row r="15" ht="19" customHeight="1">
      <x:c r="A15" s="20" t="str">
        <x:v>R049</x:v>
      </x:c>
      <x:c r="B15" s="20" t="str">
        <x:v>W20</x:v>
      </x:c>
      <x:c r="C15" s="20" t="str">
        <x:v>EEECEEE</x:v>
      </x:c>
      <x:c r="D15" s="20" t="str">
        <x:v>ultrasmall_AuNC_unknown_nuclearity</x:v>
      </x:c>
      <x:c r="E15" s="20" t="str">
        <x:v>TRAIN_OPTICAL_QY</x:v>
      </x:c>
      <x:c r="F15" s="20"/>
      <x:c r="G15" s="20"/>
      <x:c r="H15" s="20"/>
      <x:c r="I15" s="20"/>
      <x:c r="J15" s="20" t="n">
        <x:v>70</x:v>
      </x:c>
      <x:c r="K15" s="20" t="n">
        <x:v>8.25</x:v>
      </x:c>
      <x:c r="L15" s="20"/>
      <x:c r="M15" s="20" t="n">
        <x:v>7</x:v>
      </x:c>
      <x:c r="N15" s="20" t="str">
        <x:v>W20</x:v>
      </x:c>
      <x:c r="O15" s="20" t="str">
        <x:v>W20_ACIDIC_BASIC_PANEL</x:v>
      </x:c>
      <x:c r="P15" s="20" t="str">
        <x:v>QY</x:v>
      </x:c>
      <x:c r="Q15" s="20" t="str">
        <x:v>pure_Au</x:v>
      </x:c>
      <x:c r="R15" s="20" t="str">
        <x:v>standard_product</x:v>
      </x:c>
      <x:c r="S15" s="20" t="str">
        <x:v>dispersed</x:v>
      </x:c>
      <x:c r="T15" s="20" t="str">
        <x:v>Same-paper panel.</x:v>
      </x:c>
      <x:c r="U15" s="20" t="str">
        <x:v>none_or_not_encoded</x:v>
      </x:c>
      <x:c r="V15" s="20"/>
      <x:c r="W15" s="20" t="str">
        <x:v>linear</x:v>
      </x:c>
      <x:c r="X15" s="20" t="str">
        <x:v>L</x:v>
      </x:c>
      <x:c r="Y15" s="20" t="str">
        <x:v>TCEP_NABH4_THERMAL</x:v>
      </x:c>
      <x:c r="Z15" s="20" t="str">
        <x:v>LAB_W20</x:v>
      </x:c>
    </x:row>
    <x:row r="16" ht="19" customHeight="1">
      <x:c r="A16" s="20" t="str">
        <x:v>R050</x:v>
      </x:c>
      <x:c r="B16" s="20" t="str">
        <x:v>W20</x:v>
      </x:c>
      <x:c r="C16" s="20" t="str">
        <x:v>GGCGG</x:v>
      </x:c>
      <x:c r="D16" s="20" t="str">
        <x:v>ultrasmall_AuNC_unknown_nuclearity</x:v>
      </x:c>
      <x:c r="E16" s="20" t="str">
        <x:v>TRAIN_OPTICAL_QY</x:v>
      </x:c>
      <x:c r="F16" s="20"/>
      <x:c r="G16" s="20"/>
      <x:c r="H16" s="20"/>
      <x:c r="I16" s="20"/>
      <x:c r="J16" s="20" t="n">
        <x:v>70</x:v>
      </x:c>
      <x:c r="K16" s="20" t="n">
        <x:v>8.25</x:v>
      </x:c>
      <x:c r="L16" s="20"/>
      <x:c r="M16" s="20" t="n">
        <x:v>5.6</x:v>
      </x:c>
      <x:c r="N16" s="20" t="str">
        <x:v>W20</x:v>
      </x:c>
      <x:c r="O16" s="20" t="str">
        <x:v>W20_ACIDIC_BASIC_PANEL</x:v>
      </x:c>
      <x:c r="P16" s="20" t="str">
        <x:v>QY</x:v>
      </x:c>
      <x:c r="Q16" s="20" t="str">
        <x:v>pure_Au</x:v>
      </x:c>
      <x:c r="R16" s="20" t="str">
        <x:v>standard_product</x:v>
      </x:c>
      <x:c r="S16" s="20" t="str">
        <x:v>dispersed</x:v>
      </x:c>
      <x:c r="T16" s="20" t="str">
        <x:v>Same-paper panel.</x:v>
      </x:c>
      <x:c r="U16" s="20" t="str">
        <x:v>none_or_not_encoded</x:v>
      </x:c>
      <x:c r="V16" s="20"/>
      <x:c r="W16" s="20" t="str">
        <x:v>linear</x:v>
      </x:c>
      <x:c r="X16" s="20" t="str">
        <x:v>L</x:v>
      </x:c>
      <x:c r="Y16" s="20" t="str">
        <x:v>TCEP_NABH4_THERMAL</x:v>
      </x:c>
      <x:c r="Z16" s="20" t="str">
        <x:v>LAB_W20</x:v>
      </x:c>
    </x:row>
    <x:row r="17" ht="19" customHeight="1">
      <x:c r="A17" s="20" t="str">
        <x:v>R051</x:v>
      </x:c>
      <x:c r="B17" s="20" t="str">
        <x:v>W20</x:v>
      </x:c>
      <x:c r="C17" s="20" t="str">
        <x:v>RRCRR</x:v>
      </x:c>
      <x:c r="D17" s="20" t="str">
        <x:v>ultrasmall_AuNC_unknown_nuclearity</x:v>
      </x:c>
      <x:c r="E17" s="20" t="str">
        <x:v>TRAIN_OPTICAL_QY</x:v>
      </x:c>
      <x:c r="F17" s="20"/>
      <x:c r="G17" s="20"/>
      <x:c r="H17" s="20"/>
      <x:c r="I17" s="20"/>
      <x:c r="J17" s="20" t="n">
        <x:v>70</x:v>
      </x:c>
      <x:c r="K17" s="20" t="n">
        <x:v>8.25</x:v>
      </x:c>
      <x:c r="L17" s="20"/>
      <x:c r="M17" s="20" t="n">
        <x:v>1.8</x:v>
      </x:c>
      <x:c r="N17" s="20" t="str">
        <x:v>W20</x:v>
      </x:c>
      <x:c r="O17" s="20" t="str">
        <x:v>W20_ACIDIC_BASIC_PANEL</x:v>
      </x:c>
      <x:c r="P17" s="20" t="str">
        <x:v>QY</x:v>
      </x:c>
      <x:c r="Q17" s="20" t="str">
        <x:v>pure_Au</x:v>
      </x:c>
      <x:c r="R17" s="20" t="str">
        <x:v>standard_product</x:v>
      </x:c>
      <x:c r="S17" s="20" t="str">
        <x:v>dispersed</x:v>
      </x:c>
      <x:c r="T17" s="20" t="str">
        <x:v>Strong charge contrast vs acidic peptides.</x:v>
      </x:c>
      <x:c r="U17" s="20" t="str">
        <x:v>none_or_not_encoded</x:v>
      </x:c>
      <x:c r="V17" s="20"/>
      <x:c r="W17" s="20" t="str">
        <x:v>linear</x:v>
      </x:c>
      <x:c r="X17" s="20" t="str">
        <x:v>L</x:v>
      </x:c>
      <x:c r="Y17" s="20" t="str">
        <x:v>TCEP_NABH4_THERMAL</x:v>
      </x:c>
      <x:c r="Z17" s="20" t="str">
        <x:v>LAB_W20</x:v>
      </x:c>
    </x:row>
    <x:row r="18" ht="19" customHeight="1">
      <x:c r="A18" s="20" t="str">
        <x:v>R052</x:v>
      </x:c>
      <x:c r="B18" s="20" t="str">
        <x:v>W21</x:v>
      </x:c>
      <x:c r="C18" s="20" t="str">
        <x:v>CCYEAAAKEAAAKEAAAK</x:v>
      </x:c>
      <x:c r="D18" s="20" t="str">
        <x:v>ultrasmall_AuNC_unknown_nuclearity</x:v>
      </x:c>
      <x:c r="E18" s="20" t="str">
        <x:v>TRAIN_OPTICAL_SIZE</x:v>
      </x:c>
      <x:c r="F18" s="20"/>
      <x:c r="G18" s="20" t="n">
        <x:v>1.1</x:v>
      </x:c>
      <x:c r="H18" s="20" t="n">
        <x:v>3</x:v>
      </x:c>
      <x:c r="I18" s="20" t="n">
        <x:v>13</x:v>
      </x:c>
      <x:c r="J18" s="20"/>
      <x:c r="K18" s="20" t="n">
        <x:v>12</x:v>
      </x:c>
      <x:c r="L18" s="20" t="n">
        <x:v>660</x:v>
      </x:c>
      <x:c r="M18" s="20"/>
      <x:c r="N18" s="20" t="str">
        <x:v>W21</x:v>
      </x:c>
      <x:c r="O18" s="20" t="str">
        <x:v>CCY_EAAAK_FAMILY</x:v>
      </x:c>
      <x:c r="P18" s="20" t="str">
        <x:v>size,emission</x:v>
      </x:c>
      <x:c r="Q18" s="20" t="str">
        <x:v>pure_Au</x:v>
      </x:c>
      <x:c r="R18" s="20" t="str">
        <x:v>standard_product</x:v>
      </x:c>
      <x:c r="S18" s="20" t="str">
        <x:v>dispersed</x:v>
      </x:c>
      <x:c r="T18" s="20" t="str">
        <x:v>Temperature missing in primary text; left missing.</x:v>
      </x:c>
      <x:c r="U18" s="20" t="str">
        <x:v>none_or_not_encoded</x:v>
      </x:c>
      <x:c r="V18" s="20"/>
      <x:c r="W18" s="20" t="str">
        <x:v>linear</x:v>
      </x:c>
      <x:c r="X18" s="20" t="str">
        <x:v>L</x:v>
      </x:c>
      <x:c r="Y18" s="20" t="str">
        <x:v>ALKALINE_DARK_PEPTIDE_AUNC</x:v>
      </x:c>
      <x:c r="Z18" s="20" t="str">
        <x:v>LAB_W21</x:v>
      </x:c>
    </x:row>
    <x:row r="19" ht="19" customHeight="1">
      <x:c r="A19" s="20" t="str">
        <x:v>R053</x:v>
      </x:c>
      <x:c r="B19" s="20" t="str">
        <x:v>W22</x:v>
      </x:c>
      <x:c r="C19" s="20" t="str">
        <x:v>RGDAEAKAEAKCCYYCCAEAKAEAKRGD</x:v>
      </x:c>
      <x:c r="D19" s="20" t="str">
        <x:v>ultrasmall_AuNC_unknown_nuclearity</x:v>
      </x:c>
      <x:c r="E19" s="20" t="str">
        <x:v>TRAIN_THERANOSTIC_OPTICAL</x:v>
      </x:c>
      <x:c r="F19" s="20"/>
      <x:c r="G19" s="20" t="n">
        <x:v>1.8</x:v>
      </x:c>
      <x:c r="H19" s="20"/>
      <x:c r="I19" s="20"/>
      <x:c r="J19" s="20"/>
      <x:c r="K19" s="20"/>
      <x:c r="L19" s="20" t="n">
        <x:v>660</x:v>
      </x:c>
      <x:c r="M19" s="20" t="n">
        <x:v>21.3</x:v>
      </x:c>
      <x:c r="N19" s="20" t="str">
        <x:v>W22</x:v>
      </x:c>
      <x:c r="O19" s="20" t="str">
        <x:v>PNF_CCYYCC_FAMILY</x:v>
      </x:c>
      <x:c r="P19" s="20" t="str">
        <x:v>size,emission,QY</x:v>
      </x:c>
      <x:c r="Q19" s="20" t="str">
        <x:v>pure_Au</x:v>
      </x:c>
      <x:c r="R19" s="20" t="str">
        <x:v>self_assembled_nanofiber</x:v>
      </x:c>
      <x:c r="S19" s="20" t="str">
        <x:v>assembled</x:v>
      </x:c>
      <x:c r="T19" s="20" t="str">
        <x:v>QY belongs to assembled PNF-AuNC, so assembly-state must be a feature.</x:v>
      </x:c>
      <x:c r="U19" s="20" t="str">
        <x:v>none_or_not_encoded</x:v>
      </x:c>
      <x:c r="V19" s="20"/>
      <x:c r="W19" s="20" t="str">
        <x:v>linear</x:v>
      </x:c>
      <x:c r="X19" s="20" t="str">
        <x:v>L</x:v>
      </x:c>
      <x:c r="Y19" s="20" t="str">
        <x:v>BIOMINERALIZATION_SELF_ASSEMBLY</x:v>
      </x:c>
      <x:c r="Z19" s="20" t="str">
        <x:v>LAB_W22</x:v>
      </x:c>
    </x:row>
    <x:row r="20" ht="19" customHeight="1">
      <x:c r="A20" s="20" t="str">
        <x:v>R055</x:v>
      </x:c>
      <x:c r="B20" s="20" t="str">
        <x:v>W18</x:v>
      </x:c>
      <x:c r="C20" s="20" t="str">
        <x:v>CCIHK</x:v>
      </x:c>
      <x:c r="D20" s="20" t="str">
        <x:v>atomically_precise_AuNC</x:v>
      </x:c>
      <x:c r="E20" s="20" t="str">
        <x:v>TRAIN_CORE</x:v>
      </x:c>
      <x:c r="F20" s="20" t="n">
        <x:v>8</x:v>
      </x:c>
      <x:c r="G20" s="20" t="n">
        <x:v>1.1</x:v>
      </x:c>
      <x:c r="H20" s="20"/>
      <x:c r="I20" s="20" t="n">
        <x:v>8</x:v>
      </x:c>
      <x:c r="J20" s="20"/>
      <x:c r="K20" s="20" t="n">
        <x:v>0.333</x:v>
      </x:c>
      <x:c r="L20" s="20"/>
      <x:c r="M20" s="20" t="n">
        <x:v>21.7</x:v>
      </x:c>
      <x:c r="N20" s="20" t="str">
        <x:v>W18</x:v>
      </x:c>
      <x:c r="O20" s="20" t="str">
        <x:v>W18_PTM_AU8</x:v>
      </x:c>
      <x:c r="P20" s="20" t="str">
        <x:v>nuclearity,size,QY</x:v>
      </x:c>
      <x:c r="Q20" s="20" t="str">
        <x:v>pure_Au</x:v>
      </x:c>
      <x:c r="R20" s="20" t="str">
        <x:v>standard_product</x:v>
      </x:c>
      <x:c r="S20" s="20" t="str">
        <x:v>dispersed</x:v>
      </x:c>
      <x:c r="T20" s="20" t="str">
        <x:v>Exact Au8(peptide)2(MPA)2 primary/SI record; Lys is acetylated and must be encoded explicitly.</x:v>
      </x:c>
      <x:c r="U20" s="20" t="str">
        <x:v>lys_acetylated</x:v>
      </x:c>
      <x:c r="V20" s="20" t="n">
        <x:v>2</x:v>
      </x:c>
      <x:c r="W20" s="20" t="str">
        <x:v>linear</x:v>
      </x:c>
      <x:c r="X20" s="20" t="str">
        <x:v>L</x:v>
      </x:c>
      <x:c r="Y20" s="20" t="str">
        <x:v>MPA_NABH4_SHORT_PROTOCOL</x:v>
      </x:c>
      <x:c r="Z20" s="20" t="str">
        <x:v>LAB_W18</x:v>
      </x:c>
    </x:row>
    <x:row r="21" ht="19" customHeight="1">
      <x:c r="A21" s="20" t="str">
        <x:v>R057</x:v>
      </x:c>
      <x:c r="B21" s="20" t="str">
        <x:v>W18</x:v>
      </x:c>
      <x:c r="C21" s="20" t="str">
        <x:v>CCLRRASLG</x:v>
      </x:c>
      <x:c r="D21" s="20" t="str">
        <x:v>ultrasmall_AuNC_unknown_nuclearity</x:v>
      </x:c>
      <x:c r="E21" s="20" t="str">
        <x:v>TRAIN_OPTICAL</x:v>
      </x:c>
      <x:c r="F21" s="20"/>
      <x:c r="G21" s="20"/>
      <x:c r="H21" s="20"/>
      <x:c r="I21" s="20" t="n">
        <x:v>8</x:v>
      </x:c>
      <x:c r="J21" s="20"/>
      <x:c r="K21" s="20" t="n">
        <x:v>0.333</x:v>
      </x:c>
      <x:c r="L21" s="20" t="n">
        <x:v>450</x:v>
      </x:c>
      <x:c r="M21" s="20"/>
      <x:c r="N21" s="20" t="str">
        <x:v>W18</x:v>
      </x:c>
      <x:c r="O21" s="20" t="str">
        <x:v>W18_PTM_PANEL</x:v>
      </x:c>
      <x:c r="P21" s="20" t="str">
        <x:v>emission</x:v>
      </x:c>
      <x:c r="Q21" s="20" t="str">
        <x:v>pure_Au</x:v>
      </x:c>
      <x:c r="R21" s="20" t="str">
        <x:v>standard_product</x:v>
      </x:c>
      <x:c r="S21" s="20" t="str">
        <x:v>dispersed</x:v>
      </x:c>
      <x:c r="T21" s="20" t="str">
        <x:v>Same W18 paper group as R055; do not split same-paper examples across train/test.</x:v>
      </x:c>
      <x:c r="U21" s="20" t="str">
        <x:v>none</x:v>
      </x:c>
      <x:c r="V21" s="20"/>
      <x:c r="W21" s="20" t="str">
        <x:v>linear</x:v>
      </x:c>
      <x:c r="X21" s="20" t="str">
        <x:v>L</x:v>
      </x:c>
      <x:c r="Y21" s="20" t="str">
        <x:v>MPA_NABH4_SHORT_PROTOCOL</x:v>
      </x:c>
      <x:c r="Z21" s="20" t="str">
        <x:v>LAB_W18</x:v>
      </x:c>
    </x:row>
    <x:row r="22" ht="19" customHeight="1">
      <x:c r="A22" s="20" t="str">
        <x:v>R058</x:v>
      </x:c>
      <x:c r="B22" s="20" t="str">
        <x:v>W24</x:v>
      </x:c>
      <x:c r="C22" s="20" t="str">
        <x:v>CGRPGRPGRP</x:v>
      </x:c>
      <x:c r="D22" s="20" t="str">
        <x:v>atomically_precise_AuNC</x:v>
      </x:c>
      <x:c r="E22" s="20" t="str">
        <x:v>TRAIN_CORE_STRUCTURE_OPTICAL</x:v>
      </x:c>
      <x:c r="F22" s="20" t="n">
        <x:v>16</x:v>
      </x:c>
      <x:c r="G22" s="20" t="n">
        <x:v>0.74</x:v>
      </x:c>
      <x:c r="H22" s="20"/>
      <x:c r="I22" s="20"/>
      <x:c r="J22" s="20"/>
      <x:c r="K22" s="20"/>
      <x:c r="L22" s="20" t="n">
        <x:v>680</x:v>
      </x:c>
      <x:c r="M22" s="20"/>
      <x:c r="N22" s="20" t="str">
        <x:v>W24</x:v>
      </x:c>
      <x:c r="O22" s="20" t="str">
        <x:v>DESIGNER_CGRP3</x:v>
      </x:c>
      <x:c r="P22" s="20" t="str">
        <x:v>nuclearity,size,emission</x:v>
      </x:c>
      <x:c r="Q22" s="20" t="str">
        <x:v>pure_Au</x:v>
      </x:c>
      <x:c r="R22" s="20" t="str">
        <x:v>standard_product</x:v>
      </x:c>
      <x:c r="S22" s="20" t="str">
        <x:v>dispersed</x:v>
      </x:c>
      <x:c r="T22" s="20" t="str">
        <x:v>Atomic Au16 record. Core diameter 0.74 nm is derived from primary SAXS radius 3.7 Å; synthesis quantities await ESI.</x:v>
      </x:c>
      <x:c r="U22" s="20" t="str">
        <x:v>none</x:v>
      </x:c>
      <x:c r="V22" s="20" t="n">
        <x:v>1</x:v>
      </x:c>
      <x:c r="W22" s="20" t="str">
        <x:v>linear</x:v>
      </x:c>
      <x:c r="X22" s="20" t="str">
        <x:v>L</x:v>
      </x:c>
      <x:c r="Y22" s="20" t="str">
        <x:v>DESIGNER_PEPTIDE_NABH4</x:v>
      </x:c>
      <x:c r="Z22" s="20" t="str">
        <x:v>LAB_W24</x:v>
      </x:c>
    </x:row>
    <x:row r="23" ht="19" customHeight="1">
      <x:c r="A23" s="20" t="str">
        <x:v>R062</x:v>
      </x:c>
      <x:c r="B23" s="20" t="str">
        <x:v>W26</x:v>
      </x:c>
      <x:c r="C23" s="20" t="str">
        <x:v>CCYRGRKKRRQRRR</x:v>
      </x:c>
      <x:c r="D23" s="20" t="str">
        <x:v>atomically_precise_AuNC</x:v>
      </x:c>
      <x:c r="E23" s="20" t="str">
        <x:v>TRAIN_CORE</x:v>
      </x:c>
      <x:c r="F23" s="20" t="n">
        <x:v>25</x:v>
      </x:c>
      <x:c r="G23" s="20" t="n">
        <x:v>1.5</x:v>
      </x:c>
      <x:c r="H23" s="20"/>
      <x:c r="I23" s="20" t="n">
        <x:v>10</x:v>
      </x:c>
      <x:c r="J23" s="20"/>
      <x:c r="K23" s="20" t="n">
        <x:v>12</x:v>
      </x:c>
      <x:c r="L23" s="20" t="n">
        <x:v>677</x:v>
      </x:c>
      <x:c r="M23" s="20" t="n">
        <x:v>11</x:v>
      </x:c>
      <x:c r="N23" s="20" t="str">
        <x:v>W26</x:v>
      </x:c>
      <x:c r="O23" s="20" t="str">
        <x:v>CCYTAT_AU25</x:v>
      </x:c>
      <x:c r="P23" s="20" t="str">
        <x:v>nuclearity,size,emission,QY</x:v>
      </x:c>
      <x:c r="Q23" s="20" t="str">
        <x:v>pure_Au</x:v>
      </x:c>
      <x:c r="R23" s="20" t="str">
        <x:v>standard_product</x:v>
      </x:c>
      <x:c r="S23" s="20" t="str">
        <x:v>dispersed</x:v>
      </x:c>
      <x:c r="T23" s="20" t="str">
        <x:v>Exact Au25-core CCYTAT record; mixed peptide/sulfur shell means peptide ligand count is intentionally left missing.</x:v>
      </x:c>
      <x:c r="U23" s="20" t="str">
        <x:v>none</x:v>
      </x:c>
      <x:c r="V23" s="20"/>
      <x:c r="W23" s="20" t="str">
        <x:v>linear</x:v>
      </x:c>
      <x:c r="X23" s="20" t="str">
        <x:v>L</x:v>
      </x:c>
      <x:c r="Y23" s="20" t="str">
        <x:v>ALKALINE_DARK_PEPTIDE_BIOMINERALIZATION</x:v>
      </x:c>
      <x:c r="Z23" s="20" t="str">
        <x:v>LAB_W26</x:v>
      </x:c>
    </x:row>
    <x:row r="24" ht="19" customHeight="1">
      <x:c r="A24" s="20" t="str">
        <x:v>R064</x:v>
      </x:c>
      <x:c r="B24" s="20" t="str">
        <x:v>W28</x:v>
      </x:c>
      <x:c r="C24" s="20" t="str">
        <x:v>CR</x:v>
      </x:c>
      <x:c r="D24" s="20" t="str">
        <x:v>atomically_precise_AuNC</x:v>
      </x:c>
      <x:c r="E24" s="20" t="str">
        <x:v>TRAIN_CORE_NUCLEARITY</x:v>
      </x:c>
      <x:c r="F24" s="20" t="n">
        <x:v>23</x:v>
      </x:c>
      <x:c r="G24" s="20"/>
      <x:c r="H24" s="20"/>
      <x:c r="I24" s="20"/>
      <x:c r="J24" s="20" t="n">
        <x:v>0</x:v>
      </x:c>
      <x:c r="K24" s="20"/>
      <x:c r="L24" s="20"/>
      <x:c r="M24" s="20"/>
      <x:c r="N24" s="20" t="str">
        <x:v>W28</x:v>
      </x:c>
      <x:c r="O24" s="20" t="str">
        <x:v>CR_AU23</x:v>
      </x:c>
      <x:c r="P24" s="20" t="str">
        <x:v>nuclearity</x:v>
      </x:c>
      <x:c r="Q24" s="20" t="str">
        <x:v>pure_Au</x:v>
      </x:c>
      <x:c r="R24" s="20" t="str">
        <x:v>standard_product</x:v>
      </x:c>
      <x:c r="S24" s="20" t="str">
        <x:v>dispersed</x:v>
      </x:c>
      <x:c r="T24" s="20" t="str">
        <x:v>Exact Au23(CR)14 formula; multi-stage cold/alkaline/NaBH4 synthesis retained as process text rather than forced into one scalar time.</x:v>
      </x:c>
      <x:c r="U24" s="20" t="str">
        <x:v>none</x:v>
      </x:c>
      <x:c r="V24" s="20" t="n">
        <x:v>14</x:v>
      </x:c>
      <x:c r="W24" s="20" t="str">
        <x:v>linear</x:v>
      </x:c>
      <x:c r="X24" s="20" t="str">
        <x:v>L</x:v>
      </x:c>
      <x:c r="Y24" s="20" t="str">
        <x:v>COLD_AGING_NABH4</x:v>
      </x:c>
      <x:c r="Z24" s="20" t="str">
        <x:v>LAB_W28</x:v>
      </x:c>
    </x:row>
    <x:row r="25" ht="19" customHeight="1">
      <x:c r="A25" s="20" t="str">
        <x:v>R065</x:v>
      </x:c>
      <x:c r="B25" s="20" t="str">
        <x:v>W29</x:v>
      </x:c>
      <x:c r="C25" s="20" t="str">
        <x:v>RGDC</x:v>
      </x:c>
      <x:c r="D25" s="20" t="str">
        <x:v>atomically_precise_AuNC</x:v>
      </x:c>
      <x:c r="E25" s="20" t="str">
        <x:v>TRAIN_CORE_NUCLEARITY_OPTICAL</x:v>
      </x:c>
      <x:c r="F25" s="20" t="n">
        <x:v>16</x:v>
      </x:c>
      <x:c r="G25" s="20"/>
      <x:c r="H25" s="20"/>
      <x:c r="I25" s="20" t="n">
        <x:v>10</x:v>
      </x:c>
      <x:c r="J25" s="20"/>
      <x:c r="K25" s="20" t="n">
        <x:v>0.5</x:v>
      </x:c>
      <x:c r="L25" s="20" t="n">
        <x:v>770</x:v>
      </x:c>
      <x:c r="M25" s="20"/>
      <x:c r="N25" s="20" t="str">
        <x:v>W29</x:v>
      </x:c>
      <x:c r="O25" s="20" t="str">
        <x:v>RGDC_AU16</x:v>
      </x:c>
      <x:c r="P25" s="20" t="str">
        <x:v>nuclearity,emission</x:v>
      </x:c>
      <x:c r="Q25" s="20" t="str">
        <x:v>pure_Au</x:v>
      </x:c>
      <x:c r="R25" s="20" t="str">
        <x:v>standard_product</x:v>
      </x:c>
      <x:c r="S25" s="20" t="str">
        <x:v>dispersed</x:v>
      </x:c>
      <x:c r="T25" s="20" t="str">
        <x:v>Photochemical Au16(RGDC)14; exact atomic formula from primary paper, detailed conditions supported by associated patent.</x:v>
      </x:c>
      <x:c r="U25" s="20" t="str">
        <x:v>none</x:v>
      </x:c>
      <x:c r="V25" s="20" t="n">
        <x:v>14</x:v>
      </x:c>
      <x:c r="W25" s="20" t="str">
        <x:v>linear</x:v>
      </x:c>
      <x:c r="X25" s="20" t="str">
        <x:v>L</x:v>
      </x:c>
      <x:c r="Y25" s="20" t="str">
        <x:v>PHOTOCHEMICAL_OMNIRAD</x:v>
      </x:c>
      <x:c r="Z25" s="20" t="str">
        <x:v>STAMPLECOSKIE_PHOTOCHEM</x:v>
      </x:c>
    </x:row>
    <x:row r="26" ht="19" customHeight="1">
      <x:c r="A26" s="20" t="str">
        <x:v>R066</x:v>
      </x:c>
      <x:c r="B26" s="20" t="str">
        <x:v>W30</x:v>
      </x:c>
      <x:c r="C26" s="20" t="str">
        <x:v>KCK</x:v>
      </x:c>
      <x:c r="D26" s="20" t="str">
        <x:v>atomically_precise_AuNC</x:v>
      </x:c>
      <x:c r="E26" s="20" t="str">
        <x:v>TRAIN_CORE_NUCLEARITY_OPTICAL</x:v>
      </x:c>
      <x:c r="F26" s="20" t="n">
        <x:v>22</x:v>
      </x:c>
      <x:c r="G26" s="20"/>
      <x:c r="H26" s="20"/>
      <x:c r="I26" s="20" t="n">
        <x:v>11</x:v>
      </x:c>
      <x:c r="J26" s="20"/>
      <x:c r="K26" s="20" t="n">
        <x:v>24.2</x:v>
      </x:c>
      <x:c r="L26" s="20" t="n">
        <x:v>790</x:v>
      </x:c>
      <x:c r="M26" s="20"/>
      <x:c r="N26" s="20" t="str">
        <x:v>W30</x:v>
      </x:c>
      <x:c r="O26" s="20" t="str">
        <x:v>KCK_AU22</x:v>
      </x:c>
      <x:c r="P26" s="20" t="str">
        <x:v>nuclearity,emission</x:v>
      </x:c>
      <x:c r="Q26" s="20" t="str">
        <x:v>pure_Au</x:v>
      </x:c>
      <x:c r="R26" s="20" t="str">
        <x:v>size_focused_product</x:v>
      </x:c>
      <x:c r="S26" s="20" t="str">
        <x:v>dispersed</x:v>
      </x:c>
      <x:c r="T26" s="20" t="str">
        <x:v>Au22(KCK)16 shares the Stamplecoskie photochemical platform with W29; lab-aware validation groups W29/W30 together.</x:v>
      </x:c>
      <x:c r="U26" s="20" t="str">
        <x:v>none</x:v>
      </x:c>
      <x:c r="V26" s="20" t="n">
        <x:v>16</x:v>
      </x:c>
      <x:c r="W26" s="20" t="str">
        <x:v>linear</x:v>
      </x:c>
      <x:c r="X26" s="20" t="str">
        <x:v>L</x:v>
      </x:c>
      <x:c r="Y26" s="20" t="str">
        <x:v>PHOTOCHEMICAL_OMNIRAD_SIZE_FOCUS</x:v>
      </x:c>
      <x:c r="Z26" s="20" t="str">
        <x:v>STAMPLECOSKIE_PHOTOCHEM</x:v>
      </x:c>
    </x:row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  <x:row r="101" ht="19" customHeight="1"/>
    <x:row r="102" ht="19" customHeight="1"/>
    <x:row r="103" ht="19" customHeight="1"/>
    <x:row r="104" ht="19" customHeight="1"/>
    <x:row r="105" ht="19" customHeight="1"/>
    <x:row r="106" ht="19" customHeight="1"/>
    <x:row r="107" ht="19" customHeight="1"/>
    <x:row r="108" ht="19" customHeight="1"/>
    <x:row r="109" ht="19" customHeight="1"/>
    <x:row r="110" ht="19" customHeight="1"/>
    <x:row r="111" ht="19" customHeight="1"/>
    <x:row r="112" ht="19" customHeight="1"/>
    <x:row r="113" ht="19" customHeight="1"/>
    <x:row r="114" ht="19" customHeight="1"/>
    <x:row r="115" ht="19" customHeight="1"/>
    <x:row r="116" ht="19" customHeight="1"/>
    <x:row r="117" ht="19" customHeight="1"/>
    <x:row r="118" ht="19" customHeight="1"/>
    <x:row r="119" ht="19" customHeight="1"/>
    <x:row r="120" ht="19" customHeight="1"/>
    <x:row r="121" ht="19" customHeight="1"/>
    <x:row r="122" ht="19" customHeight="1"/>
    <x:row r="123" ht="19" customHeight="1"/>
    <x:row r="124" ht="19" customHeight="1"/>
    <x:row r="125" ht="19" customHeight="1"/>
    <x:row r="126" ht="19" customHeight="1"/>
    <x:row r="127" ht="19" customHeight="1"/>
    <x:row r="128" ht="19" customHeight="1"/>
    <x:row r="129" ht="19" customHeight="1"/>
    <x:row r="130" ht="19" customHeight="1"/>
    <x:row r="131" ht="19" customHeight="1"/>
    <x:row r="132" ht="19" customHeight="1"/>
    <x:row r="133" ht="19" customHeight="1"/>
    <x:row r="134" ht="19" customHeight="1"/>
    <x:row r="135" ht="19" customHeight="1"/>
    <x:row r="136" ht="19" customHeight="1"/>
    <x:row r="137" ht="19" customHeight="1"/>
    <x:row r="138" ht="19" customHeight="1"/>
    <x:row r="139" ht="19" customHeight="1"/>
    <x:row r="140" ht="19" customHeight="1"/>
  </x:sheetData>
  <x:pageMargins left="0.7" right="0.7" top="0.75" bottom="0.75" header="0.3" footer="0.3"/>
  <x:tableParts count="1">
    <x:tablePart xmlns:r="http://schemas.openxmlformats.org/officeDocument/2006/relationships" r:id="Re88deea107434ebd"/>
  </x:tableParts>
</x:worksheet>
</file>

<file path=xl/worksheets/sheet41.xml><?xml version="1.0" encoding="utf-8"?>
<x:worksheet xmlns:x="http://schemas.openxmlformats.org/spreadsheetml/2006/main">
  <x:sheetFormatPr defaultRowHeight="15"/>
  <x:sheetData>
    <x:row r="1" ht="30" customHeight="1">
      <x:c r="A1" s="66" t="str">
        <x:v>Explicit AuNC Formation Positives and Matched Failures — v0.6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</x:row>
    <x:row r="2" ht="19" customHeight="1">
      <x:c r="A2"/>
      <x:c r="B2"/>
      <x:c r="C2"/>
      <x:c r="D2"/>
      <x:c r="E2"/>
      <x:c r="F2"/>
      <x:c r="G2"/>
      <x:c r="H2"/>
      <x:c r="I2"/>
      <x:c r="J2"/>
      <x:c r="K2"/>
    </x:row>
    <x:row r="3" ht="34" customHeight="1">
      <x:c r="A3" t="str">
        <x:v>Control_ID</x:v>
      </x:c>
      <x:c r="B3" t="str">
        <x:v>Source_ID</x:v>
      </x:c>
      <x:c r="C3" t="str">
        <x:v>Sequence</x:v>
      </x:c>
      <x:c r="D3" t="str">
        <x:v>Outcome</x:v>
      </x:c>
      <x:c r="E3" t="str">
        <x:v>Fluorescence</x:v>
      </x:c>
      <x:c r="F3" t="str">
        <x:v>Material_Observed</x:v>
      </x:c>
      <x:c r="G3" t="str">
        <x:v>Matched_Counterpart</x:v>
      </x:c>
      <x:c r="H3" t="str">
        <x:v>Conditions_Matched</x:v>
      </x:c>
      <x:c r="I3" t="str">
        <x:v>Training_Status</x:v>
      </x:c>
      <x:c r="J3" t="str">
        <x:v>DOI_URL</x:v>
      </x:c>
      <x:c r="K3" t="str">
        <x:v>Scientific_Note</x:v>
      </x:c>
    </x:row>
    <x:row r="4" ht="19" customHeight="1">
      <x:c r="A4" t="str">
        <x:v>F001</x:v>
      </x:c>
      <x:c r="B4" t="str">
        <x:v>W22</x:v>
      </x:c>
      <x:c r="C4" t="str">
        <x:v>RGDAEAKAEAKCCYYCCAEAKAEAKRGD</x:v>
      </x:c>
      <x:c r="D4" t="str">
        <x:v>FORM_AUNC</x:v>
      </x:c>
      <x:c r="E4" t="str">
        <x:v>Strong</x:v>
      </x:c>
      <x:c r="F4" t="str">
        <x:v>~1.8 nm AuNC; self-assembled PNF-AuNC</x:v>
      </x:c>
      <x:c r="G4" t="str">
        <x:v>RGDAEAKAEAKAEAKCCY</x:v>
      </x:c>
      <x:c r="H4" t="str">
        <x:v>YES — matched study conditions</x:v>
      </x:c>
      <x:c r="I4" t="str">
        <x:v>FORMATION_POSITIVE</x:v>
      </x:c>
      <x:c r="J4" t="str">
        <x:v>https://doi.org/10.1021/acs.bioconjchem.7b00312</x:v>
      </x:c>
      <x:c r="K4" t="str">
        <x:v>Positive counterpart for the W22 matched failure.</x:v>
      </x:c>
    </x:row>
    <x:row r="5" ht="19" customHeight="1">
      <x:c r="A5" t="str">
        <x:v>F002</x:v>
      </x:c>
      <x:c r="B5" t="str">
        <x:v>W22</x:v>
      </x:c>
      <x:c r="C5" t="str">
        <x:v>RGDAEAKAEAKAEAKCCY</x:v>
      </x:c>
      <x:c r="D5" t="str">
        <x:v>FAIL_AUNC</x:v>
      </x:c>
      <x:c r="E5" t="str">
        <x:v>Almost none</x:v>
      </x:c>
      <x:c r="F5" t="str">
        <x:v>Many Au nanoparticles by TEM</x:v>
      </x:c>
      <x:c r="G5" t="str">
        <x:v>RGDAEAKAEAKCCYYCCAEAKAEAKRGD</x:v>
      </x:c>
      <x:c r="H5" t="str">
        <x:v>YES — reported same conditions</x:v>
      </x:c>
      <x:c r="I5" t="str">
        <x:v>FORMATION_NEGATIVE</x:v>
      </x:c>
      <x:c r="J5" t="str">
        <x:v>https://doi.org/10.1021/acs.bioconjchem.7b00312</x:v>
      </x:c>
      <x:c r="K5" t="str">
        <x:v>Explicit sequence-level failure/control.</x:v>
      </x:c>
    </x:row>
    <x:row r="6" ht="19" customHeight="1">
      <x:c r="A6" t="str">
        <x:v>F003</x:v>
      </x:c>
      <x:c r="B6" t="str">
        <x:v>W24</x:v>
      </x:c>
      <x:c r="C6" t="str">
        <x:v>CGRPGRPGRP</x:v>
      </x:c>
      <x:c r="D6" t="str">
        <x:v>FORM_AUNC</x:v>
      </x:c>
      <x:c r="E6" t="str">
        <x:v>Yes; λem 680 nm</x:v>
      </x:c>
      <x:c r="F6" t="str">
        <x:v>Atomic Au16 peptide-caged AuNC</x:v>
      </x:c>
      <x:c r="G6" t="str">
        <x:v>GRPGRPGRP; CGRGGRGGRG</x:v>
      </x:c>
      <x:c r="H6" t="str">
        <x:v>YES — matched designer-peptide study</x:v>
      </x:c>
      <x:c r="I6" t="str">
        <x:v>FORMATION_POSITIVE</x:v>
      </x:c>
      <x:c r="J6" t="str">
        <x:v>https://doi.org/10.1039/C4CC03240C</x:v>
      </x:c>
      <x:c r="K6" t="str">
        <x:v>Positive atomic counterpart for Cys-ablation and Pro/topology controls.</x:v>
      </x:c>
    </x:row>
    <x:row r="7" ht="19" customHeight="1">
      <x:c r="A7" t="str">
        <x:v>F004</x:v>
      </x:c>
      <x:c r="B7" t="str">
        <x:v>W24</x:v>
      </x:c>
      <x:c r="C7" t="str">
        <x:v>GRPGRPGRP</x:v>
      </x:c>
      <x:c r="D7" t="str">
        <x:v>FAIL_AUNC</x:v>
      </x:c>
      <x:c r="E7" t="str">
        <x:v>None</x:v>
      </x:c>
      <x:c r="F7" t="str">
        <x:v>Aggregated Au nanoparticles</x:v>
      </x:c>
      <x:c r="G7" t="str">
        <x:v>CGRPGRPGRP</x:v>
      </x:c>
      <x:c r="H7" t="str">
        <x:v>YES — matched designer-peptide study</x:v>
      </x:c>
      <x:c r="I7" t="str">
        <x:v>FORMATION_NEGATIVE</x:v>
      </x:c>
      <x:c r="J7" t="str">
        <x:v>https://doi.org/10.1039/C4CC03240C</x:v>
      </x:c>
      <x:c r="K7" t="str">
        <x:v>Cys-removal negative: loss of nucleating residue.</x:v>
      </x:c>
    </x:row>
    <x:row r="8" ht="19" customHeight="1">
      <x:c r="A8" t="str">
        <x:v>F005</x:v>
      </x:c>
      <x:c r="B8" t="str">
        <x:v>W24</x:v>
      </x:c>
      <x:c r="C8" t="str">
        <x:v>CGRGGRGGRG</x:v>
      </x:c>
      <x:c r="D8" t="str">
        <x:v>FAIL_AUNC</x:v>
      </x:c>
      <x:c r="E8" t="str">
        <x:v>None</x:v>
      </x:c>
      <x:c r="F8" t="str">
        <x:v>Plasmonic Au nanoparticles; LSPR 523 nm</x:v>
      </x:c>
      <x:c r="G8" t="str">
        <x:v>CGRPGRPGRP</x:v>
      </x:c>
      <x:c r="H8" t="str">
        <x:v>YES — matched designer-peptide study</x:v>
      </x:c>
      <x:c r="I8" t="str">
        <x:v>FORMATION_NEGATIVE</x:v>
      </x:c>
      <x:c r="J8" t="str">
        <x:v>https://doi.org/10.1039/C4CC03240C</x:v>
      </x:c>
      <x:c r="K8" t="str">
        <x:v>Pro-removal/topology negative: 3D conformation matters.</x:v>
      </x:c>
    </x:row>
    <x:row r="9" ht="19" customHeight="1">
      <x:c r="A9" t="str">
        <x:v>F006</x:v>
      </x:c>
      <x:c r="B9" t="str">
        <x:v>W18</x:v>
      </x:c>
      <x:c r="C9" t="str">
        <x:v>CCGKE</x:v>
      </x:c>
      <x:c r="D9" t="str">
        <x:v>FORM_AUNC</x:v>
      </x:c>
      <x:c r="E9" t="str">
        <x:v>Fluorescent</x:v>
      </x:c>
      <x:c r="F9" t="str">
        <x:v>Peptide-templated AuNC</x:v>
      </x:c>
      <x:c r="G9" t="str">
        <x:v>W18 peptide panel</x:v>
      </x:c>
      <x:c r="H9" t="str">
        <x:v>YES — same generic synthesis procedure</x:v>
      </x:c>
      <x:c r="I9" t="str">
        <x:v>FORMATION_POSITIVE</x:v>
      </x:c>
      <x:c r="J9" t="str">
        <x:v>https://doi.org/10.1021/ac403308b</x:v>
      </x:c>
      <x:c r="K9" t="str">
        <x:v>Additional positive control; exact nuclearity not assigned.</x:v>
      </x:c>
    </x:row>
    <x:row r="10" ht="19" customHeight="1"/>
    <x:row r="11" ht="19" customHeight="1"/>
    <x:row r="12" ht="19" customHeight="1"/>
    <x:row r="13" ht="19" customHeight="1"/>
    <x:row r="14" ht="19" customHeight="1"/>
    <x:row r="15" ht="19" customHeight="1"/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  <x:row r="101" ht="19" customHeight="1"/>
    <x:row r="102" ht="19" customHeight="1"/>
    <x:row r="103" ht="19" customHeight="1"/>
    <x:row r="104" ht="19" customHeight="1"/>
    <x:row r="105" ht="19" customHeight="1"/>
    <x:row r="106" ht="19" customHeight="1"/>
    <x:row r="107" ht="19" customHeight="1"/>
    <x:row r="108" ht="19" customHeight="1"/>
    <x:row r="109" ht="19" customHeight="1"/>
    <x:row r="110" ht="19" customHeight="1"/>
    <x:row r="111" ht="19" customHeight="1"/>
    <x:row r="112" ht="19" customHeight="1"/>
    <x:row r="113" ht="19" customHeight="1"/>
    <x:row r="114" ht="19" customHeight="1"/>
    <x:row r="115" ht="19" customHeight="1"/>
    <x:row r="116" ht="19" customHeight="1"/>
    <x:row r="117" ht="19" customHeight="1"/>
    <x:row r="118" ht="19" customHeight="1"/>
    <x:row r="119" ht="19" customHeight="1"/>
    <x:row r="120" ht="19" customHeight="1"/>
    <x:row r="121" ht="19" customHeight="1"/>
    <x:row r="122" ht="19" customHeight="1"/>
    <x:row r="123" ht="19" customHeight="1"/>
    <x:row r="124" ht="19" customHeight="1"/>
    <x:row r="125" ht="19" customHeight="1"/>
    <x:row r="126" ht="19" customHeight="1"/>
    <x:row r="127" ht="19" customHeight="1"/>
    <x:row r="128" ht="19" customHeight="1"/>
    <x:row r="129" ht="19" customHeight="1"/>
    <x:row r="130" ht="19" customHeight="1"/>
    <x:row r="131" ht="19" customHeight="1"/>
    <x:row r="132" ht="19" customHeight="1"/>
    <x:row r="133" ht="19" customHeight="1"/>
    <x:row r="134" ht="19" customHeight="1"/>
    <x:row r="135" ht="19" customHeight="1"/>
    <x:row r="136" ht="19" customHeight="1"/>
    <x:row r="137" ht="19" customHeight="1"/>
    <x:row r="138" ht="19" customHeight="1"/>
    <x:row r="139" ht="19" customHeight="1"/>
    <x:row r="140" ht="19" customHeight="1"/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72" hidden="0" customWidth="1"/>
    <x:col min="4" max="4" width="30" hidden="0" customWidth="1"/>
    <x:col min="5" max="5" width="44" hidden="0" customWidth="1"/>
    <x:col min="6" max="6" width="38" hidden="0" customWidth="1"/>
    <x:col min="7" max="7" width="32" hidden="0" customWidth="1"/>
    <x:col min="8" max="8" width="82" hidden="0" customWidth="1"/>
    <x:col min="9" max="9" width="35" hidden="0" customWidth="1"/>
    <x:col min="10" max="10" width="28" hidden="0" customWidth="1"/>
    <x:col min="11" max="11" width="70" hidden="0" customWidth="1"/>
    <x:col min="12" max="12" width="30" hidden="0" customWidth="1"/>
    <x:col min="13" max="13" width="32" hidden="0" customWidth="1"/>
  </x:cols>
  <x:sheetData>
    <x:row r="1" ht="30" customHeight="1">
      <x:c r="A1" s="66" t="str">
        <x:v>PepAuDB v0.6 — Newly Verified High-Information Literature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</x:row>
    <x:row r="2" ht="19" customHeight="1"/>
    <x:row r="3" ht="34" customHeight="1">
      <x:c r="A3" s="71" t="str">
        <x:v>Source_ID</x:v>
      </x:c>
      <x:c r="B3" s="71" t="str">
        <x:v>Year</x:v>
      </x:c>
      <x:c r="C3" s="71" t="str">
        <x:v>Paper</x:v>
      </x:c>
      <x:c r="D3" s="71" t="str">
        <x:v>Journal</x:v>
      </x:c>
      <x:c r="E3" s="71" t="str">
        <x:v>DOI_URL</x:v>
      </x:c>
      <x:c r="F3" s="71" t="str">
        <x:v>Exact_Peptide</x:v>
      </x:c>
      <x:c r="G3" s="71" t="str">
        <x:v>Atomic_Formula</x:v>
      </x:c>
      <x:c r="H3" s="71" t="str">
        <x:v>Verified_Synthesis_or_Optics</x:v>
      </x:c>
      <x:c r="I3" s="71" t="str">
        <x:v>Training_Use</x:v>
      </x:c>
      <x:c r="J3" s="71" t="str">
        <x:v>Evidence_Strength</x:v>
      </x:c>
      <x:c r="K3" s="71" t="str">
        <x:v>Critical_Caveat</x:v>
      </x:c>
      <x:c r="L3" s="71" t="str">
        <x:v>Lab_Group</x:v>
      </x:c>
      <x:c r="M3" s="71" t="str">
        <x:v>Source_Status</x:v>
      </x:c>
    </x:row>
    <x:row r="4" ht="19" customHeight="1">
      <x:c r="A4" s="20" t="str">
        <x:v>W26</x:v>
      </x:c>
      <x:c r="B4" s="20" t="n">
        <x:v>2012</x:v>
      </x:c>
      <x:c r="C4" s="20" t="str">
        <x:v>Bifunctional peptides that precisely biomineralize Au clusters and specifically stain cell nuclei</x:v>
      </x:c>
      <x:c r="D4" s="20" t="str">
        <x:v>Chemical Communications</x:v>
      </x:c>
      <x:c r="E4" s="20" t="str">
        <x:v>https://doi.org/10.1039/C1CC15926G</x:v>
      </x:c>
      <x:c r="F4" s="20" t="str">
        <x:v>CCYRGRKKRRQRRR (CCYTAT)</x:v>
      </x:c>
      <x:c r="G4" s="20" t="str">
        <x:v>Au25 core; mixed CCYTAT/S shell compositions</x:v>
      </x:c>
      <x:c r="H4" s="20" t="str">
        <x:v>376 µL 1.06 mM peptide + 16 µL 25 mM HAuCl4; pH ~10; dark 12 h; 1.5±0.2 nm; λex/λem 502/677 nm; QY 11%</x:v>
      </x:c>
      <x:c r="I4" s="20" t="str">
        <x:v>TRAIN_CORE nuclearity/size/emission/QY</x:v>
      </x:c>
      <x:c r="J4" s="20" t="str">
        <x:v>Primary article + RSC SI</x:v>
      </x:c>
      <x:c r="K4" s="20" t="str">
        <x:v>Do not misread Au25S18-like mass families as 18 peptide ligands.</x:v>
      </x:c>
      <x:c r="L4" s="20" t="str">
        <x:v>LAB_W26</x:v>
      </x:c>
      <x:c r="M4" s="20" t="str">
        <x:v>ACQUIRED PRIMARY + SI</x:v>
      </x:c>
    </x:row>
    <x:row r="5" ht="19" customHeight="1">
      <x:c r="A5" s="20" t="str">
        <x:v>W27</x:v>
      </x:c>
      <x:c r="B5" s="20" t="n">
        <x:v>2017</x:v>
      </x:c>
      <x:c r="C5" s="20" t="str">
        <x:v>RGD peptide-modified fluorescent gold nanoclusters as highly efficient tumor-targeted radiotherapy sensitizers</x:v>
      </x:c>
      <x:c r="D5" s="20" t="str">
        <x:v>Biomaterials</x:v>
      </x:c>
      <x:c r="E5" s="20" t="str">
        <x:v>https://doi.org/10.1016/j.biomaterials.2017.08.017</x:v>
      </x:c>
      <x:c r="F5" s="20" t="str">
        <x:v>c(RGDyC)</x:v>
      </x:c>
      <x:c r="G5" s="20" t="str">
        <x:v>Not encoded as atomically precise in v0.6</x:v>
      </x:c>
      <x:c r="H5" s="20" t="str">
        <x:v>1.5 mL peptide 5 mM + 100 µL HAuCl4 25 mM; pH 12–13; 50°C; &gt;20 h; red/NIR fluorescent product</x:v>
      </x:c>
      <x:c r="I5" s="20" t="str">
        <x:v>Synthesis/formation context only</x:v>
      </x:c>
      <x:c r="J5" s="20" t="str">
        <x:v>Primary article</x:v>
      </x:c>
      <x:c r="K5" s="20" t="str">
        <x:v>Later computational Au23 models are not retrofitted as primary experimental nuclearity proof.</x:v>
      </x:c>
      <x:c r="L5" s="20" t="str">
        <x:v>LAB_W27</x:v>
      </x:c>
      <x:c r="M5" s="20" t="str">
        <x:v>ACQUIRED PRIMARY</x:v>
      </x:c>
    </x:row>
    <x:row r="6" ht="19" customHeight="1">
      <x:c r="A6" s="20" t="str">
        <x:v>W28</x:v>
      </x:c>
      <x:c r="B6" s="20" t="n">
        <x:v>2020</x:v>
      </x:c>
      <x:c r="C6" s="20" t="str">
        <x:v>Au23(CR)14 nanocluster restores fibril Aβ’s unfolded state with abolished cytotoxicity and dissolves endogenous Aβ plaques</x:v>
      </x:c>
      <x:c r="D6" s="20" t="str">
        <x:v>National Science Review</x:v>
      </x:c>
      <x:c r="E6" s="20" t="str">
        <x:v>https://doi.org/10.1093/nsr/nwz215</x:v>
      </x:c>
      <x:c r="F6" s="20" t="str">
        <x:v>CR</x:v>
      </x:c>
      <x:c r="G6" s="20" t="str">
        <x:v>Au23(CR)14</x:v>
      </x:c>
      <x:c r="H6" s="20" t="str">
        <x:v>ESI-MS 8397.9925 + TGA; cold 18 h pre-aging, alkaline step, NaBH4 reduction, 3 kDa UF</x:v>
      </x:c>
      <x:c r="I6" s="20" t="str">
        <x:v>TRAIN_CORE_NUCLEARITY</x:v>
      </x:c>
      <x:c r="J6" s="20" t="str">
        <x:v>Open-access primary</x:v>
      </x:c>
      <x:c r="K6" s="20" t="str">
        <x:v>Multi-stage synthesis should not be flattened into a misleading single temperature/time pair.</x:v>
      </x:c>
      <x:c r="L6" s="20" t="str">
        <x:v>LAB_W28</x:v>
      </x:c>
      <x:c r="M6" s="20" t="str">
        <x:v>ACQUIRED PRIMARY OPEN ACCESS</x:v>
      </x:c>
    </x:row>
    <x:row r="7" ht="19" customHeight="1">
      <x:c r="A7" s="20" t="str">
        <x:v>W29</x:v>
      </x:c>
      <x:c r="B7" s="20" t="n">
        <x:v>2023</x:v>
      </x:c>
      <x:c r="C7" s="20" t="str">
        <x:v>Photochemical synthesis of fluorescent Au16(RGDC)14 and excited state reactivity with molecular oxygen</x:v>
      </x:c>
      <x:c r="D7" s="20" t="str">
        <x:v>Nanoscale</x:v>
      </x:c>
      <x:c r="E7" s="20" t="str">
        <x:v>https://doi.org/10.1039/D3NR02258G</x:v>
      </x:c>
      <x:c r="F7" s="20" t="str">
        <x:v>RGDC</x:v>
      </x:c>
      <x:c r="G7" s="20" t="str">
        <x:v>Au16(RGDC)14</x:v>
      </x:c>
      <x:c r="H7" s="20" t="str">
        <x:v>RGDC 9 mM + HAuCl4 3 mM + Omnirad 2959 3 mM; pH 10; N2 15 min; UVA 250 W m−2 30 min; emission ~770 nm</x:v>
      </x:c>
      <x:c r="I7" s="20" t="str">
        <x:v>TRAIN_CORE_NUCLEARITY_OPTICAL</x:v>
      </x:c>
      <x:c r="J7" s="20" t="str">
        <x:v>Primary article + associated patent embodiment</x:v>
      </x:c>
      <x:c r="K7" s="20" t="str">
        <x:v>Shares laboratory/platform with W30; lab-aware validation combines them.</x:v>
      </x:c>
      <x:c r="L7" s="20" t="str">
        <x:v>STAMPLECOSKIE_PHOTOCHEM</x:v>
      </x:c>
      <x:c r="M7" s="20" t="str">
        <x:v>ACQUIRED PRIMARY + PATENT DETAIL</x:v>
      </x:c>
    </x:row>
    <x:row r="8" ht="19" customHeight="1">
      <x:c r="A8" s="20" t="str">
        <x:v>W30</x:v>
      </x:c>
      <x:c r="B8" s="20" t="n">
        <x:v>2024</x:v>
      </x:c>
      <x:c r="C8" s="20" t="str">
        <x:v>Accelerated size-focusing light activated synthesis of atomically precise fluorescent Au22(Lys–Cys–Lys)16 clusters</x:v>
      </x:c>
      <x:c r="D8" s="20" t="str">
        <x:v>Nanoscale</x:v>
      </x:c>
      <x:c r="E8" s="20" t="str">
        <x:v>https://doi.org/10.1039/D3NR04793H</x:v>
      </x:c>
      <x:c r="F8" s="20" t="str">
        <x:v>KCK</x:v>
      </x:c>
      <x:c r="G8" s="20" t="str">
        <x:v>Au22(KCK)16</x:v>
      </x:c>
      <x:c r="H8" s="20" t="str">
        <x:v>KCK 9 mM + HAuCl4 3 mM + Omnirad 2959 9 mM; pH 11; UVA 12 min; 620 nm size-focus 24 h; absorbance 500 nm; emission 790 nm</x:v>
      </x:c>
      <x:c r="I8" s="20" t="str">
        <x:v>TRAIN_CORE_NUCLEARITY_OPTICAL</x:v>
      </x:c>
      <x:c r="J8" s="20" t="str">
        <x:v>Full primary article</x:v>
      </x:c>
      <x:c r="K8" s="20" t="str">
        <x:v>Closely related to W29; paper-wise CV alone could overstate generalization, so lab-aware CV is mandatory.</x:v>
      </x:c>
      <x:c r="L8" s="20" t="str">
        <x:v>STAMPLECOSKIE_PHOTOCHEM</x:v>
      </x:c>
      <x:c r="M8" s="20" t="str">
        <x:v>ACQUIRED PRIMARY</x:v>
      </x:c>
    </x:row>
    <x:row r="9" ht="19" customHeight="1"/>
    <x:row r="10" ht="19" customHeight="1"/>
    <x:row r="11" ht="19" customHeight="1"/>
    <x:row r="12" ht="19" customHeight="1"/>
    <x:row r="13" ht="19" customHeight="1"/>
    <x:row r="14" ht="19" customHeight="1"/>
    <x:row r="15" ht="19" customHeight="1"/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  <x:row r="101" ht="19" customHeight="1"/>
    <x:row r="102" ht="19" customHeight="1"/>
    <x:row r="103" ht="19" customHeight="1"/>
    <x:row r="104" ht="19" customHeight="1"/>
    <x:row r="105" ht="19" customHeight="1"/>
    <x:row r="106" ht="19" customHeight="1"/>
    <x:row r="107" ht="19" customHeight="1"/>
    <x:row r="108" ht="19" customHeight="1"/>
    <x:row r="109" ht="19" customHeight="1"/>
    <x:row r="110" ht="19" customHeight="1"/>
    <x:row r="111" ht="19" customHeight="1"/>
    <x:row r="112" ht="19" customHeight="1"/>
    <x:row r="113" ht="19" customHeight="1"/>
    <x:row r="114" ht="19" customHeight="1"/>
    <x:row r="115" ht="19" customHeight="1"/>
    <x:row r="116" ht="19" customHeight="1"/>
    <x:row r="117" ht="19" customHeight="1"/>
    <x:row r="118" ht="19" customHeight="1"/>
    <x:row r="119" ht="19" customHeight="1"/>
    <x:row r="120" ht="19" customHeight="1"/>
    <x:row r="121" ht="19" customHeight="1"/>
    <x:row r="122" ht="19" customHeight="1"/>
    <x:row r="123" ht="19" customHeight="1"/>
    <x:row r="124" ht="19" customHeight="1"/>
    <x:row r="125" ht="19" customHeight="1"/>
    <x:row r="126" ht="19" customHeight="1"/>
    <x:row r="127" ht="19" customHeight="1"/>
    <x:row r="128" ht="19" customHeight="1"/>
    <x:row r="129" ht="19" customHeight="1"/>
    <x:row r="130" ht="19" customHeight="1"/>
    <x:row r="131" ht="19" customHeight="1"/>
    <x:row r="132" ht="19" customHeight="1"/>
    <x:row r="133" ht="19" customHeight="1"/>
    <x:row r="134" ht="19" customHeight="1"/>
    <x:row r="135" ht="19" customHeight="1"/>
    <x:row r="136" ht="19" customHeight="1"/>
    <x:row r="137" ht="19" customHeight="1"/>
    <x:row r="138" ht="19" customHeight="1"/>
    <x:row r="139" ht="19" customHeight="1"/>
    <x:row r="140" ht="19" customHeight="1"/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8ee70c87140a424a"/>
  </x:tableParts>
</x:worksheet>
</file>

<file path=xl/worksheets/sheet4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4" hidden="0" customWidth="1"/>
    <x:col min="4" max="4" width="28" hidden="0" customWidth="1"/>
    <x:col min="5" max="5" width="16" hidden="0" customWidth="1"/>
    <x:col min="6" max="6" width="14" hidden="0" customWidth="1"/>
    <x:col min="7" max="7" width="20" hidden="0" customWidth="1"/>
    <x:col min="8" max="8" width="13" hidden="0" customWidth="1"/>
    <x:col min="9" max="9" width="14" hidden="0" customWidth="1"/>
    <x:col min="10" max="10" width="30" hidden="0" customWidth="1"/>
    <x:col min="11" max="11" width="32" hidden="0" customWidth="1"/>
    <x:col min="12" max="12" width="50" hidden="0" customWidth="1"/>
    <x:col min="13" max="13" width="68" hidden="0" customWidth="1"/>
    <x:col min="14" max="14" width="44" hidden="0" customWidth="1"/>
  </x:cols>
  <x:sheetData>
    <x:row r="1" ht="30" customHeight="1">
      <x:c r="A1" s="66" t="str">
        <x:v>Atomic Nuclearity Evidence Audit — PepAuDB v0.6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</x:row>
    <x:row r="2" ht="19" customHeight="1"/>
    <x:row r="3" ht="34" customHeight="1">
      <x:c r="A3" s="71" t="str">
        <x:v>Record_ID</x:v>
      </x:c>
      <x:c r="B3" s="71" t="str">
        <x:v>Source_ID</x:v>
      </x:c>
      <x:c r="C3" s="71" t="str">
        <x:v>Sequence</x:v>
      </x:c>
      <x:c r="D3" s="71" t="str">
        <x:v>Modification</x:v>
      </x:c>
      <x:c r="E3" s="71" t="str">
        <x:v>Metal</x:v>
      </x:c>
      <x:c r="F3" s="71" t="str">
        <x:v>Au_Nuclearity</x:v>
      </x:c>
      <x:c r="G3" s="71" t="str">
        <x:v>Peptide_Ligand_Count</x:v>
      </x:c>
      <x:c r="H3" s="71" t="str">
        <x:v>Core_Size_nm</x:v>
      </x:c>
      <x:c r="I3" s="71" t="str">
        <x:v>Paper_Group</x:v>
      </x:c>
      <x:c r="J3" s="71" t="str">
        <x:v>Lab_Group</x:v>
      </x:c>
      <x:c r="K3" s="71" t="str">
        <x:v>Training_Use</x:v>
      </x:c>
      <x:c r="L3" s="71" t="str">
        <x:v>Primary_Strength</x:v>
      </x:c>
      <x:c r="M3" s="71" t="str">
        <x:v>Critical_Caveat</x:v>
      </x:c>
      <x:c r="N3" s="71" t="str">
        <x:v>DOI_URL</x:v>
      </x:c>
    </x:row>
    <x:row r="4" ht="19" customHeight="1">
      <x:c r="A4" s="20" t="str">
        <x:v>R015</x:v>
      </x:c>
      <x:c r="B4" s="20" t="str">
        <x:v>S10</x:v>
      </x:c>
      <x:c r="C4" s="20" t="str">
        <x:v>ECG</x:v>
      </x:c>
      <x:c r="D4" s="20" t="str">
        <x:v>GSH ligand</x:v>
      </x:c>
      <x:c r="E4" s="20" t="str">
        <x:v>pure_Au</x:v>
      </x:c>
      <x:c r="F4" s="20" t="n">
        <x:v>22</x:v>
      </x:c>
      <x:c r="G4" s="20" t="n">
        <x:v>18</x:v>
      </x:c>
      <x:c r="H4" s="20" t="n">
        <x:v>1.5</x:v>
      </x:c>
      <x:c r="I4" s="20" t="str">
        <x:v>S10</x:v>
      </x:c>
      <x:c r="J4" s="20" t="str">
        <x:v>LAB_S10</x:v>
      </x:c>
      <x:c r="K4" s="20" t="str">
        <x:v>TRAIN_CORE</x:v>
      </x:c>
      <x:c r="L4" s="20" t="str">
        <x:v>Direct atomic Au22 peptide-ligand record</x:v>
      </x:c>
      <x:c r="M4" s="20" t="str">
        <x:v>Same source family as R016.</x:v>
      </x:c>
      <x:c r="N4" s="20" t="str">
        <x:v>https://doi.org/10.1126/sciadv.adh7828</x:v>
      </x:c>
    </x:row>
    <x:row r="5" ht="19" customHeight="1">
      <x:c r="A5" s="20" t="str">
        <x:v>R016</x:v>
      </x:c>
      <x:c r="B5" s="20" t="str">
        <x:v>S10</x:v>
      </x:c>
      <x:c r="C5" s="20" t="str">
        <x:v>ECG</x:v>
      </x:c>
      <x:c r="D5" s="20" t="str">
        <x:v>GSH ligand</x:v>
      </x:c>
      <x:c r="E5" s="20" t="str">
        <x:v>AuCu</x:v>
      </x:c>
      <x:c r="F5" s="20" t="n">
        <x:v>21</x:v>
      </x:c>
      <x:c r="G5" s="20" t="n">
        <x:v>18</x:v>
      </x:c>
      <x:c r="H5" s="20" t="n">
        <x:v>1.5</x:v>
      </x:c>
      <x:c r="I5" s="20" t="str">
        <x:v>S10</x:v>
      </x:c>
      <x:c r="J5" s="20" t="str">
        <x:v>LAB_S10</x:v>
      </x:c>
      <x:c r="K5" s="20" t="str">
        <x:v>TRAIN_CORE</x:v>
      </x:c>
      <x:c r="L5" s="20" t="str">
        <x:v>Direct Au21Cu1 atomic record</x:v>
      </x:c>
      <x:c r="M5" s="20" t="str">
        <x:v>Alloy composition must remain explicit.</x:v>
      </x:c>
      <x:c r="N5" s="20" t="str">
        <x:v>https://doi.org/10.1126/sciadv.adh7828</x:v>
      </x:c>
    </x:row>
    <x:row r="6" ht="19" customHeight="1">
      <x:c r="A6" s="20" t="str">
        <x:v>R026</x:v>
      </x:c>
      <x:c r="B6" s="20" t="str">
        <x:v>W03</x:v>
      </x:c>
      <x:c r="C6" s="20" t="str">
        <x:v>CCYLQLQAEER</x:v>
      </x:c>
      <x:c r="D6" s="20" t="str">
        <x:v>C-terminal amide</x:v>
      </x:c>
      <x:c r="E6" s="20" t="str">
        <x:v>pure_Au</x:v>
      </x:c>
      <x:c r="F6" s="20" t="n">
        <x:v>21</x:v>
      </x:c>
      <x:c r="G6" s="20"/>
      <x:c r="H6" s="20" t="n">
        <x:v>2</x:v>
      </x:c>
      <x:c r="I6" s="20" t="str">
        <x:v>W03</x:v>
      </x:c>
      <x:c r="J6" s="20" t="str">
        <x:v>LAB_W03</x:v>
      </x:c>
      <x:c r="K6" s="20" t="str">
        <x:v>TRAIN_CORE</x:v>
      </x:c>
      <x:c r="L6" s="20" t="str">
        <x:v>MALDI-supported Au21 peptide cluster</x:v>
      </x:c>
      <x:c r="M6" s="20" t="str">
        <x:v>Entire study held as one group.</x:v>
      </x:c>
      <x:c r="N6" s="20" t="str">
        <x:v>https://doi.org/10.1039/C5RA20113F</x:v>
      </x:c>
    </x:row>
    <x:row r="7" ht="19" customHeight="1">
      <x:c r="A7" s="20" t="str">
        <x:v>R028</x:v>
      </x:c>
      <x:c r="B7" s="20" t="str">
        <x:v>W05</x:v>
      </x:c>
      <x:c r="C7" s="20" t="str">
        <x:v>CCYGGPKKKRKPG</x:v>
      </x:c>
      <x:c r="D7" s="20" t="str">
        <x:v>NH2-/COOH termini</x:v>
      </x:c>
      <x:c r="E7" s="20" t="str">
        <x:v>pure_Au</x:v>
      </x:c>
      <x:c r="F7" s="20" t="n">
        <x:v>25</x:v>
      </x:c>
      <x:c r="G7" s="20" t="n">
        <x:v>9</x:v>
      </x:c>
      <x:c r="H7" s="20"/>
      <x:c r="I7" s="20" t="str">
        <x:v>W05</x:v>
      </x:c>
      <x:c r="J7" s="20" t="str">
        <x:v>LAB_W05</x:v>
      </x:c>
      <x:c r="K7" s="20" t="str">
        <x:v>TRAIN_STRUCTURE_ONLY</x:v>
      </x:c>
      <x:c r="L7" s="20" t="str">
        <x:v>Au25Sv9 atomic peptide cluster</x:v>
      </x:c>
      <x:c r="M7" s="20" t="str">
        <x:v>Synthesis quantities incomplete.</x:v>
      </x:c>
      <x:c r="N7" s="20" t="str">
        <x:v>https://doi.org/10.1016/j.scib.2017.03.024</x:v>
      </x:c>
    </x:row>
    <x:row r="8" ht="19" customHeight="1">
      <x:c r="A8" s="20" t="str">
        <x:v>R055</x:v>
      </x:c>
      <x:c r="B8" s="20" t="str">
        <x:v>W18</x:v>
      </x:c>
      <x:c r="C8" s="20" t="str">
        <x:v>CCIHK</x:v>
      </x:c>
      <x:c r="D8" s="20" t="str">
        <x:v>Lys acetylated</x:v>
      </x:c>
      <x:c r="E8" s="20" t="str">
        <x:v>pure_Au</x:v>
      </x:c>
      <x:c r="F8" s="20" t="n">
        <x:v>8</x:v>
      </x:c>
      <x:c r="G8" s="20" t="n">
        <x:v>2</x:v>
      </x:c>
      <x:c r="H8" s="20" t="n">
        <x:v>1.1</x:v>
      </x:c>
      <x:c r="I8" s="20" t="str">
        <x:v>W18</x:v>
      </x:c>
      <x:c r="J8" s="20" t="str">
        <x:v>LAB_W18</x:v>
      </x:c>
      <x:c r="K8" s="20" t="str">
        <x:v>TRAIN_CORE</x:v>
      </x:c>
      <x:c r="L8" s="20" t="str">
        <x:v>Au8(peptide)2(MPA)2 + primary SI protocol</x:v>
      </x:c>
      <x:c r="M8" s="20" t="str">
        <x:v>Co-ligand MPA means peptide ligand count is not total ligand-shell count.</x:v>
      </x:c>
      <x:c r="N8" s="20" t="str">
        <x:v>https://doi.org/10.1021/ac403308b</x:v>
      </x:c>
    </x:row>
    <x:row r="9" ht="19" customHeight="1">
      <x:c r="A9" s="20" t="str">
        <x:v>R058</x:v>
      </x:c>
      <x:c r="B9" s="20" t="str">
        <x:v>W24</x:v>
      </x:c>
      <x:c r="C9" s="20" t="str">
        <x:v>CGRPGRPGRP</x:v>
      </x:c>
      <x:c r="D9" s="20" t="str">
        <x:v>None</x:v>
      </x:c>
      <x:c r="E9" s="20" t="str">
        <x:v>pure_Au</x:v>
      </x:c>
      <x:c r="F9" s="20" t="n">
        <x:v>16</x:v>
      </x:c>
      <x:c r="G9" s="20" t="n">
        <x:v>1</x:v>
      </x:c>
      <x:c r="H9" s="20" t="n">
        <x:v>0.74</x:v>
      </x:c>
      <x:c r="I9" s="20" t="str">
        <x:v>W24</x:v>
      </x:c>
      <x:c r="J9" s="20" t="str">
        <x:v>LAB_W24</x:v>
      </x:c>
      <x:c r="K9" s="20" t="str">
        <x:v>TRAIN_CORE_STRUCTURE_OPTICAL</x:v>
      </x:c>
      <x:c r="L9" s="20" t="str">
        <x:v>MALDI Au16 + one peptide; SAXS evidence</x:v>
      </x:c>
      <x:c r="M9" s="20" t="str">
        <x:v>0.74 nm is derived diameter from reported 3.7 Å radius.</x:v>
      </x:c>
      <x:c r="N9" s="20" t="str">
        <x:v>https://doi.org/10.1039/C4CC03240C</x:v>
      </x:c>
    </x:row>
    <x:row r="10" ht="19" customHeight="1">
      <x:c r="A10" s="20" t="str">
        <x:v>R062</x:v>
      </x:c>
      <x:c r="B10" s="20" t="str">
        <x:v>W26</x:v>
      </x:c>
      <x:c r="C10" s="20" t="str">
        <x:v>CCYRGRKKRRQRRR</x:v>
      </x:c>
      <x:c r="D10" s="20" t="str">
        <x:v>CCYTAT/TAT domain</x:v>
      </x:c>
      <x:c r="E10" s="20" t="str">
        <x:v>pure_Au</x:v>
      </x:c>
      <x:c r="F10" s="20" t="n">
        <x:v>25</x:v>
      </x:c>
      <x:c r="G10" s="20"/>
      <x:c r="H10" s="20" t="n">
        <x:v>1.5</x:v>
      </x:c>
      <x:c r="I10" s="20" t="str">
        <x:v>W26</x:v>
      </x:c>
      <x:c r="J10" s="20" t="str">
        <x:v>LAB_W26</x:v>
      </x:c>
      <x:c r="K10" s="20" t="str">
        <x:v>TRAIN_CORE</x:v>
      </x:c>
      <x:c r="L10" s="20" t="str">
        <x:v>Au25 core by MALDI; HRTEM + QY + full SI synthesis</x:v>
      </x:c>
      <x:c r="M10" s="20" t="str">
        <x:v>Mixed CCYTAT/S shell; no simple peptide ligand count.</x:v>
      </x:c>
      <x:c r="N10" s="20" t="str">
        <x:v>https://doi.org/10.1039/C1CC15926G</x:v>
      </x:c>
    </x:row>
    <x:row r="11" ht="19" customHeight="1">
      <x:c r="A11" s="20" t="str">
        <x:v>R064</x:v>
      </x:c>
      <x:c r="B11" s="20" t="str">
        <x:v>W28</x:v>
      </x:c>
      <x:c r="C11" s="20" t="str">
        <x:v>CR</x:v>
      </x:c>
      <x:c r="D11" s="20" t="str">
        <x:v>None</x:v>
      </x:c>
      <x:c r="E11" s="20" t="str">
        <x:v>pure_Au</x:v>
      </x:c>
      <x:c r="F11" s="20" t="n">
        <x:v>23</x:v>
      </x:c>
      <x:c r="G11" s="20" t="n">
        <x:v>14</x:v>
      </x:c>
      <x:c r="H11" s="20"/>
      <x:c r="I11" s="20" t="str">
        <x:v>W28</x:v>
      </x:c>
      <x:c r="J11" s="20" t="str">
        <x:v>LAB_W28</x:v>
      </x:c>
      <x:c r="K11" s="20" t="str">
        <x:v>TRAIN_CORE_NUCLEARITY</x:v>
      </x:c>
      <x:c r="L11" s="20" t="str">
        <x:v>Single ESI-MS peak + TGA confirmation</x:v>
      </x:c>
      <x:c r="M11" s="20" t="str">
        <x:v>Multi-stage synthesis not reducible to one simple scalar context.</x:v>
      </x:c>
      <x:c r="N11" s="20" t="str">
        <x:v>https://doi.org/10.1093/nsr/nwz215</x:v>
      </x:c>
    </x:row>
    <x:row r="12" ht="19" customHeight="1">
      <x:c r="A12" s="20" t="str">
        <x:v>R065</x:v>
      </x:c>
      <x:c r="B12" s="20" t="str">
        <x:v>W29</x:v>
      </x:c>
      <x:c r="C12" s="20" t="str">
        <x:v>RGDC</x:v>
      </x:c>
      <x:c r="D12" s="20" t="str">
        <x:v>None</x:v>
      </x:c>
      <x:c r="E12" s="20" t="str">
        <x:v>pure_Au</x:v>
      </x:c>
      <x:c r="F12" s="20" t="n">
        <x:v>16</x:v>
      </x:c>
      <x:c r="G12" s="20" t="n">
        <x:v>14</x:v>
      </x:c>
      <x:c r="H12" s="20"/>
      <x:c r="I12" s="20" t="str">
        <x:v>W29</x:v>
      </x:c>
      <x:c r="J12" s="20" t="str">
        <x:v>STAMPLECOSKIE_PHOTOCHEM</x:v>
      </x:c>
      <x:c r="K12" s="20" t="str">
        <x:v>TRAIN_CORE_NUCLEARITY_OPTICAL</x:v>
      </x:c>
      <x:c r="L12" s="20" t="str">
        <x:v>High-resolution ESI-MS + optical-purity analysis</x:v>
      </x:c>
      <x:c r="M12" s="20" t="str">
        <x:v>Same lab/platform family as W30.</x:v>
      </x:c>
      <x:c r="N12" s="20" t="str">
        <x:v>https://doi.org/10.1039/D3NR02258G</x:v>
      </x:c>
    </x:row>
    <x:row r="13" ht="19" customHeight="1">
      <x:c r="A13" s="20" t="str">
        <x:v>R066</x:v>
      </x:c>
      <x:c r="B13" s="20" t="str">
        <x:v>W30</x:v>
      </x:c>
      <x:c r="C13" s="20" t="str">
        <x:v>KCK</x:v>
      </x:c>
      <x:c r="D13" s="20" t="str">
        <x:v>None</x:v>
      </x:c>
      <x:c r="E13" s="20" t="str">
        <x:v>pure_Au</x:v>
      </x:c>
      <x:c r="F13" s="20" t="n">
        <x:v>22</x:v>
      </x:c>
      <x:c r="G13" s="20" t="n">
        <x:v>16</x:v>
      </x:c>
      <x:c r="H13" s="20"/>
      <x:c r="I13" s="20" t="str">
        <x:v>W30</x:v>
      </x:c>
      <x:c r="J13" s="20" t="str">
        <x:v>STAMPLECOSKIE_PHOTOCHEM</x:v>
      </x:c>
      <x:c r="K13" s="20" t="str">
        <x:v>TRAIN_CORE_NUCLEARITY_OPTICAL</x:v>
      </x:c>
      <x:c r="L13" s="20" t="str">
        <x:v>ESI-MS + size-focused optically precise product</x:v>
      </x:c>
      <x:c r="M13" s="20" t="str">
        <x:v>Same lab/platform family as W29.</x:v>
      </x:c>
      <x:c r="N13" s="20" t="str">
        <x:v>https://doi.org/10.1039/D3NR04793H</x:v>
      </x:c>
    </x:row>
    <x:row r="14" ht="19" customHeight="1"/>
    <x:row r="15" ht="19" customHeight="1"/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  <x:row r="101" ht="19" customHeight="1"/>
    <x:row r="102" ht="19" customHeight="1"/>
    <x:row r="103" ht="19" customHeight="1"/>
    <x:row r="104" ht="19" customHeight="1"/>
    <x:row r="105" ht="19" customHeight="1"/>
    <x:row r="106" ht="19" customHeight="1"/>
    <x:row r="107" ht="19" customHeight="1"/>
    <x:row r="108" ht="19" customHeight="1"/>
    <x:row r="109" ht="19" customHeight="1"/>
    <x:row r="110" ht="19" customHeight="1"/>
    <x:row r="111" ht="19" customHeight="1"/>
    <x:row r="112" ht="19" customHeight="1"/>
    <x:row r="113" ht="19" customHeight="1"/>
    <x:row r="114" ht="19" customHeight="1"/>
    <x:row r="115" ht="19" customHeight="1"/>
    <x:row r="116" ht="19" customHeight="1"/>
    <x:row r="117" ht="19" customHeight="1"/>
    <x:row r="118" ht="19" customHeight="1"/>
    <x:row r="119" ht="19" customHeight="1"/>
    <x:row r="120" ht="19" customHeight="1"/>
    <x:row r="121" ht="19" customHeight="1"/>
    <x:row r="122" ht="19" customHeight="1"/>
    <x:row r="123" ht="19" customHeight="1"/>
    <x:row r="124" ht="19" customHeight="1"/>
    <x:row r="125" ht="19" customHeight="1"/>
    <x:row r="126" ht="19" customHeight="1"/>
    <x:row r="127" ht="19" customHeight="1"/>
    <x:row r="128" ht="19" customHeight="1"/>
    <x:row r="129" ht="19" customHeight="1"/>
    <x:row r="130" ht="19" customHeight="1"/>
    <x:row r="131" ht="19" customHeight="1"/>
    <x:row r="132" ht="19" customHeight="1"/>
    <x:row r="133" ht="19" customHeight="1"/>
    <x:row r="134" ht="19" customHeight="1"/>
    <x:row r="135" ht="19" customHeight="1"/>
    <x:row r="136" ht="19" customHeight="1"/>
    <x:row r="137" ht="19" customHeight="1"/>
    <x:row r="138" ht="19" customHeight="1"/>
    <x:row r="139" ht="19" customHeight="1"/>
    <x:row r="140" ht="19" customHeight="1"/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27ff8c56afee47d5"/>
  </x:tableParts>
</x:worksheet>
</file>

<file path=xl/worksheets/sheet4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8" hidden="0" customWidth="1"/>
    <x:col min="5" max="5" width="14" hidden="0" customWidth="1"/>
    <x:col min="6" max="6" width="12" hidden="0" customWidth="1"/>
    <x:col min="7" max="7" width="17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52" hidden="0" customWidth="1"/>
    <x:col min="14" max="14" width="20" hidden="0" customWidth="1"/>
    <x:col min="15" max="15" width="46" hidden="0" customWidth="1"/>
    <x:col min="16" max="16" width="80" hidden="0" customWidth="1"/>
  </x:cols>
  <x:sheetData>
    <x:row r="1" ht="30" customHeight="1">
      <x:c r="A1" s="66" t="str">
        <x:v>Real-Data Diagnostic Benchmark v0.4 — PepAuDB v0.6 (Paper- and Lab-Aware)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</x:row>
    <x:row r="2" ht="19" customHeight="1"/>
    <x:row r="3" ht="34" customHeight="1">
      <x:c r="A3" s="71" t="str">
        <x:v>Target</x:v>
      </x:c>
      <x:c r="B3" s="71" t="str">
        <x:v>Validation</x:v>
      </x:c>
      <x:c r="C3" s="71" t="str">
        <x:v>Model</x:v>
      </x:c>
      <x:c r="D3" s="71" t="str">
        <x:v>N</x:v>
      </x:c>
      <x:c r="E3" s="71" t="str">
        <x:v>Paper_Groups</x:v>
      </x:c>
      <x:c r="F3" s="71" t="str">
        <x:v>Lab_Groups</x:v>
      </x:c>
      <x:c r="G3" s="71" t="str">
        <x:v>Sequence_Clusters</x:v>
      </x:c>
      <x:c r="H3" s="71" t="str">
        <x:v>MAE</x:v>
      </x:c>
      <x:c r="I3" s="71" t="str">
        <x:v>RMSE</x:v>
      </x:c>
      <x:c r="J3" s="71" t="str">
        <x:v>R2</x:v>
      </x:c>
      <x:c r="K3" s="71" t="str">
        <x:v>Spearman</x:v>
      </x:c>
      <x:c r="L3" s="71" t="str">
        <x:v>Interpretation</x:v>
      </x:c>
      <x:c r="N3" s="71" t="str">
        <x:v>Target</x:v>
      </x:c>
      <x:c r="O3" s="71" t="str">
        <x:v>v0.6 conclusion</x:v>
      </x:c>
      <x:c r="P3" s="71" t="str">
        <x:v>Evidence</x:v>
      </x:c>
    </x:row>
    <x:row r="4" ht="19" customHeight="1">
      <x:c r="A4" s="20" t="str">
        <x:v>Emission_nm</x:v>
      </x:c>
      <x:c r="B4" s="20" t="str">
        <x:v>paper_grouped</x:v>
      </x:c>
      <x:c r="C4" s="20" t="str">
        <x:v>DummyMedian</x:v>
      </x:c>
      <x:c r="D4" s="20" t="n">
        <x:v>16</x:v>
      </x:c>
      <x:c r="E4" s="20" t="n">
        <x:v>13</x:v>
      </x:c>
      <x:c r="F4" s="20" t="n">
        <x:v>12</x:v>
      </x:c>
      <x:c r="G4" s="20" t="n">
        <x:v>13</x:v>
      </x:c>
      <x:c r="H4" s="20" t="n">
        <x:v>109.75</x:v>
      </x:c>
      <x:c r="I4" s="20" t="n">
        <x:v>151.8722736380805</x:v>
      </x:c>
      <x:c r="J4" s="20" t="n">
        <x:v>-0.07166622503094477</x:v>
      </x:c>
      <x:c r="K4" s="20" t="n">
        <x:v>-0.6299529561591615</x:v>
      </x:c>
      <x:c r="L4" s="20" t="str">
        <x:v>Diagnostic OOF only; no production claim</x:v>
      </x:c>
      <x:c r="N4" s="20" t="str">
        <x:v>Emission</x:v>
      </x:c>
      <x:c r="O4" s="20" t="str">
        <x:v>FAIL</x:v>
      </x:c>
      <x:c r="P4" s="20" t="str">
        <x:v>Paper-grouped: best learned MAE 116.28 nm vs dummy 109.75; lab-aware also worse than dummy.</x:v>
      </x:c>
    </x:row>
    <x:row r="5" ht="19" customHeight="1">
      <x:c r="A5" s="20" t="str">
        <x:v>Emission_nm</x:v>
      </x:c>
      <x:c r="B5" s="20" t="str">
        <x:v>paper_grouped</x:v>
      </x:c>
      <x:c r="C5" s="20" t="str">
        <x:v>ElasticNet</x:v>
      </x:c>
      <x:c r="D5" s="20" t="n">
        <x:v>16</x:v>
      </x:c>
      <x:c r="E5" s="20" t="n">
        <x:v>13</x:v>
      </x:c>
      <x:c r="F5" s="20" t="n">
        <x:v>12</x:v>
      </x:c>
      <x:c r="G5" s="20" t="n">
        <x:v>13</x:v>
      </x:c>
      <x:c r="H5" s="20" t="n">
        <x:v>171.51796289732877</x:v>
      </x:c>
      <x:c r="I5" s="20" t="n">
        <x:v>202.7215083459859</x:v>
      </x:c>
      <x:c r="J5" s="20" t="n">
        <x:v>-0.9094232744798083</x:v>
      </x:c>
      <x:c r="K5" s="20" t="n">
        <x:v>0.22214028189711799</x:v>
      </x:c>
      <x:c r="L5" s="20" t="str">
        <x:v>Diagnostic OOF only; no production claim</x:v>
      </x:c>
      <x:c r="N5" s="20" t="str">
        <x:v>Core size</x:v>
      </x:c>
      <x:c r="O5" s="20" t="str">
        <x:v>FIRST POSITIVE OOF R² — STILL EXPLORATORY</x:v>
      </x:c>
      <x:c r="P5" s="20" t="str">
        <x:v>RF MAE 0.298 nm vs dummy 0.351 (~15.0% lower); paper- and lab-grouped OOF R² = +0.231.</x:v>
      </x:c>
    </x:row>
    <x:row r="6" ht="19" customHeight="1">
      <x:c r="A6" s="20" t="str">
        <x:v>Emission_nm</x:v>
      </x:c>
      <x:c r="B6" s="20" t="str">
        <x:v>paper_grouped</x:v>
      </x:c>
      <x:c r="C6" s="20" t="str">
        <x:v>RandomForest</x:v>
      </x:c>
      <x:c r="D6" s="20" t="n">
        <x:v>16</x:v>
      </x:c>
      <x:c r="E6" s="20" t="n">
        <x:v>13</x:v>
      </x:c>
      <x:c r="F6" s="20" t="n">
        <x:v>12</x:v>
      </x:c>
      <x:c r="G6" s="20" t="n">
        <x:v>13</x:v>
      </x:c>
      <x:c r="H6" s="20" t="n">
        <x:v>116.28415401785726</x:v>
      </x:c>
      <x:c r="I6" s="20" t="n">
        <x:v>154.5261978021775</x:v>
      </x:c>
      <x:c r="J6" s="20" t="n">
        <x:v>-0.10944759114501146</x:v>
      </x:c>
      <x:c r="K6" s="20" t="n">
        <x:v>-0.04797049276848062</x:v>
      </x:c>
      <x:c r="L6" s="20" t="str">
        <x:v>Diagnostic OOF only; no production claim</x:v>
      </x:c>
      <x:c r="N6" s="20" t="str">
        <x:v>PLQY</x:v>
      </x:c>
      <x:c r="O6" s="20" t="str">
        <x:v>WEAK / FAIL GENERALIZATION</x:v>
      </x:c>
      <x:c r="P6" s="20" t="str">
        <x:v>HGB MAE 7.152 vs dummy 7.849 (~8.9% lower), but OOF R² = -0.333.</x:v>
      </x:c>
    </x:row>
    <x:row r="7" ht="19" customHeight="1">
      <x:c r="A7" s="20" t="str">
        <x:v>Emission_nm</x:v>
      </x:c>
      <x:c r="B7" s="20" t="str">
        <x:v>paper_grouped</x:v>
      </x:c>
      <x:c r="C7" s="20" t="str">
        <x:v>HistGradientBoosting</x:v>
      </x:c>
      <x:c r="D7" s="20" t="n">
        <x:v>16</x:v>
      </x:c>
      <x:c r="E7" s="20" t="n">
        <x:v>13</x:v>
      </x:c>
      <x:c r="F7" s="20" t="n">
        <x:v>12</x:v>
      </x:c>
      <x:c r="G7" s="20" t="n">
        <x:v>13</x:v>
      </x:c>
      <x:c r="H7" s="20" t="n">
        <x:v>125.6378205128205</x:v>
      </x:c>
      <x:c r="I7" s="20" t="n">
        <x:v>168.87844017483192</x:v>
      </x:c>
      <x:c r="J7" s="20" t="n">
        <x:v>-0.3251070732449295</x:v>
      </x:c>
      <x:c r="K7" s="20" t="n">
        <x:v>-0.6702728838660053</x:v>
      </x:c>
      <x:c r="L7" s="20" t="str">
        <x:v>Diagnostic OOF only; no production claim</x:v>
      </x:c>
      <x:c r="N7" s="20" t="str">
        <x:v>Au nuclearity</x:v>
      </x:c>
      <x:c r="O7" s="20" t="str">
        <x:v>FAIL, BUT LAB-AWARE NEAR BASELINE</x:v>
      </x:c>
      <x:c r="P7" s="20" t="str">
        <x:v>N=10. Paper-grouped RF MAE 4.624 vs dummy 3.700; lab-aware GP MAE 3.745 vs dummy 3.700, OOF R² = -0.034.</x:v>
      </x:c>
    </x:row>
    <x:row r="8" ht="19" customHeight="1">
      <x:c r="A8" s="20" t="str">
        <x:v>Emission_nm</x:v>
      </x:c>
      <x:c r="B8" s="20" t="str">
        <x:v>paper_grouped</x:v>
      </x:c>
      <x:c r="C8" s="20" t="str">
        <x:v>GaussianProcess</x:v>
      </x:c>
      <x:c r="D8" s="20" t="n">
        <x:v>16</x:v>
      </x:c>
      <x:c r="E8" s="20" t="n">
        <x:v>13</x:v>
      </x:c>
      <x:c r="F8" s="20" t="n">
        <x:v>12</x:v>
      </x:c>
      <x:c r="G8" s="20" t="n">
        <x:v>13</x:v>
      </x:c>
      <x:c r="H8" s="20" t="n">
        <x:v>122.65245091115699</x:v>
      </x:c>
      <x:c r="I8" s="20" t="n">
        <x:v>166.11885685605307</x:v>
      </x:c>
      <x:c r="J8" s="20" t="n">
        <x:v>-0.282154679900511</x:v>
      </x:c>
      <x:c r="K8" s="20" t="n">
        <x:v>-0.5376112042310551</x:v>
      </x:c>
      <x:c r="L8" s="20" t="str">
        <x:v>Diagnostic OOF only; no production claim</x:v>
      </x:c>
    </x:row>
    <x:row r="9" ht="19" customHeight="1">
      <x:c r="A9" s="20" t="str">
        <x:v>Emission_nm</x:v>
      </x:c>
      <x:c r="B9" s="20" t="str">
        <x:v>lab_grouped</x:v>
      </x:c>
      <x:c r="C9" s="20" t="str">
        <x:v>DummyMedian</x:v>
      </x:c>
      <x:c r="D9" s="20" t="n">
        <x:v>16</x:v>
      </x:c>
      <x:c r="E9" s="20" t="n">
        <x:v>13</x:v>
      </x:c>
      <x:c r="F9" s="20" t="n">
        <x:v>12</x:v>
      </x:c>
      <x:c r="G9" s="20" t="n">
        <x:v>13</x:v>
      </x:c>
      <x:c r="H9" s="20" t="n">
        <x:v>109.75</x:v>
      </x:c>
      <x:c r="I9" s="20" t="n">
        <x:v>150.8067886402996</x:v>
      </x:c>
      <x:c r="J9" s="20" t="n">
        <x:v>-0.05668206946869403</x:v>
      </x:c>
      <x:c r="K9" s="20" t="n">
        <x:v>-0.5312658089801805</x:v>
      </x:c>
      <x:c r="L9" s="20" t="str">
        <x:v>Diagnostic OOF only; no production claim</x:v>
      </x:c>
    </x:row>
    <x:row r="10" ht="19" customHeight="1">
      <x:c r="A10" s="20" t="str">
        <x:v>Emission_nm</x:v>
      </x:c>
      <x:c r="B10" s="20" t="str">
        <x:v>lab_grouped</x:v>
      </x:c>
      <x:c r="C10" s="20" t="str">
        <x:v>ElasticNet</x:v>
      </x:c>
      <x:c r="D10" s="20" t="n">
        <x:v>16</x:v>
      </x:c>
      <x:c r="E10" s="20" t="n">
        <x:v>13</x:v>
      </x:c>
      <x:c r="F10" s="20" t="n">
        <x:v>12</x:v>
      </x:c>
      <x:c r="G10" s="20" t="n">
        <x:v>13</x:v>
      </x:c>
      <x:c r="H10" s="20" t="n">
        <x:v>161.28470028298076</x:v>
      </x:c>
      <x:c r="I10" s="20" t="n">
        <x:v>194.64797508836062</x:v>
      </x:c>
      <x:c r="J10" s="20" t="n">
        <x:v>-0.760363415998301</x:v>
      </x:c>
      <x:c r="K10" s="20" t="n">
        <x:v>0.2590406609497954</x:v>
      </x:c>
      <x:c r="L10" s="20" t="str">
        <x:v>Diagnostic OOF only; no production claim</x:v>
      </x:c>
    </x:row>
    <x:row r="11" ht="19" customHeight="1">
      <x:c r="A11" s="20" t="str">
        <x:v>Emission_nm</x:v>
      </x:c>
      <x:c r="B11" s="20" t="str">
        <x:v>lab_grouped</x:v>
      </x:c>
      <x:c r="C11" s="20" t="str">
        <x:v>RandomForest</x:v>
      </x:c>
      <x:c r="D11" s="20" t="n">
        <x:v>16</x:v>
      </x:c>
      <x:c r="E11" s="20" t="n">
        <x:v>13</x:v>
      </x:c>
      <x:c r="F11" s="20" t="n">
        <x:v>12</x:v>
      </x:c>
      <x:c r="G11" s="20" t="n">
        <x:v>13</x:v>
      </x:c>
      <x:c r="H11" s="20" t="n">
        <x:v>120.79034957837305</x:v>
      </x:c>
      <x:c r="I11" s="20" t="n">
        <x:v>157.29199081942159</x:v>
      </x:c>
      <x:c r="J11" s="20" t="n">
        <x:v>-0.14951799083089345</x:v>
      </x:c>
      <x:c r="K11" s="20" t="n">
        <x:v>-0.2177122364107967</x:v>
      </x:c>
      <x:c r="L11" s="20" t="str">
        <x:v>Diagnostic OOF only; no production claim</x:v>
      </x:c>
    </x:row>
    <x:row r="12" ht="19" customHeight="1">
      <x:c r="A12" s="20" t="str">
        <x:v>Emission_nm</x:v>
      </x:c>
      <x:c r="B12" s="20" t="str">
        <x:v>lab_grouped</x:v>
      </x:c>
      <x:c r="C12" s="20" t="str">
        <x:v>HistGradientBoosting</x:v>
      </x:c>
      <x:c r="D12" s="20" t="n">
        <x:v>16</x:v>
      </x:c>
      <x:c r="E12" s="20" t="n">
        <x:v>13</x:v>
      </x:c>
      <x:c r="F12" s="20" t="n">
        <x:v>12</x:v>
      </x:c>
      <x:c r="G12" s="20" t="n">
        <x:v>13</x:v>
      </x:c>
      <x:c r="H12" s="20" t="n">
        <x:v>119.65705128205127</x:v>
      </x:c>
      <x:c r="I12" s="20" t="n">
        <x:v>162.52515066076512</x:v>
      </x:c>
      <x:c r="J12" s="20" t="n">
        <x:v>-0.22728014652201467</x:v>
      </x:c>
      <x:c r="K12" s="20" t="n">
        <x:v>-0.5710845198858341</x:v>
      </x:c>
      <x:c r="L12" s="20" t="str">
        <x:v>Diagnostic OOF only; no production claim</x:v>
      </x:c>
    </x:row>
    <x:row r="13" ht="19" customHeight="1">
      <x:c r="A13" s="20" t="str">
        <x:v>Emission_nm</x:v>
      </x:c>
      <x:c r="B13" s="20" t="str">
        <x:v>lab_grouped</x:v>
      </x:c>
      <x:c r="C13" s="20" t="str">
        <x:v>GaussianProcess</x:v>
      </x:c>
      <x:c r="D13" s="20" t="n">
        <x:v>16</x:v>
      </x:c>
      <x:c r="E13" s="20" t="n">
        <x:v>13</x:v>
      </x:c>
      <x:c r="F13" s="20" t="n">
        <x:v>12</x:v>
      </x:c>
      <x:c r="G13" s="20" t="n">
        <x:v>13</x:v>
      </x:c>
      <x:c r="H13" s="20" t="n">
        <x:v>117.50190552469101</x:v>
      </x:c>
      <x:c r="I13" s="20" t="n">
        <x:v>160.61615525450125</x:v>
      </x:c>
      <x:c r="J13" s="20" t="n">
        <x:v>-0.19861858067177174</x:v>
      </x:c>
      <x:c r="K13" s="20" t="n">
        <x:v>-0.45535067751003916</x:v>
      </x:c>
      <x:c r="L13" s="20" t="str">
        <x:v>Diagnostic OOF only; no production claim</x:v>
      </x:c>
    </x:row>
    <x:row r="14" ht="19" customHeight="1">
      <x:c r="A14" s="20" t="str">
        <x:v>Core_Size_nm</x:v>
      </x:c>
      <x:c r="B14" s="20" t="str">
        <x:v>paper_grouped</x:v>
      </x:c>
      <x:c r="C14" s="20" t="str">
        <x:v>DummyMedian</x:v>
      </x:c>
      <x:c r="D14" s="20" t="n">
        <x:v>13</x:v>
      </x:c>
      <x:c r="E14" s="20" t="n">
        <x:v>10</x:v>
      </x:c>
      <x:c r="F14" s="20" t="n">
        <x:v>10</x:v>
      </x:c>
      <x:c r="G14" s="20" t="n">
        <x:v>10</x:v>
      </x:c>
      <x:c r="H14" s="20" t="n">
        <x:v>0.35076923076923083</x:v>
      </x:c>
      <x:c r="I14" s="20" t="n">
        <x:v>0.40359919188758014</x:v>
      </x:c>
      <x:c r="J14" s="20" t="n">
        <x:v>-0.16789980993755105</x:v>
      </x:c>
      <x:c r="K14" s="20" t="n">
        <x:v>-0.36771084782153735</x:v>
      </x:c>
      <x:c r="L14" s="20" t="str">
        <x:v>Diagnostic OOF only; no production claim</x:v>
      </x:c>
    </x:row>
    <x:row r="15" ht="19" customHeight="1">
      <x:c r="A15" s="20" t="str">
        <x:v>Core_Size_nm</x:v>
      </x:c>
      <x:c r="B15" s="20" t="str">
        <x:v>paper_grouped</x:v>
      </x:c>
      <x:c r="C15" s="20" t="str">
        <x:v>ElasticNet</x:v>
      </x:c>
      <x:c r="D15" s="20" t="n">
        <x:v>13</x:v>
      </x:c>
      <x:c r="E15" s="20" t="n">
        <x:v>10</x:v>
      </x:c>
      <x:c r="F15" s="20" t="n">
        <x:v>10</x:v>
      </x:c>
      <x:c r="G15" s="20" t="n">
        <x:v>10</x:v>
      </x:c>
      <x:c r="H15" s="20" t="n">
        <x:v>1.4029820239916853</x:v>
      </x:c>
      <x:c r="I15" s="20" t="n">
        <x:v>1.9878141772192395</x:v>
      </x:c>
      <x:c r="J15" s="20" t="n">
        <x:v>-27.330652632576726</x:v>
      </x:c>
      <x:c r="K15" s="20" t="n">
        <x:v>0.5905659071073175</x:v>
      </x:c>
      <x:c r="L15" s="20" t="str">
        <x:v>Diagnostic OOF only; no production claim</x:v>
      </x:c>
    </x:row>
    <x:row r="16" ht="19" customHeight="1">
      <x:c r="A16" s="20" t="str">
        <x:v>Core_Size_nm</x:v>
      </x:c>
      <x:c r="B16" s="20" t="str">
        <x:v>paper_grouped</x:v>
      </x:c>
      <x:c r="C16" s="20" t="str">
        <x:v>RandomForest</x:v>
      </x:c>
      <x:c r="D16" s="20" t="n">
        <x:v>13</x:v>
      </x:c>
      <x:c r="E16" s="20" t="n">
        <x:v>10</x:v>
      </x:c>
      <x:c r="F16" s="20" t="n">
        <x:v>10</x:v>
      </x:c>
      <x:c r="G16" s="20" t="n">
        <x:v>10</x:v>
      </x:c>
      <x:c r="H16" s="20" t="n">
        <x:v>0.2980854945054943</x:v>
      </x:c>
      <x:c r="I16" s="20" t="n">
        <x:v>0.32755298911481595</x:v>
      </x:c>
      <x:c r="J16" s="20" t="n">
        <x:v>0.23074886494575697</x:v>
      </x:c>
      <x:c r="K16" s="20" t="n">
        <x:v>0.5523275781978022</x:v>
      </x:c>
      <x:c r="L16" s="20" t="str">
        <x:v>Diagnostic OOF only; no production claim</x:v>
      </x:c>
    </x:row>
    <x:row r="17" ht="19" customHeight="1">
      <x:c r="A17" s="20" t="str">
        <x:v>Core_Size_nm</x:v>
      </x:c>
      <x:c r="B17" s="20" t="str">
        <x:v>paper_grouped</x:v>
      </x:c>
      <x:c r="C17" s="20" t="str">
        <x:v>HistGradientBoosting</x:v>
      </x:c>
      <x:c r="D17" s="20" t="n">
        <x:v>13</x:v>
      </x:c>
      <x:c r="E17" s="20" t="n">
        <x:v>10</x:v>
      </x:c>
      <x:c r="F17" s="20" t="n">
        <x:v>10</x:v>
      </x:c>
      <x:c r="G17" s="20" t="n">
        <x:v>10</x:v>
      </x:c>
      <x:c r="H17" s="20" t="n">
        <x:v>0.34415384615384614</x:v>
      </x:c>
      <x:c r="I17" s="20" t="n">
        <x:v>0.402748532170248</x:v>
      </x:c>
      <x:c r="J17" s="20" t="n">
        <x:v>-0.16298186973653794</x:v>
      </x:c>
      <x:c r="K17" s="20" t="n">
        <x:v>-0.412776338753822</x:v>
      </x:c>
      <x:c r="L17" s="20" t="str">
        <x:v>Diagnostic OOF only; no production claim</x:v>
      </x:c>
    </x:row>
    <x:row r="18" ht="19" customHeight="1">
      <x:c r="A18" s="20" t="str">
        <x:v>Core_Size_nm</x:v>
      </x:c>
      <x:c r="B18" s="20" t="str">
        <x:v>paper_grouped</x:v>
      </x:c>
      <x:c r="C18" s="20" t="str">
        <x:v>GaussianProcess</x:v>
      </x:c>
      <x:c r="D18" s="20" t="n">
        <x:v>13</x:v>
      </x:c>
      <x:c r="E18" s="20" t="n">
        <x:v>10</x:v>
      </x:c>
      <x:c r="F18" s="20" t="n">
        <x:v>10</x:v>
      </x:c>
      <x:c r="G18" s="20" t="n">
        <x:v>10</x:v>
      </x:c>
      <x:c r="H18" s="20" t="n">
        <x:v>0.344153822558897</x:v>
      </x:c>
      <x:c r="I18" s="20" t="n">
        <x:v>0.4027485040442084</x:v>
      </x:c>
      <x:c r="J18" s="20" t="n">
        <x:v>-0.16298170730231254</x:v>
      </x:c>
      <x:c r="K18" s="20" t="n">
        <x:v>-0.29412226262380126</x:v>
      </x:c>
      <x:c r="L18" s="20" t="str">
        <x:v>Diagnostic OOF only; no production claim</x:v>
      </x:c>
    </x:row>
    <x:row r="19" ht="19" customHeight="1">
      <x:c r="A19" s="20" t="str">
        <x:v>Core_Size_nm</x:v>
      </x:c>
      <x:c r="B19" s="20" t="str">
        <x:v>lab_grouped</x:v>
      </x:c>
      <x:c r="C19" s="20" t="str">
        <x:v>DummyMedian</x:v>
      </x:c>
      <x:c r="D19" s="20" t="n">
        <x:v>13</x:v>
      </x:c>
      <x:c r="E19" s="20" t="n">
        <x:v>10</x:v>
      </x:c>
      <x:c r="F19" s="20" t="n">
        <x:v>10</x:v>
      </x:c>
      <x:c r="G19" s="20" t="n">
        <x:v>10</x:v>
      </x:c>
      <x:c r="H19" s="20" t="n">
        <x:v>0.35076923076923083</x:v>
      </x:c>
      <x:c r="I19" s="20" t="n">
        <x:v>0.40359919188758014</x:v>
      </x:c>
      <x:c r="J19" s="20" t="n">
        <x:v>-0.16789980993755105</x:v>
      </x:c>
      <x:c r="K19" s="20" t="n">
        <x:v>-0.36771084782153735</x:v>
      </x:c>
      <x:c r="L19" s="20" t="str">
        <x:v>Diagnostic OOF only; no production claim</x:v>
      </x:c>
    </x:row>
    <x:row r="20" ht="19" customHeight="1">
      <x:c r="A20" s="20" t="str">
        <x:v>Core_Size_nm</x:v>
      </x:c>
      <x:c r="B20" s="20" t="str">
        <x:v>lab_grouped</x:v>
      </x:c>
      <x:c r="C20" s="20" t="str">
        <x:v>ElasticNet</x:v>
      </x:c>
      <x:c r="D20" s="20" t="n">
        <x:v>13</x:v>
      </x:c>
      <x:c r="E20" s="20" t="n">
        <x:v>10</x:v>
      </x:c>
      <x:c r="F20" s="20" t="n">
        <x:v>10</x:v>
      </x:c>
      <x:c r="G20" s="20" t="n">
        <x:v>10</x:v>
      </x:c>
      <x:c r="H20" s="20" t="n">
        <x:v>1.4029820239916853</x:v>
      </x:c>
      <x:c r="I20" s="20" t="n">
        <x:v>1.9878141772192395</x:v>
      </x:c>
      <x:c r="J20" s="20" t="n">
        <x:v>-27.330652632576726</x:v>
      </x:c>
      <x:c r="K20" s="20" t="n">
        <x:v>0.5905659071073175</x:v>
      </x:c>
      <x:c r="L20" s="20" t="str">
        <x:v>Diagnostic OOF only; no production claim</x:v>
      </x:c>
    </x:row>
    <x:row r="21" ht="19" customHeight="1">
      <x:c r="A21" s="20" t="str">
        <x:v>Core_Size_nm</x:v>
      </x:c>
      <x:c r="B21" s="20" t="str">
        <x:v>lab_grouped</x:v>
      </x:c>
      <x:c r="C21" s="20" t="str">
        <x:v>RandomForest</x:v>
      </x:c>
      <x:c r="D21" s="20" t="n">
        <x:v>13</x:v>
      </x:c>
      <x:c r="E21" s="20" t="n">
        <x:v>10</x:v>
      </x:c>
      <x:c r="F21" s="20" t="n">
        <x:v>10</x:v>
      </x:c>
      <x:c r="G21" s="20" t="n">
        <x:v>10</x:v>
      </x:c>
      <x:c r="H21" s="20" t="n">
        <x:v>0.2980854945054943</x:v>
      </x:c>
      <x:c r="I21" s="20" t="n">
        <x:v>0.32755298911481595</x:v>
      </x:c>
      <x:c r="J21" s="20" t="n">
        <x:v>0.23074886494575697</x:v>
      </x:c>
      <x:c r="K21" s="20" t="n">
        <x:v>0.5523275781978022</x:v>
      </x:c>
      <x:c r="L21" s="20" t="str">
        <x:v>Diagnostic OOF only; no production claim</x:v>
      </x:c>
    </x:row>
    <x:row r="22" ht="19" customHeight="1">
      <x:c r="A22" s="20" t="str">
        <x:v>Core_Size_nm</x:v>
      </x:c>
      <x:c r="B22" s="20" t="str">
        <x:v>lab_grouped</x:v>
      </x:c>
      <x:c r="C22" s="20" t="str">
        <x:v>HistGradientBoosting</x:v>
      </x:c>
      <x:c r="D22" s="20" t="n">
        <x:v>13</x:v>
      </x:c>
      <x:c r="E22" s="20" t="n">
        <x:v>10</x:v>
      </x:c>
      <x:c r="F22" s="20" t="n">
        <x:v>10</x:v>
      </x:c>
      <x:c r="G22" s="20" t="n">
        <x:v>10</x:v>
      </x:c>
      <x:c r="H22" s="20" t="n">
        <x:v>0.34415384615384614</x:v>
      </x:c>
      <x:c r="I22" s="20" t="n">
        <x:v>0.402748532170248</x:v>
      </x:c>
      <x:c r="J22" s="20" t="n">
        <x:v>-0.16298186973653794</x:v>
      </x:c>
      <x:c r="K22" s="20" t="n">
        <x:v>-0.412776338753822</x:v>
      </x:c>
      <x:c r="L22" s="20" t="str">
        <x:v>Diagnostic OOF only; no production claim</x:v>
      </x:c>
    </x:row>
    <x:row r="23" ht="19" customHeight="1">
      <x:c r="A23" s="20" t="str">
        <x:v>Core_Size_nm</x:v>
      </x:c>
      <x:c r="B23" s="20" t="str">
        <x:v>lab_grouped</x:v>
      </x:c>
      <x:c r="C23" s="20" t="str">
        <x:v>GaussianProcess</x:v>
      </x:c>
      <x:c r="D23" s="20" t="n">
        <x:v>13</x:v>
      </x:c>
      <x:c r="E23" s="20" t="n">
        <x:v>10</x:v>
      </x:c>
      <x:c r="F23" s="20" t="n">
        <x:v>10</x:v>
      </x:c>
      <x:c r="G23" s="20" t="n">
        <x:v>10</x:v>
      </x:c>
      <x:c r="H23" s="20" t="n">
        <x:v>0.344153822558897</x:v>
      </x:c>
      <x:c r="I23" s="20" t="n">
        <x:v>0.4027485040442084</x:v>
      </x:c>
      <x:c r="J23" s="20" t="n">
        <x:v>-0.16298170730231254</x:v>
      </x:c>
      <x:c r="K23" s="20" t="n">
        <x:v>-0.29412226262380126</x:v>
      </x:c>
      <x:c r="L23" s="20" t="str">
        <x:v>Diagnostic OOF only; no production claim</x:v>
      </x:c>
    </x:row>
    <x:row r="24" ht="19" customHeight="1">
      <x:c r="A24" s="20" t="str">
        <x:v>PLQY_pct</x:v>
      </x:c>
      <x:c r="B24" s="20" t="str">
        <x:v>paper_grouped</x:v>
      </x:c>
      <x:c r="C24" s="20" t="str">
        <x:v>DummyMedian</x:v>
      </x:c>
      <x:c r="D24" s="20" t="n">
        <x:v>15</x:v>
      </x:c>
      <x:c r="E24" s="20" t="n">
        <x:v>8</x:v>
      </x:c>
      <x:c r="F24" s="20" t="n">
        <x:v>8</x:v>
      </x:c>
      <x:c r="G24" s="20" t="n">
        <x:v>8</x:v>
      </x:c>
      <x:c r="H24" s="20" t="n">
        <x:v>7.849333333333334</x:v>
      </x:c>
      <x:c r="I24" s="20" t="n">
        <x:v>9.345677075525348</x:v>
      </x:c>
      <x:c r="J24" s="20" t="n">
        <x:v>-0.6727209690715279</x:v>
      </x:c>
      <x:c r="K24" s="20" t="n">
        <x:v>-0.5803368397263229</x:v>
      </x:c>
      <x:c r="L24" s="20" t="str">
        <x:v>Diagnostic OOF only; no production claim</x:v>
      </x:c>
    </x:row>
    <x:row r="25" ht="19" customHeight="1">
      <x:c r="A25" s="20" t="str">
        <x:v>PLQY_pct</x:v>
      </x:c>
      <x:c r="B25" s="20" t="str">
        <x:v>paper_grouped</x:v>
      </x:c>
      <x:c r="C25" s="20" t="str">
        <x:v>ElasticNet</x:v>
      </x:c>
      <x:c r="D25" s="20" t="n">
        <x:v>15</x:v>
      </x:c>
      <x:c r="E25" s="20" t="n">
        <x:v>8</x:v>
      </x:c>
      <x:c r="F25" s="20" t="n">
        <x:v>8</x:v>
      </x:c>
      <x:c r="G25" s="20" t="n">
        <x:v>8</x:v>
      </x:c>
      <x:c r="H25" s="20" t="n">
        <x:v>7.1986699826216904</x:v>
      </x:c>
      <x:c r="I25" s="20" t="n">
        <x:v>8.84342625150608</x:v>
      </x:c>
      <x:c r="J25" s="20" t="n">
        <x:v>-0.4977629277833435</x:v>
      </x:c>
      <x:c r="K25" s="20" t="n">
        <x:v>-0.13620071684587814</x:v>
      </x:c>
      <x:c r="L25" s="20" t="str">
        <x:v>Diagnostic OOF only; no production claim</x:v>
      </x:c>
    </x:row>
    <x:row r="26" ht="19" customHeight="1">
      <x:c r="A26" s="20" t="str">
        <x:v>PLQY_pct</x:v>
      </x:c>
      <x:c r="B26" s="20" t="str">
        <x:v>paper_grouped</x:v>
      </x:c>
      <x:c r="C26" s="20" t="str">
        <x:v>RandomForest</x:v>
      </x:c>
      <x:c r="D26" s="20" t="n">
        <x:v>15</x:v>
      </x:c>
      <x:c r="E26" s="20" t="n">
        <x:v>8</x:v>
      </x:c>
      <x:c r="F26" s="20" t="n">
        <x:v>8</x:v>
      </x:c>
      <x:c r="G26" s="20" t="n">
        <x:v>8</x:v>
      </x:c>
      <x:c r="H26" s="20" t="n">
        <x:v>7.838057513227515</x:v>
      </x:c>
      <x:c r="I26" s="20" t="n">
        <x:v>8.896890728623003</x:v>
      </x:c>
      <x:c r="J26" s="20" t="n">
        <x:v>-0.5159276457497877</x:v>
      </x:c>
      <x:c r="K26" s="20" t="n">
        <x:v>-0.5340501792114696</x:v>
      </x:c>
      <x:c r="L26" s="20" t="str">
        <x:v>Diagnostic OOF only; no production claim</x:v>
      </x:c>
    </x:row>
    <x:row r="27" ht="19" customHeight="1">
      <x:c r="A27" s="20" t="str">
        <x:v>PLQY_pct</x:v>
      </x:c>
      <x:c r="B27" s="20" t="str">
        <x:v>paper_grouped</x:v>
      </x:c>
      <x:c r="C27" s="20" t="str">
        <x:v>HistGradientBoosting</x:v>
      </x:c>
      <x:c r="D27" s="20" t="n">
        <x:v>15</x:v>
      </x:c>
      <x:c r="E27" s="20" t="n">
        <x:v>8</x:v>
      </x:c>
      <x:c r="F27" s="20" t="n">
        <x:v>8</x:v>
      </x:c>
      <x:c r="G27" s="20" t="n">
        <x:v>8</x:v>
      </x:c>
      <x:c r="H27" s="20" t="n">
        <x:v>7.1514974358974355</x:v>
      </x:c>
      <x:c r="I27" s="20" t="n">
        <x:v>8.343293203010452</x:v>
      </x:c>
      <x:c r="J27" s="20" t="n">
        <x:v>-0.333143722305715</x:v>
      </x:c>
      <x:c r="K27" s="20" t="n">
        <x:v>-0.8955171902727407</x:v>
      </x:c>
      <x:c r="L27" s="20" t="str">
        <x:v>Diagnostic OOF only; no production claim</x:v>
      </x:c>
    </x:row>
    <x:row r="28" ht="19" customHeight="1">
      <x:c r="A28" s="20" t="str">
        <x:v>PLQY_pct</x:v>
      </x:c>
      <x:c r="B28" s="20" t="str">
        <x:v>paper_grouped</x:v>
      </x:c>
      <x:c r="C28" s="20" t="str">
        <x:v>GaussianProcess</x:v>
      </x:c>
      <x:c r="D28" s="20" t="n">
        <x:v>15</x:v>
      </x:c>
      <x:c r="E28" s="20" t="n">
        <x:v>8</x:v>
      </x:c>
      <x:c r="F28" s="20" t="n">
        <x:v>8</x:v>
      </x:c>
      <x:c r="G28" s="20" t="n">
        <x:v>8</x:v>
      </x:c>
      <x:c r="H28" s="20" t="n">
        <x:v>7.610430286537649</x:v>
      </x:c>
      <x:c r="I28" s="20" t="n">
        <x:v>8.645896241744532</x:v>
      </x:c>
      <x:c r="J28" s="20" t="n">
        <x:v>-0.43160101824650576</x:v>
      </x:c>
      <x:c r="K28" s="20" t="n">
        <x:v>-0.6001818747670808</x:v>
      </x:c>
      <x:c r="L28" s="20" t="str">
        <x:v>Diagnostic OOF only; no production claim</x:v>
      </x:c>
    </x:row>
    <x:row r="29" ht="19" customHeight="1">
      <x:c r="A29" s="20" t="str">
        <x:v>PLQY_pct</x:v>
      </x:c>
      <x:c r="B29" s="20" t="str">
        <x:v>lab_grouped</x:v>
      </x:c>
      <x:c r="C29" s="20" t="str">
        <x:v>DummyMedian</x:v>
      </x:c>
      <x:c r="D29" s="20" t="n">
        <x:v>15</x:v>
      </x:c>
      <x:c r="E29" s="20" t="n">
        <x:v>8</x:v>
      </x:c>
      <x:c r="F29" s="20" t="n">
        <x:v>8</x:v>
      </x:c>
      <x:c r="G29" s="20" t="n">
        <x:v>8</x:v>
      </x:c>
      <x:c r="H29" s="20" t="n">
        <x:v>7.849333333333334</x:v>
      </x:c>
      <x:c r="I29" s="20" t="n">
        <x:v>9.345677075525348</x:v>
      </x:c>
      <x:c r="J29" s="20" t="n">
        <x:v>-0.6727209690715279</x:v>
      </x:c>
      <x:c r="K29" s="20" t="n">
        <x:v>-0.5803368397263229</x:v>
      </x:c>
      <x:c r="L29" s="20" t="str">
        <x:v>Diagnostic OOF only; no production claim</x:v>
      </x:c>
    </x:row>
    <x:row r="30" ht="19" customHeight="1">
      <x:c r="A30" s="20" t="str">
        <x:v>PLQY_pct</x:v>
      </x:c>
      <x:c r="B30" s="20" t="str">
        <x:v>lab_grouped</x:v>
      </x:c>
      <x:c r="C30" s="20" t="str">
        <x:v>ElasticNet</x:v>
      </x:c>
      <x:c r="D30" s="20" t="n">
        <x:v>15</x:v>
      </x:c>
      <x:c r="E30" s="20" t="n">
        <x:v>8</x:v>
      </x:c>
      <x:c r="F30" s="20" t="n">
        <x:v>8</x:v>
      </x:c>
      <x:c r="G30" s="20" t="n">
        <x:v>8</x:v>
      </x:c>
      <x:c r="H30" s="20" t="n">
        <x:v>7.1986699826216904</x:v>
      </x:c>
      <x:c r="I30" s="20" t="n">
        <x:v>8.84342625150608</x:v>
      </x:c>
      <x:c r="J30" s="20" t="n">
        <x:v>-0.4977629277833435</x:v>
      </x:c>
      <x:c r="K30" s="20" t="n">
        <x:v>-0.13620071684587814</x:v>
      </x:c>
      <x:c r="L30" s="20" t="str">
        <x:v>Diagnostic OOF only; no production claim</x:v>
      </x:c>
    </x:row>
    <x:row r="31" ht="19" customHeight="1">
      <x:c r="A31" s="20" t="str">
        <x:v>PLQY_pct</x:v>
      </x:c>
      <x:c r="B31" s="20" t="str">
        <x:v>lab_grouped</x:v>
      </x:c>
      <x:c r="C31" s="20" t="str">
        <x:v>RandomForest</x:v>
      </x:c>
      <x:c r="D31" s="20" t="n">
        <x:v>15</x:v>
      </x:c>
      <x:c r="E31" s="20" t="n">
        <x:v>8</x:v>
      </x:c>
      <x:c r="F31" s="20" t="n">
        <x:v>8</x:v>
      </x:c>
      <x:c r="G31" s="20" t="n">
        <x:v>8</x:v>
      </x:c>
      <x:c r="H31" s="20" t="n">
        <x:v>7.838057513227515</x:v>
      </x:c>
      <x:c r="I31" s="20" t="n">
        <x:v>8.896890728623003</x:v>
      </x:c>
      <x:c r="J31" s="20" t="n">
        <x:v>-0.5159276457497877</x:v>
      </x:c>
      <x:c r="K31" s="20" t="n">
        <x:v>-0.5340501792114696</x:v>
      </x:c>
      <x:c r="L31" s="20" t="str">
        <x:v>Diagnostic OOF only; no production claim</x:v>
      </x:c>
    </x:row>
    <x:row r="32" ht="19" customHeight="1">
      <x:c r="A32" s="20" t="str">
        <x:v>PLQY_pct</x:v>
      </x:c>
      <x:c r="B32" s="20" t="str">
        <x:v>lab_grouped</x:v>
      </x:c>
      <x:c r="C32" s="20" t="str">
        <x:v>HistGradientBoosting</x:v>
      </x:c>
      <x:c r="D32" s="20" t="n">
        <x:v>15</x:v>
      </x:c>
      <x:c r="E32" s="20" t="n">
        <x:v>8</x:v>
      </x:c>
      <x:c r="F32" s="20" t="n">
        <x:v>8</x:v>
      </x:c>
      <x:c r="G32" s="20" t="n">
        <x:v>8</x:v>
      </x:c>
      <x:c r="H32" s="20" t="n">
        <x:v>7.1514974358974355</x:v>
      </x:c>
      <x:c r="I32" s="20" t="n">
        <x:v>8.343293203010452</x:v>
      </x:c>
      <x:c r="J32" s="20" t="n">
        <x:v>-0.333143722305715</x:v>
      </x:c>
      <x:c r="K32" s="20" t="n">
        <x:v>-0.8955171902727407</x:v>
      </x:c>
      <x:c r="L32" s="20" t="str">
        <x:v>Diagnostic OOF only; no production claim</x:v>
      </x:c>
    </x:row>
    <x:row r="33" ht="19" customHeight="1">
      <x:c r="A33" s="20" t="str">
        <x:v>PLQY_pct</x:v>
      </x:c>
      <x:c r="B33" s="20" t="str">
        <x:v>lab_grouped</x:v>
      </x:c>
      <x:c r="C33" s="20" t="str">
        <x:v>GaussianProcess</x:v>
      </x:c>
      <x:c r="D33" s="20" t="n">
        <x:v>15</x:v>
      </x:c>
      <x:c r="E33" s="20" t="n">
        <x:v>8</x:v>
      </x:c>
      <x:c r="F33" s="20" t="n">
        <x:v>8</x:v>
      </x:c>
      <x:c r="G33" s="20" t="n">
        <x:v>8</x:v>
      </x:c>
      <x:c r="H33" s="20" t="n">
        <x:v>7.610430286537649</x:v>
      </x:c>
      <x:c r="I33" s="20" t="n">
        <x:v>8.645896241744532</x:v>
      </x:c>
      <x:c r="J33" s="20" t="n">
        <x:v>-0.43160101824650576</x:v>
      </x:c>
      <x:c r="K33" s="20" t="n">
        <x:v>-0.6001818747670808</x:v>
      </x:c>
      <x:c r="L33" s="20" t="str">
        <x:v>Diagnostic OOF only; no production claim</x:v>
      </x:c>
    </x:row>
    <x:row r="34" ht="19" customHeight="1">
      <x:c r="A34" s="20" t="str">
        <x:v>Au_Nuclearity</x:v>
      </x:c>
      <x:c r="B34" s="20" t="str">
        <x:v>paper_grouped</x:v>
      </x:c>
      <x:c r="C34" s="20" t="str">
        <x:v>DummyMedian</x:v>
      </x:c>
      <x:c r="D34" s="20" t="n">
        <x:v>10</x:v>
      </x:c>
      <x:c r="E34" s="20" t="n">
        <x:v>9</x:v>
      </x:c>
      <x:c r="F34" s="20" t="n">
        <x:v>8</x:v>
      </x:c>
      <x:c r="G34" s="20" t="n">
        <x:v>9</x:v>
      </x:c>
      <x:c r="H34" s="20" t="n">
        <x:v>3.7</x:v>
      </x:c>
      <x:c r="I34" s="20" t="n">
        <x:v>5.454356057317857</x:v>
      </x:c>
      <x:c r="J34" s="20" t="n">
        <x:v>-0.21478154348713763</x:v>
      </x:c>
      <x:c r="K34" s="20" t="n">
        <x:v>-0.8637812294917969</x:v>
      </x:c>
      <x:c r="L34" s="20" t="str">
        <x:v>Diagnostic OOF only; no production claim</x:v>
      </x:c>
    </x:row>
    <x:row r="35" ht="19" customHeight="1">
      <x:c r="A35" s="20" t="str">
        <x:v>Au_Nuclearity</x:v>
      </x:c>
      <x:c r="B35" s="20" t="str">
        <x:v>paper_grouped</x:v>
      </x:c>
      <x:c r="C35" s="20" t="str">
        <x:v>ElasticNet</x:v>
      </x:c>
      <x:c r="D35" s="20" t="n">
        <x:v>10</x:v>
      </x:c>
      <x:c r="E35" s="20" t="n">
        <x:v>9</x:v>
      </x:c>
      <x:c r="F35" s="20" t="n">
        <x:v>8</x:v>
      </x:c>
      <x:c r="G35" s="20" t="n">
        <x:v>9</x:v>
      </x:c>
      <x:c r="H35" s="20" t="n">
        <x:v>7.708779919534743</x:v>
      </x:c>
      <x:c r="I35" s="20" t="n">
        <x:v>8.885971247188975</x:v>
      </x:c>
      <x:c r="J35" s="20" t="n">
        <x:v>-2.224192936131857</x:v>
      </x:c>
      <x:c r="K35" s="20" t="n">
        <x:v>-0.7508012182480992</x:v>
      </x:c>
      <x:c r="L35" s="20" t="str">
        <x:v>Diagnostic OOF only; no production claim</x:v>
      </x:c>
    </x:row>
    <x:row r="36" ht="19" customHeight="1">
      <x:c r="A36" s="20" t="str">
        <x:v>Au_Nuclearity</x:v>
      </x:c>
      <x:c r="B36" s="20" t="str">
        <x:v>paper_grouped</x:v>
      </x:c>
      <x:c r="C36" s="20" t="str">
        <x:v>RandomForest</x:v>
      </x:c>
      <x:c r="D36" s="20" t="n">
        <x:v>10</x:v>
      </x:c>
      <x:c r="E36" s="20" t="n">
        <x:v>9</x:v>
      </x:c>
      <x:c r="F36" s="20" t="n">
        <x:v>8</x:v>
      </x:c>
      <x:c r="G36" s="20" t="n">
        <x:v>9</x:v>
      </x:c>
      <x:c r="H36" s="20" t="n">
        <x:v>4.624195833333333</x:v>
      </x:c>
      <x:c r="I36" s="20" t="n">
        <x:v>5.826814049537014</x:v>
      </x:c>
      <x:c r="J36" s="20" t="n">
        <x:v>-0.3863520607546731</x:v>
      </x:c>
      <x:c r="K36" s="20" t="n">
        <x:v>-0.7938799766721706</x:v>
      </x:c>
      <x:c r="L36" s="20" t="str">
        <x:v>Diagnostic OOF only; no production claim</x:v>
      </x:c>
    </x:row>
    <x:row r="37" ht="19" customHeight="1">
      <x:c r="A37" s="20" t="str">
        <x:v>Au_Nuclearity</x:v>
      </x:c>
      <x:c r="B37" s="20" t="str">
        <x:v>paper_grouped</x:v>
      </x:c>
      <x:c r="C37" s="20" t="str">
        <x:v>HistGradientBoosting</x:v>
      </x:c>
      <x:c r="D37" s="20" t="n">
        <x:v>10</x:v>
      </x:c>
      <x:c r="E37" s="20" t="n">
        <x:v>9</x:v>
      </x:c>
      <x:c r="F37" s="20" t="n">
        <x:v>8</x:v>
      </x:c>
      <x:c r="G37" s="20" t="n">
        <x:v>9</x:v>
      </x:c>
      <x:c r="H37" s="20" t="n">
        <x:v>4.775</x:v>
      </x:c>
      <x:c r="I37" s="20" t="n">
        <x:v>5.942432162002357</x:v>
      </x:c>
      <x:c r="J37" s="20" t="n">
        <x:v>-0.44191506737443875</x:v>
      </x:c>
      <x:c r="K37" s="20" t="n">
        <x:v>-0.8598172563316663</x:v>
      </x:c>
      <x:c r="L37" s="20" t="str">
        <x:v>Diagnostic OOF only; no production claim</x:v>
      </x:c>
    </x:row>
    <x:row r="38" ht="19" customHeight="1">
      <x:c r="A38" s="20" t="str">
        <x:v>Au_Nuclearity</x:v>
      </x:c>
      <x:c r="B38" s="20" t="str">
        <x:v>paper_grouped</x:v>
      </x:c>
      <x:c r="C38" s="20" t="str">
        <x:v>GaussianProcess</x:v>
      </x:c>
      <x:c r="D38" s="20" t="n">
        <x:v>10</x:v>
      </x:c>
      <x:c r="E38" s="20" t="n">
        <x:v>9</x:v>
      </x:c>
      <x:c r="F38" s="20" t="n">
        <x:v>8</x:v>
      </x:c>
      <x:c r="G38" s="20" t="n">
        <x:v>9</x:v>
      </x:c>
      <x:c r="H38" s="20" t="n">
        <x:v>4.791459760775639</x:v>
      </x:c>
      <x:c r="I38" s="20" t="n">
        <x:v>5.990498264373682</x:v>
      </x:c>
      <x:c r="J38" s="20" t="n">
        <x:v>-0.46533562496790903</x:v>
      </x:c>
      <x:c r="K38" s="20" t="n">
        <x:v>-0.8098769172646004</x:v>
      </x:c>
      <x:c r="L38" s="20" t="str">
        <x:v>Diagnostic OOF only; no production claim</x:v>
      </x:c>
    </x:row>
    <x:row r="39" ht="19" customHeight="1">
      <x:c r="A39" s="20" t="str">
        <x:v>Au_Nuclearity</x:v>
      </x:c>
      <x:c r="B39" s="20" t="str">
        <x:v>lab_grouped</x:v>
      </x:c>
      <x:c r="C39" s="20" t="str">
        <x:v>DummyMedian</x:v>
      </x:c>
      <x:c r="D39" s="20" t="n">
        <x:v>10</x:v>
      </x:c>
      <x:c r="E39" s="20" t="n">
        <x:v>9</x:v>
      </x:c>
      <x:c r="F39" s="20" t="n">
        <x:v>8</x:v>
      </x:c>
      <x:c r="G39" s="20" t="n">
        <x:v>9</x:v>
      </x:c>
      <x:c r="H39" s="20" t="n">
        <x:v>3.7</x:v>
      </x:c>
      <x:c r="I39" s="20" t="n">
        <x:v>5.315072906367325</x:v>
      </x:c>
      <x:c r="J39" s="20" t="n">
        <x:v>-0.15353205389955105</x:v>
      </x:c>
      <x:c r="K39" s="20" t="n">
        <x:v>-0.5851421232041204</x:v>
      </x:c>
      <x:c r="L39" s="20" t="str">
        <x:v>Diagnostic OOF only; no production claim</x:v>
      </x:c>
    </x:row>
    <x:row r="40" ht="19" customHeight="1">
      <x:c r="A40" s="20" t="str">
        <x:v>Au_Nuclearity</x:v>
      </x:c>
      <x:c r="B40" s="20" t="str">
        <x:v>lab_grouped</x:v>
      </x:c>
      <x:c r="C40" s="20" t="str">
        <x:v>ElasticNet</x:v>
      </x:c>
      <x:c r="D40" s="20" t="n">
        <x:v>10</x:v>
      </x:c>
      <x:c r="E40" s="20" t="n">
        <x:v>9</x:v>
      </x:c>
      <x:c r="F40" s="20" t="n">
        <x:v>8</x:v>
      </x:c>
      <x:c r="G40" s="20" t="n">
        <x:v>9</x:v>
      </x:c>
      <x:c r="H40" s="20" t="n">
        <x:v>4.753591933214986</x:v>
      </x:c>
      <x:c r="I40" s="20" t="n">
        <x:v>5.169568605527866</x:v>
      </x:c>
      <x:c r="J40" s="20" t="n">
        <x:v>-0.09123885533929488</x:v>
      </x:c>
      <x:c r="K40" s="20" t="n">
        <x:v>0.4923286677036717</x:v>
      </x:c>
      <x:c r="L40" s="20" t="str">
        <x:v>Diagnostic OOF only; no production claim</x:v>
      </x:c>
    </x:row>
    <x:row r="41" ht="19" customHeight="1">
      <x:c r="A41" s="20" t="str">
        <x:v>Au_Nuclearity</x:v>
      </x:c>
      <x:c r="B41" s="20" t="str">
        <x:v>lab_grouped</x:v>
      </x:c>
      <x:c r="C41" s="20" t="str">
        <x:v>RandomForest</x:v>
      </x:c>
      <x:c r="D41" s="20" t="n">
        <x:v>10</x:v>
      </x:c>
      <x:c r="E41" s="20" t="n">
        <x:v>9</x:v>
      </x:c>
      <x:c r="F41" s="20" t="n">
        <x:v>8</x:v>
      </x:c>
      <x:c r="G41" s="20" t="n">
        <x:v>9</x:v>
      </x:c>
      <x:c r="H41" s="20" t="n">
        <x:v>3.8804583333333342</x:v>
      </x:c>
      <x:c r="I41" s="20" t="n">
        <x:v>4.870899937775302</x:v>
      </x:c>
      <x:c r="J41" s="20" t="n">
        <x:v>0.031210036593734225</x:v>
      </x:c>
      <x:c r="K41" s="20" t="n">
        <x:v>0.1661609253499892</x:v>
      </x:c>
      <x:c r="L41" s="20" t="str">
        <x:v>Diagnostic OOF only; no production claim</x:v>
      </x:c>
    </x:row>
    <x:row r="42" ht="19" customHeight="1">
      <x:c r="A42" s="20" t="str">
        <x:v>Au_Nuclearity</x:v>
      </x:c>
      <x:c r="B42" s="20" t="str">
        <x:v>lab_grouped</x:v>
      </x:c>
      <x:c r="C42" s="20" t="str">
        <x:v>HistGradientBoosting</x:v>
      </x:c>
      <x:c r="D42" s="20" t="n">
        <x:v>10</x:v>
      </x:c>
      <x:c r="E42" s="20" t="n">
        <x:v>9</x:v>
      </x:c>
      <x:c r="F42" s="20" t="n">
        <x:v>8</x:v>
      </x:c>
      <x:c r="G42" s="20" t="n">
        <x:v>9</x:v>
      </x:c>
      <x:c r="H42" s="20" t="n">
        <x:v>4.225</x:v>
      </x:c>
      <x:c r="I42" s="20" t="n">
        <x:v>5.318011846545662</x:v>
      </x:c>
      <x:c r="J42" s="20" t="n">
        <x:v>-0.15480808493262566</x:v>
      </x:c>
      <x:c r="K42" s="20" t="n">
        <x:v>-0.44860030765130415</x:v>
      </x:c>
      <x:c r="L42" s="20" t="str">
        <x:v>Diagnostic OOF only; no production claim</x:v>
      </x:c>
    </x:row>
    <x:row r="43" ht="19" customHeight="1">
      <x:c r="A43" s="20" t="str">
        <x:v>Au_Nuclearity</x:v>
      </x:c>
      <x:c r="B43" s="20" t="str">
        <x:v>lab_grouped</x:v>
      </x:c>
      <x:c r="C43" s="20" t="str">
        <x:v>GaussianProcess</x:v>
      </x:c>
      <x:c r="D43" s="20" t="n">
        <x:v>10</x:v>
      </x:c>
      <x:c r="E43" s="20" t="n">
        <x:v>9</x:v>
      </x:c>
      <x:c r="F43" s="20" t="n">
        <x:v>8</x:v>
      </x:c>
      <x:c r="G43" s="20" t="n">
        <x:v>9</x:v>
      </x:c>
      <x:c r="H43" s="20" t="n">
        <x:v>3.7453899297930207</x:v>
      </x:c>
      <x:c r="I43" s="20" t="n">
        <x:v>5.032237871881625</x:v>
      </x:c>
      <x:c r="J43" s="20" t="n">
        <x:v>-0.03403095137605994</x:v>
      </x:c>
      <x:c r="K43" s="20" t="n">
        <x:v>0.12884405501936824</x:v>
      </x:c>
      <x:c r="L43" s="20" t="str">
        <x:v>Diagnostic OOF only; no production claim</x:v>
      </x:c>
    </x:row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  <x:row r="101" ht="19" customHeight="1"/>
    <x:row r="102" ht="19" customHeight="1"/>
    <x:row r="103" ht="19" customHeight="1"/>
    <x:row r="104" ht="19" customHeight="1"/>
    <x:row r="105" ht="19" customHeight="1"/>
    <x:row r="106" ht="19" customHeight="1"/>
    <x:row r="107" ht="19" customHeight="1"/>
    <x:row r="108" ht="19" customHeight="1"/>
    <x:row r="109" ht="19" customHeight="1"/>
    <x:row r="110" ht="19" customHeight="1"/>
    <x:row r="111" ht="19" customHeight="1"/>
    <x:row r="112" ht="19" customHeight="1"/>
    <x:row r="113" ht="19" customHeight="1"/>
    <x:row r="114" ht="19" customHeight="1"/>
    <x:row r="115" ht="19" customHeight="1"/>
    <x:row r="116" ht="19" customHeight="1"/>
    <x:row r="117" ht="19" customHeight="1"/>
    <x:row r="118" ht="19" customHeight="1"/>
    <x:row r="119" ht="19" customHeight="1"/>
    <x:row r="120" ht="19" customHeight="1"/>
    <x:row r="121" ht="19" customHeight="1"/>
    <x:row r="122" ht="19" customHeight="1"/>
    <x:row r="123" ht="19" customHeight="1"/>
    <x:row r="124" ht="19" customHeight="1"/>
    <x:row r="125" ht="19" customHeight="1"/>
    <x:row r="126" ht="19" customHeight="1"/>
    <x:row r="127" ht="19" customHeight="1"/>
    <x:row r="128" ht="19" customHeight="1"/>
    <x:row r="129" ht="19" customHeight="1"/>
    <x:row r="130" ht="19" customHeight="1"/>
    <x:row r="131" ht="19" customHeight="1"/>
    <x:row r="132" ht="19" customHeight="1"/>
    <x:row r="133" ht="19" customHeight="1"/>
    <x:row r="134" ht="19" customHeight="1"/>
    <x:row r="135" ht="19" customHeight="1"/>
    <x:row r="136" ht="19" customHeight="1"/>
    <x:row r="137" ht="19" customHeight="1"/>
    <x:row r="138" ht="19" customHeight="1"/>
    <x:row r="139" ht="19" customHeight="1"/>
    <x:row r="140" ht="19" customHeight="1"/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505584668804600"/>
  </x:tableParts>
</x:worksheet>
</file>

<file path=xl/worksheets/sheet4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62" hidden="0" customWidth="1"/>
    <x:col min="4" max="4" width="68" hidden="0" customWidth="1"/>
    <x:col min="5" max="5" width="18" hidden="0" customWidth="1"/>
    <x:col min="6" max="6" width="25" hidden="0" customWidth="1"/>
    <x:col min="7" max="7" width="62" hidden="0" customWidth="1"/>
    <x:col min="8" max="8" width="30" hidden="0" customWidth="1"/>
    <x:col min="9" max="9" width="44" hidden="0" customWidth="1"/>
    <x:col min="10" max="10" width="58" hidden="0" customWidth="1"/>
  </x:cols>
  <x:sheetData>
    <x:row r="1" ht="30" customHeight="1">
      <x:c r="A1" s="66" t="str">
        <x:v>PepAuDB v0.6 — Next Highest-Information Acquisitions</x:v>
      </x:c>
      <x:c r="B1" s="66"/>
      <x:c r="C1" s="66"/>
      <x:c r="D1" s="66"/>
      <x:c r="E1" s="66"/>
      <x:c r="F1" s="66"/>
      <x:c r="G1" s="66"/>
      <x:c r="H1" s="66"/>
      <x:c r="I1" s="66"/>
      <x:c r="J1" s="66"/>
    </x:row>
    <x:row r="2" ht="19" customHeight="1"/>
    <x:row r="3" ht="34" customHeight="1">
      <x:c r="A3" s="71" t="str">
        <x:v>Priority</x:v>
      </x:c>
      <x:c r="B3" s="71" t="str">
        <x:v>Source</x:v>
      </x:c>
      <x:c r="C3" s="71" t="str">
        <x:v>Need</x:v>
      </x:c>
      <x:c r="D3" s="71" t="str">
        <x:v>Why</x:v>
      </x:c>
      <x:c r="E3" s="71" t="str">
        <x:v>Expected_Impact</x:v>
      </x:c>
      <x:c r="F3" s="71" t="str">
        <x:v>Current_Status</x:v>
      </x:c>
      <x:c r="G3" s="71" t="str">
        <x:v>Do_Not_Do</x:v>
      </x:c>
      <x:c r="H3" s="71" t="str">
        <x:v>Target_Module</x:v>
      </x:c>
      <x:c r="I3" s="71" t="str">
        <x:v>DOI_URL</x:v>
      </x:c>
      <x:c r="J3" s="71" t="str">
        <x:v>Next_Action</x:v>
      </x:c>
    </x:row>
    <x:row r="4" ht="19" customHeight="1">
      <x:c r="A4" s="20" t="str">
        <x:v>P0</x:v>
      </x:c>
      <x:c r="B4" s="20" t="str">
        <x:v>W10 — 2022 CCY/KFFAAK seven-sequence panel</x:v>
      </x:c>
      <x:c r="C4" s="20" t="str">
        <x:v>Per-sequence quantitative formation, emission and synthesis mapping</x:v>
      </x:c>
      <x:c r="D4" s="20" t="str">
        <x:v>Controlled sequence permutations can improve positional learning more than isolated success records.</x:v>
      </x:c>
      <x:c r="E4" s="20" t="str">
        <x:v>High</x:v>
      </x:c>
      <x:c r="F4" s="20" t="str">
        <x:v>PARTIAL</x:v>
      </x:c>
      <x:c r="G4" s="20" t="str">
        <x:v>Do not assign paper-level ~18% QY to each sequence.</x:v>
      </x:c>
      <x:c r="H4" s="20" t="str">
        <x:v>formation / emission / ranking</x:v>
      </x:c>
      <x:c r="I4" s="20" t="str">
        <x:v>https://doi.org/10.1016/j.colsurfb.2022.112820</x:v>
      </x:c>
      <x:c r="J4" s="20" t="str">
        <x:v>Acquire full article/SI and map each sequence×condition outcome.</x:v>
      </x:c>
    </x:row>
    <x:row r="5" ht="19" customHeight="1">
      <x:c r="A5" s="20" t="str">
        <x:v>P0</x:v>
      </x:c>
      <x:c r="B5" s="20" t="str">
        <x:v>W01 — Liu 2020 same-sequence blue/red AuNCs</x:v>
      </x:c>
      <x:c r="C5" s="20" t="str">
        <x:v>Exact pH, Au:peptide ratio, light, time and temperature for both optical states</x:v>
      </x:c>
      <x:c r="D5" s="20" t="str">
        <x:v>Identical sequence with divergent outputs directly tests synthesis-context dependence.</x:v>
      </x:c>
      <x:c r="E5" s="20" t="str">
        <x:v>High</x:v>
      </x:c>
      <x:c r="F5" s="20" t="str">
        <x:v>PARTIAL</x:v>
      </x:c>
      <x:c r="G5" s="20" t="str">
        <x:v>Do not fill missing conditions from typical protocols.</x:v>
      </x:c>
      <x:c r="H5" s="20" t="str">
        <x:v>condition-aware emission</x:v>
      </x:c>
      <x:c r="I5" s="20" t="str">
        <x:v>https://doi.org/10.1021/acsabm.9b01078</x:v>
      </x:c>
      <x:c r="J5" s="20" t="str">
        <x:v>Extract numeric optimization data from full text/SI.</x:v>
      </x:c>
    </x:row>
    <x:row r="6" ht="19" customHeight="1">
      <x:c r="A6" s="20" t="str">
        <x:v>P0</x:v>
      </x:c>
      <x:c r="B6" s="20" t="str">
        <x:v>W09 — CMMMMM vs CYYYYY</x:v>
      </x:c>
      <x:c r="C6" s="20" t="str">
        <x:v>Exact synthesis, QY/lifetime and quantitative stability endpoints</x:v>
      </x:c>
      <x:c r="D6" s="20" t="str">
        <x:v>Matched residue-chemistry comparator is high information for sequence→optical effects.</x:v>
      </x:c>
      <x:c r="E6" s="20" t="str">
        <x:v>High</x:v>
      </x:c>
      <x:c r="F6" s="20" t="str">
        <x:v>PARTIAL</x:v>
      </x:c>
      <x:c r="G6" s="20" t="str">
        <x:v>Do not convert relative fluorescence to absolute QY.</x:v>
      </x:c>
      <x:c r="H6" s="20" t="str">
        <x:v>optical / stability</x:v>
      </x:c>
      <x:c r="I6" s="20" t="str">
        <x:v>https://doi.org/10.1021/acs.analchem.9b03463</x:v>
      </x:c>
      <x:c r="J6" s="20" t="str">
        <x:v>Acquire SI and extract all matched endpoints.</x:v>
      </x:c>
    </x:row>
    <x:row r="7" ht="19" customHeight="1">
      <x:c r="A7" s="20" t="str">
        <x:v>P0</x:v>
      </x:c>
      <x:c r="B7" s="20" t="str">
        <x:v>Independent formation failures</x:v>
      </x:c>
      <x:c r="C7" s="20" t="str">
        <x:v>Explicit failed AuNC synthesis controls from ≥3 additional independent papers</x:v>
      </x:c>
      <x:c r="D7" s="20" t="str">
        <x:v>Formation classifier remains negative-sample limited despite three verified failures.</x:v>
      </x:c>
      <x:c r="E7" s="20" t="str">
        <x:v>Critical</x:v>
      </x:c>
      <x:c r="F7" s="20" t="str">
        <x:v>SCARCE</x:v>
      </x:c>
      <x:c r="G7" s="20" t="str">
        <x:v>Do not infer failure from absence of reported fluorescence or missing data.</x:v>
      </x:c>
      <x:c r="H7" s="20" t="str">
        <x:v>formation classifier</x:v>
      </x:c>
      <x:c r="I7" s="20" t="str"/>
      <x:c r="J7" s="20" t="str">
        <x:v>Mine control/SI sections specifically for AuNP outcome, no-AuNC, or nonfluorescent matched failures.</x:v>
      </x:c>
    </x:row>
    <x:row r="8" ht="19" customHeight="1">
      <x:c r="A8" s="20" t="str">
        <x:v>P0</x:v>
      </x:c>
      <x:c r="B8" s="20" t="str">
        <x:v>Direct peptide-AuNC PTT primary studies</x:v>
      </x:c>
      <x:c r="C8" s="20" t="str">
        <x:v>Sequence + synthesis + laser + concentration + PCE/ΔT/heating outcome</x:v>
      </x:c>
      <x:c r="D8" s="20" t="str">
        <x:v>PTT is the project endpoint and remains the largest modeling gap.</x:v>
      </x:c>
      <x:c r="E8" s="20" t="str">
        <x:v>Critical</x:v>
      </x:c>
      <x:c r="F8" s="20" t="str">
        <x:v>SCARCE</x:v>
      </x:c>
      <x:c r="G8" s="20" t="str">
        <x:v>Do not substitute larger peptide-AuNP or nonpeptide AuNC PTT rows as equivalent targets.</x:v>
      </x:c>
      <x:c r="H8" s="20" t="str">
        <x:v>PTT</x:v>
      </x:c>
      <x:c r="I8" s="20" t="str"/>
      <x:c r="J8" s="20" t="str">
        <x:v>Target primary peptide-templated AuNC PTT/photothermal studies.</x:v>
      </x:c>
    </x:row>
    <x:row r="9" ht="19" customHeight="1">
      <x:c r="A9" s="20" t="str">
        <x:v>P1</x:v>
      </x:c>
      <x:c r="B9" s="20" t="str">
        <x:v>W29/W30 family — independent external analogues</x:v>
      </x:c>
      <x:c r="C9" s="20" t="str">
        <x:v>Atomically precise peptide clusters from labs other than Stamplecoskie</x:v>
      </x:c>
      <x:c r="D9" s="20" t="str">
        <x:v>Nuclearity N increased, but two recent records share the same photochemical lab/platform.</x:v>
      </x:c>
      <x:c r="E9" s="20" t="str">
        <x:v>High</x:v>
      </x:c>
      <x:c r="F9" s="20" t="str">
        <x:v>IDENTIFIED LEAKAGE RISK</x:v>
      </x:c>
      <x:c r="G9" s="20" t="str">
        <x:v>Do not count same-lab paper diversity as full external diversity.</x:v>
      </x:c>
      <x:c r="H9" s="20" t="str">
        <x:v>nuclearity external validation</x:v>
      </x:c>
      <x:c r="I9" s="20" t="str"/>
      <x:c r="J9" s="20" t="str">
        <x:v>Prioritize exact peptide nuclearities from independent groups.</x:v>
      </x:c>
    </x:row>
    <x:row r="10" ht="19" customHeight="1">
      <x:c r="A10" s="20" t="str">
        <x:v>P1</x:v>
      </x:c>
      <x:c r="B10" s="20" t="str">
        <x:v>W23 JACS 2018 raw dataset</x:v>
      </x:c>
      <x:c r="C10" s="20" t="str">
        <x:v>Machine-readable absolute PL values for the 23-peptide panel if present</x:v>
      </x:c>
      <x:c r="D10" s="20" t="str">
        <x:v>Could greatly expand ranking/optical signal without figure digitization.</x:v>
      </x:c>
      <x:c r="E10" s="20" t="str">
        <x:v>High</x:v>
      </x:c>
      <x:c r="F10" s="20" t="str">
        <x:v>RAW DATA LEAD</x:v>
      </x:c>
      <x:c r="G10" s="20" t="str">
        <x:v>Do not digitize figures before checking raw dataset.</x:v>
      </x:c>
      <x:c r="H10" s="20" t="str">
        <x:v>relative/absolute PL</x:v>
      </x:c>
      <x:c r="I10" s="20" t="str">
        <x:v>https://doi.org/10.1021/jacs.8b04436</x:v>
      </x:c>
      <x:c r="J10" s="20" t="str">
        <x:v>Inspect associated research dataset and map raw values to exact sequences.</x:v>
      </x:c>
    </x:row>
    <x:row r="11" ht="19" customHeight="1"/>
    <x:row r="12" ht="19" customHeight="1"/>
    <x:row r="13" ht="19" customHeight="1"/>
    <x:row r="14" ht="19" customHeight="1"/>
    <x:row r="15" ht="19" customHeight="1"/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  <x:row r="101" ht="19" customHeight="1"/>
    <x:row r="102" ht="19" customHeight="1"/>
    <x:row r="103" ht="19" customHeight="1"/>
    <x:row r="104" ht="19" customHeight="1"/>
    <x:row r="105" ht="19" customHeight="1"/>
    <x:row r="106" ht="19" customHeight="1"/>
    <x:row r="107" ht="19" customHeight="1"/>
    <x:row r="108" ht="19" customHeight="1"/>
    <x:row r="109" ht="19" customHeight="1"/>
    <x:row r="110" ht="19" customHeight="1"/>
    <x:row r="111" ht="19" customHeight="1"/>
    <x:row r="112" ht="19" customHeight="1"/>
    <x:row r="113" ht="19" customHeight="1"/>
    <x:row r="114" ht="19" customHeight="1"/>
    <x:row r="115" ht="19" customHeight="1"/>
    <x:row r="116" ht="19" customHeight="1"/>
    <x:row r="117" ht="19" customHeight="1"/>
    <x:row r="118" ht="19" customHeight="1"/>
    <x:row r="119" ht="19" customHeight="1"/>
    <x:row r="120" ht="19" customHeight="1"/>
    <x:row r="121" ht="19" customHeight="1"/>
    <x:row r="122" ht="19" customHeight="1"/>
    <x:row r="123" ht="19" customHeight="1"/>
    <x:row r="124" ht="19" customHeight="1"/>
    <x:row r="125" ht="19" customHeight="1"/>
    <x:row r="126" ht="19" customHeight="1"/>
    <x:row r="127" ht="19" customHeight="1"/>
    <x:row r="128" ht="19" customHeight="1"/>
    <x:row r="129" ht="19" customHeight="1"/>
    <x:row r="130" ht="19" customHeight="1"/>
    <x:row r="131" ht="19" customHeight="1"/>
    <x:row r="132" ht="19" customHeight="1"/>
    <x:row r="133" ht="19" customHeight="1"/>
    <x:row r="134" ht="19" customHeight="1"/>
    <x:row r="135" ht="19" customHeight="1"/>
    <x:row r="136" ht="19" customHeight="1"/>
    <x:row r="137" ht="19" customHeight="1"/>
    <x:row r="138" ht="19" customHeight="1"/>
    <x:row r="139" ht="19" customHeight="1"/>
    <x:row r="140" ht="19" customHeight="1"/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40e6dcc9b1ef4fb8"/>
  </x:tableParts>
</x:worksheet>
</file>

<file path=xl/worksheets/sheet46.xml><?xml version="1.0" encoding="utf-8"?>
<x:worksheet xmlns:x="http://schemas.openxmlformats.org/spreadsheetml/2006/main">
  <x:sheetFormatPr defaultRowHeight="15"/>
  <x:sheetData>
    <x:row r="1" ht="30" customHeight="1">
      <x:c r="A1" s="66" t="str">
        <x:v>Relative Photoluminescence Evidence — v0.6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</x:row>
    <x:row r="2" ht="19" customHeight="1">
      <x:c r="A2"/>
      <x:c r="B2"/>
      <x:c r="C2"/>
      <x:c r="D2"/>
      <x:c r="E2"/>
      <x:c r="F2"/>
      <x:c r="G2"/>
      <x:c r="H2"/>
      <x:c r="I2"/>
      <x:c r="J2"/>
      <x:c r="K2"/>
    </x:row>
    <x:row r="3" ht="34" customHeight="1">
      <x:c r="A3" t="str">
        <x:v>Panel_ID</x:v>
      </x:c>
      <x:c r="B3" t="str">
        <x:v>Source_ID</x:v>
      </x:c>
      <x:c r="C3" t="str">
        <x:v>Sequence_A</x:v>
      </x:c>
      <x:c r="D3" t="str">
        <x:v>Sequence_B</x:v>
      </x:c>
      <x:c r="E3" t="str">
        <x:v>Comparison_Type</x:v>
      </x:c>
      <x:c r="F3" t="str">
        <x:v>Observed_Relationship</x:v>
      </x:c>
      <x:c r="G3" t="str">
        <x:v>Fold_Change</x:v>
      </x:c>
      <x:c r="H3" t="str">
        <x:v>Condition</x:v>
      </x:c>
      <x:c r="I3" t="str">
        <x:v>Training_Use</x:v>
      </x:c>
      <x:c r="J3" t="str">
        <x:v>DOI_URL</x:v>
      </x:c>
      <x:c r="K3" t="str">
        <x:v>Scientific_Note</x:v>
      </x:c>
    </x:row>
    <x:row r="4" ht="19" customHeight="1">
      <x:c r="A4" t="str">
        <x:v>PL001</x:v>
      </x:c>
      <x:c r="B4" t="str">
        <x:v>W23</x:v>
      </x:c>
      <x:c r="C4" t="str">
        <x:v>Ac-CGGGDD</x:v>
      </x:c>
      <x:c r="D4" t="str">
        <x:v>CGGGDD</x:v>
      </x:c>
      <x:c r="E4" t="str">
        <x:v>N-terminal acetylation</x:v>
      </x:c>
      <x:c r="F4" t="str">
        <x:v>Ac-CGGGDD brighter than CGGGDD</x:v>
      </x:c>
      <x:c r="G4" t="n">
        <x:v>1.38</x:v>
      </x:c>
      <x:c r="H4" t="str">
        <x:v>Same synthesis; λex 400 nm</x:v>
      </x:c>
      <x:c r="I4" t="str">
        <x:v>PAIRWISE_RANKING</x:v>
      </x:c>
      <x:c r="J4" t="str">
        <x:v>https://doi.org/10.1021/jacs.8b04436</x:v>
      </x:c>
      <x:c r="K4" t="str">
        <x:v>Relative intensity only; do not convert to absolute QY.</x:v>
      </x:c>
    </x:row>
    <x:row r="5" ht="19" customHeight="1">
      <x:c r="A5" t="str">
        <x:v>PL002</x:v>
      </x:c>
      <x:c r="B5" t="str">
        <x:v>W23</x:v>
      </x:c>
      <x:c r="C5" t="str">
        <x:v>Ac-CHGGDD</x:v>
      </x:c>
      <x:c r="D5" t="str">
        <x:v>CHGGDD</x:v>
      </x:c>
      <x:c r="E5" t="str">
        <x:v>N-terminal acetylation</x:v>
      </x:c>
      <x:c r="F5" t="str">
        <x:v>Ac-CHGGDD brighter than CHGGDD</x:v>
      </x:c>
      <x:c r="G5" t="n">
        <x:v>3.95</x:v>
      </x:c>
      <x:c r="H5" t="str">
        <x:v>Same synthesis; λex 400 nm</x:v>
      </x:c>
      <x:c r="I5" t="str">
        <x:v>PAIRWISE_RANKING</x:v>
      </x:c>
      <x:c r="J5" t="str">
        <x:v>https://doi.org/10.1021/jacs.8b04436</x:v>
      </x:c>
      <x:c r="K5" t="str">
        <x:v>Strong acetylation effect.</x:v>
      </x:c>
    </x:row>
    <x:row r="6" ht="19" customHeight="1">
      <x:c r="A6" t="str">
        <x:v>PL003</x:v>
      </x:c>
      <x:c r="B6" t="str">
        <x:v>W23</x:v>
      </x:c>
      <x:c r="C6" t="str">
        <x:v>Ac-CHYGDD</x:v>
      </x:c>
      <x:c r="D6" t="str">
        <x:v>CHYGDD</x:v>
      </x:c>
      <x:c r="E6" t="str">
        <x:v>N-terminal acetylation</x:v>
      </x:c>
      <x:c r="F6" t="str">
        <x:v>Ac-CHYGDD brighter than CHYGDD</x:v>
      </x:c>
      <x:c r="G6" t="n">
        <x:v>3.43</x:v>
      </x:c>
      <x:c r="H6" t="str">
        <x:v>Same synthesis; λex 400 nm</x:v>
      </x:c>
      <x:c r="I6" t="str">
        <x:v>PAIRWISE_RANKING</x:v>
      </x:c>
      <x:c r="J6" t="str">
        <x:v>https://doi.org/10.1021/jacs.8b04436</x:v>
      </x:c>
      <x:c r="K6" t="str">
        <x:v>CHYGDD representative emits near 700 nm.</x:v>
      </x:c>
    </x:row>
    <x:row r="7" ht="19" customHeight="1">
      <x:c r="A7" t="str">
        <x:v>PL004</x:v>
      </x:c>
      <x:c r="B7" t="str">
        <x:v>W23</x:v>
      </x:c>
      <x:c r="C7" t="str">
        <x:v>Ac-CYHGDD</x:v>
      </x:c>
      <x:c r="D7" t="str">
        <x:v>CYHGDD</x:v>
      </x:c>
      <x:c r="E7" t="str">
        <x:v>N-terminal acetylation</x:v>
      </x:c>
      <x:c r="F7" t="str">
        <x:v>Ac-CYHGDD brighter than CYHGDD</x:v>
      </x:c>
      <x:c r="G7" t="n">
        <x:v>2.57</x:v>
      </x:c>
      <x:c r="H7" t="str">
        <x:v>Same synthesis; λex 400 nm</x:v>
      </x:c>
      <x:c r="I7" t="str">
        <x:v>PAIRWISE_RANKING</x:v>
      </x:c>
      <x:c r="J7" t="str">
        <x:v>https://doi.org/10.1021/jacs.8b04436</x:v>
      </x:c>
      <x:c r="K7" t="str">
        <x:v>Acetylation changes ligand-core/water interactions.</x:v>
      </x:c>
    </x:row>
    <x:row r="8" ht="19" customHeight="1">
      <x:c r="A8" t="str">
        <x:v>PL005</x:v>
      </x:c>
      <x:c r="B8" t="str">
        <x:v>W23</x:v>
      </x:c>
      <x:c r="C8" t="str">
        <x:v>CYGGDD</x:v>
      </x:c>
      <x:c r="D8" t="str">
        <x:v>CGYGDD</x:v>
      </x:c>
      <x:c r="E8" t="str">
        <x:v>Tyrosine position</x:v>
      </x:c>
      <x:c r="F8" t="str">
        <x:v>CYGGDD brighter than CGYGDD</x:v>
      </x:c>
      <x:c r="G8"/>
      <x:c r="H8" t="str">
        <x:v>Same synthesis</x:v>
      </x:c>
      <x:c r="I8" t="str">
        <x:v>PAIRWISE_RANKING</x:v>
      </x:c>
      <x:c r="J8" t="str">
        <x:v>https://doi.org/10.1021/jacs.8b04436</x:v>
      </x:c>
      <x:c r="K8" t="str">
        <x:v>Closer Tyr to Cys/Au surface increases emission.</x:v>
      </x:c>
    </x:row>
    <x:row r="9" ht="19" customHeight="1">
      <x:c r="A9" t="str">
        <x:v>PL006</x:v>
      </x:c>
      <x:c r="B9" t="str">
        <x:v>W23</x:v>
      </x:c>
      <x:c r="C9" t="str">
        <x:v>CYYGDD</x:v>
      </x:c>
      <x:c r="D9" t="str">
        <x:v>CYGGDD</x:v>
      </x:c>
      <x:c r="E9" t="str">
        <x:v>Aromatic residue count</x:v>
      </x:c>
      <x:c r="F9" t="str">
        <x:v>CYYGDD brighter than CYGGDD</x:v>
      </x:c>
      <x:c r="G9"/>
      <x:c r="H9" t="str">
        <x:v>Same synthesis</x:v>
      </x:c>
      <x:c r="I9" t="str">
        <x:v>PAIRWISE_RANKING</x:v>
      </x:c>
      <x:c r="J9" t="str">
        <x:v>https://doi.org/10.1021/jacs.8b04436</x:v>
      </x:c>
      <x:c r="K9" t="str">
        <x:v>More aromatic electron-donating groups increased PL.</x:v>
      </x:c>
    </x:row>
    <x:row r="10" ht="19" customHeight="1">
      <x:c r="A10" t="str">
        <x:v>PL007</x:v>
      </x:c>
      <x:c r="B10" t="str">
        <x:v>W23</x:v>
      </x:c>
      <x:c r="C10" t="str">
        <x:v>CGGGDD@pH5.5</x:v>
      </x:c>
      <x:c r="D10" t="str">
        <x:v>CGGGDD@pH7.5</x:v>
      </x:c>
      <x:c r="E10" t="str">
        <x:v>pH</x:v>
      </x:c>
      <x:c r="F10" t="str">
        <x:v>Lower-pH sample brighter</x:v>
      </x:c>
      <x:c r="G10"/>
      <x:c r="H10" t="str">
        <x:v>Same peptide; pH 5.5 vs 7.5</x:v>
      </x:c>
      <x:c r="I10" t="str">
        <x:v>CONDITION_RANKING</x:v>
      </x:c>
      <x:c r="J10" t="str">
        <x:v>https://doi.org/10.1021/jacs.8b04436</x:v>
      </x:c>
      <x:c r="K10" t="str">
        <x:v>pH effect linked to N-terminal protonation.</x:v>
      </x:c>
    </x:row>
    <x:row r="11" ht="19" customHeight="1">
      <x:c r="A11" t="str">
        <x:v>PL008</x:v>
      </x:c>
      <x:c r="B11" t="str">
        <x:v>W23</x:v>
      </x:c>
      <x:c r="C11" t="str">
        <x:v>CHYGDD@pH5.5</x:v>
      </x:c>
      <x:c r="D11" t="str">
        <x:v>CHYGDD@pH7.5</x:v>
      </x:c>
      <x:c r="E11" t="str">
        <x:v>pH</x:v>
      </x:c>
      <x:c r="F11" t="str">
        <x:v>Lower-pH sample brighter</x:v>
      </x:c>
      <x:c r="G11"/>
      <x:c r="H11" t="str">
        <x:v>Same peptide; pH 5.5 vs 7.5</x:v>
      </x:c>
      <x:c r="I11" t="str">
        <x:v>CONDITION_RANKING</x:v>
      </x:c>
      <x:c r="J11" t="str">
        <x:v>https://doi.org/10.1021/jacs.8b04436</x:v>
      </x:c>
      <x:c r="K11" t="str">
        <x:v>Useful condition-aware ranking evidence.</x:v>
      </x:c>
    </x:row>
    <x:row r="12" ht="19" customHeight="1"/>
    <x:row r="13" ht="19" customHeight="1"/>
    <x:row r="14" ht="19" customHeight="1"/>
    <x:row r="15" ht="19" customHeight="1"/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  <x:row r="101" ht="19" customHeight="1"/>
    <x:row r="102" ht="19" customHeight="1"/>
    <x:row r="103" ht="19" customHeight="1"/>
    <x:row r="104" ht="19" customHeight="1"/>
    <x:row r="105" ht="19" customHeight="1"/>
    <x:row r="106" ht="19" customHeight="1"/>
    <x:row r="107" ht="19" customHeight="1"/>
    <x:row r="108" ht="19" customHeight="1"/>
    <x:row r="109" ht="19" customHeight="1"/>
    <x:row r="110" ht="19" customHeight="1"/>
    <x:row r="111" ht="19" customHeight="1"/>
    <x:row r="112" ht="19" customHeight="1"/>
    <x:row r="113" ht="19" customHeight="1"/>
    <x:row r="114" ht="19" customHeight="1"/>
    <x:row r="115" ht="19" customHeight="1"/>
    <x:row r="116" ht="19" customHeight="1"/>
    <x:row r="117" ht="19" customHeight="1"/>
    <x:row r="118" ht="19" customHeight="1"/>
    <x:row r="119" ht="19" customHeight="1"/>
    <x:row r="120" ht="19" customHeight="1"/>
    <x:row r="121" ht="19" customHeight="1"/>
    <x:row r="122" ht="19" customHeight="1"/>
    <x:row r="123" ht="19" customHeight="1"/>
    <x:row r="124" ht="19" customHeight="1"/>
    <x:row r="125" ht="19" customHeight="1"/>
    <x:row r="126" ht="19" customHeight="1"/>
    <x:row r="127" ht="19" customHeight="1"/>
    <x:row r="128" ht="19" customHeight="1"/>
    <x:row r="129" ht="19" customHeight="1"/>
    <x:row r="130" ht="19" customHeight="1"/>
    <x:row r="131" ht="19" customHeight="1"/>
    <x:row r="132" ht="19" customHeight="1"/>
    <x:row r="133" ht="19" customHeight="1"/>
    <x:row r="134" ht="19" customHeight="1"/>
    <x:row r="135" ht="19" customHeight="1"/>
    <x:row r="136" ht="19" customHeight="1"/>
    <x:row r="137" ht="19" customHeight="1"/>
    <x:row r="138" ht="19" customHeight="1"/>
    <x:row r="139" ht="19" customHeight="1"/>
    <x:row r="140" ht="19" customHeight="1"/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4" hidden="0" customWidth="1"/>
    <x:col min="4" max="4" width="24" hidden="0" customWidth="1"/>
    <x:col min="5" max="5" width="23" hidden="0" customWidth="1"/>
    <x:col min="6" max="6" width="60" hidden="0" customWidth="1"/>
    <x:col min="7" max="7" width="60" hidden="0" customWidth="1"/>
    <x:col min="8" max="8" width="52" hidden="0" customWidth="1"/>
  </x:cols>
  <x:sheetData>
    <x:row r="1" ht="30" customHeight="1">
      <x:c r="A1" s="66" t="str">
        <x:v>NanoMax PepAu-Forge — PepAuDB v0.6 Evidence &amp; Model Readiness</x:v>
      </x:c>
      <x:c r="B1" s="66"/>
      <x:c r="C1" s="66"/>
      <x:c r="D1" s="66"/>
      <x:c r="E1" s="66"/>
      <x:c r="F1" s="66"/>
      <x:c r="G1" s="66"/>
      <x:c r="H1" s="66"/>
      <x:c r="I1" s="66"/>
      <x:c r="J1" s="66"/>
    </x:row>
    <x:row r="2" ht="19" customHeight="1"/>
    <x:row r="3" ht="34" customHeight="1">
      <x:c r="A3" s="71" t="str">
        <x:v>KPI</x:v>
      </x:c>
      <x:c r="B3" s="71" t="str">
        <x:v>Value</x:v>
      </x:c>
      <x:c r="D3" s="71" t="str">
        <x:v>Target</x:v>
      </x:c>
      <x:c r="E3" s="71" t="str">
        <x:v>v0.6 status</x:v>
      </x:c>
      <x:c r="F3" s="71" t="str">
        <x:v>Paper-grouped result</x:v>
      </x:c>
      <x:c r="G3" s="71" t="str">
        <x:v>Lab-aware result</x:v>
      </x:c>
      <x:c r="H3" s="71" t="str">
        <x:v>Decision</x:v>
      </x:c>
    </x:row>
    <x:row r="4" ht="44" customHeight="1">
      <x:c r="A4" t="str">
        <x:v>Total curated records</x:v>
      </x:c>
      <x:c r="B4" t="n">
        <x:v>66</x:v>
      </x:c>
      <x:c r="D4" s="20" t="str">
        <x:v>Emission</x:v>
      </x:c>
      <x:c r="E4" s="20" t="str">
        <x:v>FAIL</x:v>
      </x:c>
      <x:c r="F4" s="20" t="str">
        <x:v>Best learned MAE 116.28 nm vs dummy 109.75; R² -0.109</x:v>
      </x:c>
      <x:c r="G4" s="20" t="str">
        <x:v>Best learned MAE 117.50 vs dummy 109.75; R² -0.199</x:v>
      </x:c>
      <x:c r="H4" s="20" t="str">
        <x:v>Do not deploy emission predictor</x:v>
      </x:c>
    </x:row>
    <x:row r="5" ht="44" customHeight="1">
      <x:c r="A5" t="str">
        <x:v>Quantitative training-view rows</x:v>
      </x:c>
      <x:c r="B5" t="n">
        <x:v>23</x:v>
      </x:c>
      <x:c r="D5" s="20" t="str">
        <x:v>Core size</x:v>
      </x:c>
      <x:c r="E5" s="20" t="str">
        <x:v>FIRST PROMISING SIGNAL</x:v>
      </x:c>
      <x:c r="F5" s="20" t="str">
        <x:v>RF MAE 0.298 nm vs dummy 0.351; R² +0.231</x:v>
      </x:c>
      <x:c r="G5" s="20" t="str">
        <x:v>Same result; no known same-lab grouping changes these folds</x:v>
      </x:c>
      <x:c r="H5" s="20" t="str">
        <x:v>Continue exploratory model, still research-only</x:v>
      </x:c>
    </x:row>
    <x:row r="6" ht="44" customHeight="1">
      <x:c r="A6" t="str">
        <x:v>Independent paper groups</x:v>
      </x:c>
      <x:c r="B6" t="n">
        <x:v>15</x:v>
      </x:c>
      <x:c r="D6" s="20" t="str">
        <x:v>PLQY</x:v>
      </x:c>
      <x:c r="E6" s="20" t="str">
        <x:v>WEAK</x:v>
      </x:c>
      <x:c r="F6" s="20" t="str">
        <x:v>HGB MAE 7.152 vs dummy 7.849; R² -0.333</x:v>
      </x:c>
      <x:c r="G6" s="20" t="str">
        <x:v>Same result</x:v>
      </x:c>
      <x:c r="H6" s="20" t="str">
        <x:v>Need independent QY panels before prediction</x:v>
      </x:c>
    </x:row>
    <x:row r="7" ht="44" customHeight="1">
      <x:c r="A7" t="str">
        <x:v>Independent lab groups</x:v>
      </x:c>
      <x:c r="B7" t="n">
        <x:v>14</x:v>
      </x:c>
      <x:c r="D7" s="20" t="str">
        <x:v>Au nuclearity</x:v>
      </x:c>
      <x:c r="E7" s="20" t="str">
        <x:v>FAIL / IMPROVING</x:v>
      </x:c>
      <x:c r="F7" s="20" t="str">
        <x:v>RF MAE 4.624 atoms vs dummy 3.700; R² -0.386</x:v>
      </x:c>
      <x:c r="G7" s="20" t="str">
        <x:v>GP MAE 3.745 vs dummy 3.700; R² -0.034</x:v>
      </x:c>
      <x:c r="H7" s="20" t="str">
        <x:v>Near baseline under lab-aware stress, but not predictive</x:v>
      </x:c>
    </x:row>
    <x:row r="8" ht="44" customHeight="1">
      <x:c r="A8" t="str">
        <x:v>Direct A1 atomic peptide-AuNC records</x:v>
      </x:c>
      <x:c r="B8" t="n">
        <x:f>COUNTIF(PepAuDB_v0.6!C4:C69,"A1 DIRECT_PEPTIDE_ATOMIC_AUNC")</x:f>
        <x:v>12</x:v>
      </x:c>
      <x:c r="D8" s="20" t="str">
        <x:v>Formation</x:v>
      </x:c>
      <x:c r="E8" s="20" t="str">
        <x:v>STOP</x:v>
      </x:c>
      <x:c r="F8" s="20" t="str">
        <x:v>3 explicit negatives</x:v>
      </x:c>
      <x:c r="G8" s="20" t="str">
        <x:v>Only 2 papers provide negatives</x:v>
      </x:c>
      <x:c r="H8" s="20" t="str">
        <x:v>Need more independent failed syntheses</x:v>
      </x:c>
    </x:row>
    <x:row r="9" ht="44" customHeight="1">
      <x:c r="A9" t="str">
        <x:v>Nuclearity-labeled rows</x:v>
      </x:c>
      <x:c r="B9" t="n">
        <x:v>10</x:v>
      </x:c>
      <x:c r="D9" s="20" t="str">
        <x:v>PTT</x:v>
      </x:c>
      <x:c r="E9" s="20" t="str">
        <x:v>STOP</x:v>
      </x:c>
      <x:c r="F9" s="20" t="str">
        <x:v>No direct trainable peptide-template PTT panel</x:v>
      </x:c>
      <x:c r="G9" s="20" t="str">
        <x:v>Same</x:v>
      </x:c>
      <x:c r="H9" s="20" t="str">
        <x:v>Benchmark/reference layer only</x:v>
      </x:c>
    </x:row>
    <x:row r="10" ht="44" customHeight="1">
      <x:c r="A10" t="str">
        <x:v>Core-size-labeled rows</x:v>
      </x:c>
      <x:c r="B10" t="n">
        <x:v>13</x:v>
      </x:c>
      <x:c r="D10" s="20" t="str">
        <x:v>Streamlit evidence platform</x:v>
      </x:c>
      <x:c r="E10" s="20" t="str">
        <x:v>GO</x:v>
      </x:c>
      <x:c r="F10" s="20" t="str">
        <x:v>Database + QC + model cards + OOD ready</x:v>
      </x:c>
      <x:c r="G10" s="20" t="str">
        <x:v>Lab-aware validation can be surfaced</x:v>
      </x:c>
      <x:c r="H10" s="20" t="str">
        <x:v>Build evidence-first professional app</x:v>
      </x:c>
    </x:row>
    <x:row r="11" ht="44" customHeight="1">
      <x:c r="A11" t="str">
        <x:v>Emission-labeled rows</x:v>
      </x:c>
      <x:c r="B11" t="n">
        <x:v>16</x:v>
      </x:c>
      <x:c r="D11" s="20"/>
      <x:c r="E11" s="20"/>
      <x:c r="F11" s="20"/>
      <x:c r="G11" s="20"/>
      <x:c r="H11" s="20"/>
    </x:row>
    <x:row r="12" ht="19" customHeight="1">
      <x:c r="A12" t="str">
        <x:v>PLQY-labeled rows</x:v>
      </x:c>
      <x:c r="B12" t="n">
        <x:v>15</x:v>
      </x:c>
    </x:row>
    <x:row r="13" ht="19" customHeight="1">
      <x:c r="A13" t="str">
        <x:v>Explicit matched formation negatives</x:v>
      </x:c>
      <x:c r="B13" t="n">
        <x:v>3</x:v>
      </x:c>
    </x:row>
    <x:row r="14" ht="19" customHeight="1">
      <x:c r="A14" t="str">
        <x:v>Verified relative PL comparisons</x:v>
      </x:c>
      <x:c r="B14" t="n">
        <x:v>8</x:v>
      </x:c>
    </x:row>
    <x:row r="15" ht="19" customHeight="1">
      <x:c r="A15" t="str">
        <x:v>Lab-aware CV implemented</x:v>
      </x:c>
      <x:c r="B15" t="str">
        <x:v>YES</x:v>
      </x:c>
      <x:c r="D15" s="71" t="str">
        <x:v>Labeled evidence</x:v>
      </x:c>
      <x:c r="E15" s="71" t="str">
        <x:v>Rows</x:v>
      </x:c>
    </x:row>
    <x:row r="16" ht="19" customHeight="1">
      <x:c r="A16" t="str">
        <x:v>PTT learned-model status</x:v>
      </x:c>
      <x:c r="B16" t="str">
        <x:v>STOP</x:v>
      </x:c>
      <x:c r="D16" t="str">
        <x:v>Nuclearity</x:v>
      </x:c>
      <x:c r="E16" t="n">
        <x:v>10</x:v>
      </x:c>
    </x:row>
    <x:row r="17" ht="19" customHeight="1">
      <x:c r="A17" t="str">
        <x:v>Production predictor status</x:v>
      </x:c>
      <x:c r="B17" t="str">
        <x:v>STOP</x:v>
      </x:c>
      <x:c r="D17" t="str">
        <x:v>Core size</x:v>
      </x:c>
      <x:c r="E17" t="n">
        <x:v>13</x:v>
      </x:c>
    </x:row>
    <x:row r="18" ht="19" customHeight="1">
      <x:c r="A18" t="str">
        <x:v>Evidence/Streamlit platform status</x:v>
      </x:c>
      <x:c r="B18" t="str">
        <x:v>GO</x:v>
      </x:c>
      <x:c r="D18" t="str">
        <x:v>Emission</x:v>
      </x:c>
      <x:c r="E18" t="n">
        <x:v>16</x:v>
      </x:c>
    </x:row>
    <x:row r="19" ht="19" customHeight="1">
      <x:c r="D19" t="str">
        <x:v>PLQY</x:v>
      </x:c>
      <x:c r="E19" t="n">
        <x:v>15</x:v>
      </x:c>
    </x:row>
    <x:row r="20" ht="19" customHeight="1">
      <x:c r="D20" t="str">
        <x:v>Formation negatives</x:v>
      </x:c>
      <x:c r="E20" t="n">
        <x:v>3</x:v>
      </x:c>
    </x:row>
    <x:row r="21" ht="19" customHeight="1">
      <x:c r="A21" s="71" t="str">
        <x:v>Major v0.6 gain</x:v>
      </x:c>
      <x:c r="B21" s="71" t="str">
        <x:v>Why it matters</x:v>
      </x:c>
    </x:row>
    <x:row r="22" ht="31" customHeight="1">
      <x:c r="A22" s="20" t="str">
        <x:v>CCYTAT Au25</x:v>
      </x:c>
      <x:c r="B22" s="20" t="str">
        <x:v>Adds exact Au25 core, 1.5±0.2 nm size, 502/677 nm optics, 11% QY and full primary SI synthesis.</x:v>
      </x:c>
    </x:row>
    <x:row r="23" ht="31" customHeight="1">
      <x:c r="A23" s="20" t="str">
        <x:v>Au23(CR)14</x:v>
      </x:c>
      <x:c r="B23" s="20" t="str">
        <x:v>Adds exact Au23 with 14 dipeptide ligands and an independently confirmed molecular formula.</x:v>
      </x:c>
    </x:row>
    <x:row r="24" ht="31" customHeight="1">
      <x:c r="A24" s="20" t="str">
        <x:v>Au16(RGDC)14</x:v>
      </x:c>
      <x:c r="B24" s="20" t="str">
        <x:v>Adds an atomically precise cancer-relevant peptide cluster and a photochemical synthesis family.</x:v>
      </x:c>
    </x:row>
    <x:row r="25" ht="31" customHeight="1">
      <x:c r="A25" s="20" t="str">
        <x:v>Au22(KCK)16</x:v>
      </x:c>
      <x:c r="B25" s="20" t="str">
        <x:v>Adds exact Au22 and light-activated size focusing with 790 nm emission.</x:v>
      </x:c>
    </x:row>
    <x:row r="26" ht="31" customHeight="1">
      <x:c r="A26" s="20" t="str">
        <x:v>Lab-aware validation</x:v>
      </x:c>
      <x:c r="B26" s="20" t="str">
        <x:v>W29/W30 are intentionally grouped as one photochemical lab family to reduce same-platform optimism.</x:v>
      </x:c>
    </x:row>
    <x:row r="27" ht="31" customHeight="1">
      <x:c r="A27" s="20" t="str">
        <x:v>Nuclearity evidence N=10</x:v>
      </x:c>
      <x:c r="B27" s="20" t="str">
        <x:v>Nearly doubles the v0.5 nuclearity set, but the model still cannot beat baseline.</x:v>
      </x:c>
    </x:row>
    <x:row r="28" ht="31" customHeight="1">
      <x:c r="A28" s="20" t="str">
        <x:v>Core-size OOF R² &gt; 0</x:v>
      </x:c>
      <x:c r="B28" s="20" t="str">
        <x:v>First target to achieve positive paper-grouped OOF R² (+0.231), although N=13 remains too small for production claims.</x:v>
      </x:c>
    </x:row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  <x:row r="101" ht="19" customHeight="1"/>
    <x:row r="102" ht="19" customHeight="1"/>
    <x:row r="103" ht="19" customHeight="1"/>
    <x:row r="104" ht="19" customHeight="1"/>
    <x:row r="105" ht="19" customHeight="1"/>
    <x:row r="106" ht="19" customHeight="1"/>
    <x:row r="107" ht="19" customHeight="1"/>
    <x:row r="108" ht="19" customHeight="1"/>
    <x:row r="109" ht="19" customHeight="1"/>
    <x:row r="110" ht="19" customHeight="1"/>
    <x:row r="111" ht="19" customHeight="1"/>
    <x:row r="112" ht="19" customHeight="1"/>
    <x:row r="113" ht="19" customHeight="1"/>
    <x:row r="114" ht="19" customHeight="1"/>
    <x:row r="115" ht="19" customHeight="1"/>
    <x:row r="116" ht="19" customHeight="1"/>
    <x:row r="117" ht="19" customHeight="1"/>
    <x:row r="118" ht="19" customHeight="1"/>
    <x:row r="119" ht="19" customHeight="1"/>
    <x:row r="120" ht="19" customHeight="1"/>
    <x:row r="121" ht="19" customHeight="1"/>
    <x:row r="122" ht="19" customHeight="1"/>
    <x:row r="123" ht="19" customHeight="1"/>
    <x:row r="124" ht="19" customHeight="1"/>
    <x:row r="125" ht="19" customHeight="1"/>
    <x:row r="126" ht="19" customHeight="1"/>
    <x:row r="127" ht="19" customHeight="1"/>
    <x:row r="128" ht="19" customHeight="1"/>
    <x:row r="129" ht="19" customHeight="1"/>
    <x:row r="130" ht="19" customHeight="1"/>
    <x:row r="131" ht="19" customHeight="1"/>
    <x:row r="132" ht="19" customHeight="1"/>
    <x:row r="133" ht="19" customHeight="1"/>
    <x:row r="134" ht="19" customHeight="1"/>
    <x:row r="135" ht="19" customHeight="1"/>
    <x:row r="136" ht="19" customHeight="1"/>
    <x:row r="137" ht="19" customHeight="1"/>
    <x:row r="138" ht="19" customHeight="1"/>
    <x:row r="139" ht="19" customHeight="1"/>
    <x:row r="140" ht="19" customHeight="1"/>
  </x:sheetData>
  <x:mergeCells>
    <x:mergeCell ref="A1:J1"/>
  </x:mergeCells>
  <x:pageMargins left="0.7" right="0.7" top="0.75" bottom="0.75" header="0.3" footer="0.3"/>
  <x:drawing xmlns:r="http://schemas.openxmlformats.org/officeDocument/2006/relationships" r:id="R573735fa07ac4e1b"/>
</x:worksheet>
</file>